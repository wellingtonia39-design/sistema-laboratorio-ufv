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ropbox\Montana\Planilhas\"/>
    </mc:Choice>
  </mc:AlternateContent>
  <xr:revisionPtr revIDLastSave="0" documentId="13_ncr:1_{C7AB258A-7116-4364-9470-2F4ACE8398B8}" xr6:coauthVersionLast="47" xr6:coauthVersionMax="47" xr10:uidLastSave="{00000000-0000-0000-0000-000000000000}"/>
  <bookViews>
    <workbookView xWindow="-28920" yWindow="-1035" windowWidth="29040" windowHeight="15720" activeTab="1" xr2:uid="{00000000-000D-0000-FFFF-FFFF00000000}"/>
  </bookViews>
  <sheets>
    <sheet name="Madeira Tratada" sheetId="1" r:id="rId1"/>
    <sheet name="Solução Preservativa" sheetId="4" r:id="rId2"/>
    <sheet name="Listas suspensas" sheetId="5" r:id="rId3"/>
  </sheets>
  <externalReferences>
    <externalReference r:id="rId4"/>
  </externalReferences>
  <definedNames>
    <definedName name="_xlnm._FilterDatabase" localSheetId="0" hidden="1">'Madeira Tratada'!$A$1:$BR$841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101" i="4" l="1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BF101" i="4"/>
  <c r="BF102" i="4"/>
  <c r="BF103" i="4"/>
  <c r="BF104" i="4"/>
  <c r="BF105" i="4"/>
  <c r="BF106" i="4"/>
  <c r="BF107" i="4"/>
  <c r="BF108" i="4"/>
  <c r="BF109" i="4"/>
  <c r="BF110" i="4"/>
  <c r="BF111" i="4"/>
  <c r="BF112" i="4"/>
  <c r="BF113" i="4"/>
  <c r="BF114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BJ100" i="4"/>
  <c r="BF100" i="4"/>
  <c r="Y675" i="1"/>
  <c r="Y676" i="1"/>
  <c r="Y677" i="1"/>
  <c r="Y662" i="1"/>
  <c r="Y663" i="1"/>
  <c r="Y664" i="1"/>
  <c r="Y665" i="1"/>
  <c r="Y666" i="1"/>
  <c r="Y667" i="1"/>
  <c r="Y668" i="1"/>
  <c r="Y669" i="1"/>
  <c r="Y670" i="1"/>
  <c r="Y671" i="1"/>
  <c r="AC657" i="1"/>
  <c r="AB657" i="1"/>
  <c r="BI657" i="1"/>
  <c r="BM657" i="1"/>
  <c r="BE652" i="1"/>
  <c r="BP652" i="1" s="1"/>
  <c r="BE653" i="1"/>
  <c r="BP653" i="1" s="1"/>
  <c r="BE654" i="1"/>
  <c r="BP654" i="1" s="1"/>
  <c r="BE655" i="1"/>
  <c r="BP655" i="1" s="1"/>
  <c r="BE656" i="1"/>
  <c r="BE657" i="1"/>
  <c r="BN657" i="1" s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51" i="1"/>
  <c r="BP651" i="1" s="1"/>
  <c r="Y638" i="1"/>
  <c r="Y637" i="1"/>
  <c r="Y636" i="1"/>
  <c r="Y635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8" i="1"/>
  <c r="Y659" i="1"/>
  <c r="Y660" i="1"/>
  <c r="Y661" i="1"/>
  <c r="Y657" i="1"/>
  <c r="Y672" i="1"/>
  <c r="Y673" i="1"/>
  <c r="Y674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8" i="1"/>
  <c r="BM759" i="1"/>
  <c r="BM760" i="1"/>
  <c r="BM761" i="1"/>
  <c r="BM762" i="1"/>
  <c r="BM763" i="1"/>
  <c r="BM764" i="1"/>
  <c r="BM765" i="1"/>
  <c r="BM766" i="1"/>
  <c r="BM767" i="1"/>
  <c r="BM768" i="1"/>
  <c r="BM769" i="1"/>
  <c r="BM770" i="1"/>
  <c r="BM771" i="1"/>
  <c r="BM772" i="1"/>
  <c r="BM773" i="1"/>
  <c r="BM774" i="1"/>
  <c r="BM775" i="1"/>
  <c r="BM776" i="1"/>
  <c r="BM777" i="1"/>
  <c r="BM778" i="1"/>
  <c r="BM779" i="1"/>
  <c r="BM780" i="1"/>
  <c r="BM781" i="1"/>
  <c r="BM782" i="1"/>
  <c r="BM783" i="1"/>
  <c r="BM784" i="1"/>
  <c r="BM785" i="1"/>
  <c r="BM786" i="1"/>
  <c r="BM787" i="1"/>
  <c r="BM788" i="1"/>
  <c r="BM789" i="1"/>
  <c r="BM790" i="1"/>
  <c r="BM791" i="1"/>
  <c r="BM792" i="1"/>
  <c r="BM793" i="1"/>
  <c r="BM794" i="1"/>
  <c r="BM795" i="1"/>
  <c r="BM796" i="1"/>
  <c r="BM797" i="1"/>
  <c r="BM798" i="1"/>
  <c r="BM799" i="1"/>
  <c r="BM800" i="1"/>
  <c r="BM801" i="1"/>
  <c r="BM802" i="1"/>
  <c r="BM803" i="1"/>
  <c r="BM804" i="1"/>
  <c r="BM805" i="1"/>
  <c r="BM806" i="1"/>
  <c r="BM807" i="1"/>
  <c r="BM808" i="1"/>
  <c r="BM809" i="1"/>
  <c r="BM810" i="1"/>
  <c r="BM811" i="1"/>
  <c r="BM812" i="1"/>
  <c r="BM813" i="1"/>
  <c r="BM814" i="1"/>
  <c r="BM815" i="1"/>
  <c r="BM816" i="1"/>
  <c r="BM817" i="1"/>
  <c r="BM818" i="1"/>
  <c r="BM819" i="1"/>
  <c r="BM820" i="1"/>
  <c r="BM821" i="1"/>
  <c r="BM822" i="1"/>
  <c r="BM823" i="1"/>
  <c r="BM824" i="1"/>
  <c r="BM825" i="1"/>
  <c r="BM826" i="1"/>
  <c r="BM827" i="1"/>
  <c r="BM828" i="1"/>
  <c r="BM829" i="1"/>
  <c r="BM830" i="1"/>
  <c r="BM831" i="1"/>
  <c r="BM832" i="1"/>
  <c r="BM833" i="1"/>
  <c r="BM834" i="1"/>
  <c r="BM835" i="1"/>
  <c r="BM836" i="1"/>
  <c r="BM837" i="1"/>
  <c r="BM838" i="1"/>
  <c r="BM839" i="1"/>
  <c r="BM840" i="1"/>
  <c r="BM841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26" i="1"/>
  <c r="BI727" i="1"/>
  <c r="BI728" i="1"/>
  <c r="BI729" i="1"/>
  <c r="BI730" i="1"/>
  <c r="BI731" i="1"/>
  <c r="BI732" i="1"/>
  <c r="BI733" i="1"/>
  <c r="BI734" i="1"/>
  <c r="BI735" i="1"/>
  <c r="BI736" i="1"/>
  <c r="BI737" i="1"/>
  <c r="BI738" i="1"/>
  <c r="BI739" i="1"/>
  <c r="BI740" i="1"/>
  <c r="BI741" i="1"/>
  <c r="BI742" i="1"/>
  <c r="BI743" i="1"/>
  <c r="BI744" i="1"/>
  <c r="BI745" i="1"/>
  <c r="BI746" i="1"/>
  <c r="BI747" i="1"/>
  <c r="BI748" i="1"/>
  <c r="BI749" i="1"/>
  <c r="BI750" i="1"/>
  <c r="BI751" i="1"/>
  <c r="BI752" i="1"/>
  <c r="BI753" i="1"/>
  <c r="BI754" i="1"/>
  <c r="BI755" i="1"/>
  <c r="BI756" i="1"/>
  <c r="BI757" i="1"/>
  <c r="BI758" i="1"/>
  <c r="BI759" i="1"/>
  <c r="BI760" i="1"/>
  <c r="BI761" i="1"/>
  <c r="BI762" i="1"/>
  <c r="BI763" i="1"/>
  <c r="BI764" i="1"/>
  <c r="BI765" i="1"/>
  <c r="BI766" i="1"/>
  <c r="BI767" i="1"/>
  <c r="BI768" i="1"/>
  <c r="BI769" i="1"/>
  <c r="BI770" i="1"/>
  <c r="BI771" i="1"/>
  <c r="BI772" i="1"/>
  <c r="BI773" i="1"/>
  <c r="BI774" i="1"/>
  <c r="BI775" i="1"/>
  <c r="BI776" i="1"/>
  <c r="BI777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BI799" i="1"/>
  <c r="BI800" i="1"/>
  <c r="BI801" i="1"/>
  <c r="BI802" i="1"/>
  <c r="BI803" i="1"/>
  <c r="BI804" i="1"/>
  <c r="BI805" i="1"/>
  <c r="BI806" i="1"/>
  <c r="BI807" i="1"/>
  <c r="BI808" i="1"/>
  <c r="BI809" i="1"/>
  <c r="BI810" i="1"/>
  <c r="BI811" i="1"/>
  <c r="BI812" i="1"/>
  <c r="BI813" i="1"/>
  <c r="BI814" i="1"/>
  <c r="BI815" i="1"/>
  <c r="BI816" i="1"/>
  <c r="BI817" i="1"/>
  <c r="BI818" i="1"/>
  <c r="BI819" i="1"/>
  <c r="BI820" i="1"/>
  <c r="BI821" i="1"/>
  <c r="BI822" i="1"/>
  <c r="BI823" i="1"/>
  <c r="BI824" i="1"/>
  <c r="BI825" i="1"/>
  <c r="BI826" i="1"/>
  <c r="BI827" i="1"/>
  <c r="BI828" i="1"/>
  <c r="BI829" i="1"/>
  <c r="BI830" i="1"/>
  <c r="BI831" i="1"/>
  <c r="BI832" i="1"/>
  <c r="BI833" i="1"/>
  <c r="BI834" i="1"/>
  <c r="BI835" i="1"/>
  <c r="BI836" i="1"/>
  <c r="BI837" i="1"/>
  <c r="BI838" i="1"/>
  <c r="BI839" i="1"/>
  <c r="BI840" i="1"/>
  <c r="BI841" i="1"/>
  <c r="BE620" i="1"/>
  <c r="BP620" i="1" s="1"/>
  <c r="BE621" i="1"/>
  <c r="BP621" i="1" s="1"/>
  <c r="BE622" i="1"/>
  <c r="BP622" i="1" s="1"/>
  <c r="BE623" i="1"/>
  <c r="BP623" i="1" s="1"/>
  <c r="BE624" i="1"/>
  <c r="BP624" i="1" s="1"/>
  <c r="BE625" i="1"/>
  <c r="BP625" i="1" s="1"/>
  <c r="BE626" i="1"/>
  <c r="BP626" i="1" s="1"/>
  <c r="BE627" i="1"/>
  <c r="BP627" i="1" s="1"/>
  <c r="BE628" i="1"/>
  <c r="BP628" i="1" s="1"/>
  <c r="BE629" i="1"/>
  <c r="BP629" i="1" s="1"/>
  <c r="BE630" i="1"/>
  <c r="BP630" i="1" s="1"/>
  <c r="BE631" i="1"/>
  <c r="BP631" i="1" s="1"/>
  <c r="BE632" i="1"/>
  <c r="BP632" i="1" s="1"/>
  <c r="BE633" i="1"/>
  <c r="BP633" i="1" s="1"/>
  <c r="BE634" i="1"/>
  <c r="BP634" i="1" s="1"/>
  <c r="BE635" i="1"/>
  <c r="BP635" i="1" s="1"/>
  <c r="BE636" i="1"/>
  <c r="BP636" i="1" s="1"/>
  <c r="BE637" i="1"/>
  <c r="BP637" i="1" s="1"/>
  <c r="BE638" i="1"/>
  <c r="BP638" i="1" s="1"/>
  <c r="BE639" i="1"/>
  <c r="BP639" i="1" s="1"/>
  <c r="BE640" i="1"/>
  <c r="BP640" i="1" s="1"/>
  <c r="BE641" i="1"/>
  <c r="BP641" i="1" s="1"/>
  <c r="BE642" i="1"/>
  <c r="BP642" i="1" s="1"/>
  <c r="BE643" i="1"/>
  <c r="BP643" i="1" s="1"/>
  <c r="BE644" i="1"/>
  <c r="BP644" i="1" s="1"/>
  <c r="BE645" i="1"/>
  <c r="BP645" i="1" s="1"/>
  <c r="BE646" i="1"/>
  <c r="BP646" i="1" s="1"/>
  <c r="BE647" i="1"/>
  <c r="BP647" i="1" s="1"/>
  <c r="BE648" i="1"/>
  <c r="BP648" i="1" s="1"/>
  <c r="BE649" i="1"/>
  <c r="BP649" i="1" s="1"/>
  <c r="BE650" i="1"/>
  <c r="BP650" i="1" s="1"/>
  <c r="BP656" i="1"/>
  <c r="BP658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608" i="1"/>
  <c r="BP608" i="1" s="1"/>
  <c r="BE609" i="1"/>
  <c r="BP609" i="1" s="1"/>
  <c r="BE610" i="1"/>
  <c r="BP610" i="1" s="1"/>
  <c r="BE611" i="1"/>
  <c r="BP611" i="1" s="1"/>
  <c r="BE612" i="1"/>
  <c r="BP612" i="1" s="1"/>
  <c r="BE613" i="1"/>
  <c r="BP613" i="1" s="1"/>
  <c r="BE614" i="1"/>
  <c r="BP614" i="1" s="1"/>
  <c r="BE615" i="1"/>
  <c r="BP615" i="1" s="1"/>
  <c r="BE616" i="1"/>
  <c r="BP616" i="1" s="1"/>
  <c r="BE617" i="1"/>
  <c r="BP617" i="1" s="1"/>
  <c r="BE618" i="1"/>
  <c r="BP618" i="1" s="1"/>
  <c r="BE619" i="1"/>
  <c r="BP619" i="1" s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BI602" i="1"/>
  <c r="BI603" i="1"/>
  <c r="BI604" i="1"/>
  <c r="BI605" i="1"/>
  <c r="BI606" i="1"/>
  <c r="BI607" i="1"/>
  <c r="BI608" i="1"/>
  <c r="BE602" i="1"/>
  <c r="BP602" i="1" s="1"/>
  <c r="BE603" i="1"/>
  <c r="BP603" i="1" s="1"/>
  <c r="BE604" i="1"/>
  <c r="BP604" i="1" s="1"/>
  <c r="BE605" i="1"/>
  <c r="BP605" i="1" s="1"/>
  <c r="BE606" i="1"/>
  <c r="BP606" i="1" s="1"/>
  <c r="BE607" i="1"/>
  <c r="BP607" i="1" s="1"/>
  <c r="Y604" i="1"/>
  <c r="Y605" i="1"/>
  <c r="Y602" i="1"/>
  <c r="Y603" i="1"/>
  <c r="BJ86" i="4"/>
  <c r="BF86" i="4"/>
  <c r="AH86" i="4"/>
  <c r="AG86" i="4"/>
  <c r="Y512" i="1"/>
  <c r="Y511" i="1"/>
  <c r="Y510" i="1"/>
  <c r="Y509" i="1"/>
  <c r="Y508" i="1"/>
  <c r="Y507" i="1"/>
  <c r="Y506" i="1"/>
  <c r="Y499" i="1"/>
  <c r="Y498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E501" i="1"/>
  <c r="BE502" i="1"/>
  <c r="BE503" i="1"/>
  <c r="BE504" i="1"/>
  <c r="BE505" i="1"/>
  <c r="BO505" i="1" s="1"/>
  <c r="BE506" i="1"/>
  <c r="BO506" i="1" s="1"/>
  <c r="BE507" i="1"/>
  <c r="BE508" i="1"/>
  <c r="BE509" i="1"/>
  <c r="BE510" i="1"/>
  <c r="BO510" i="1" s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O532" i="1" s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494" i="1"/>
  <c r="AE494" i="1" s="1"/>
  <c r="AG494" i="1" s="1"/>
  <c r="AI494" i="1" s="1"/>
  <c r="AK494" i="1" s="1"/>
  <c r="AM494" i="1" s="1"/>
  <c r="AO494" i="1" s="1"/>
  <c r="AQ494" i="1" s="1"/>
  <c r="AS494" i="1" s="1"/>
  <c r="AU494" i="1" s="1"/>
  <c r="AW494" i="1" s="1"/>
  <c r="AY494" i="1" s="1"/>
  <c r="BA494" i="1" s="1"/>
  <c r="BC494" i="1" s="1"/>
  <c r="AC495" i="1"/>
  <c r="AE495" i="1" s="1"/>
  <c r="AG495" i="1" s="1"/>
  <c r="AI495" i="1" s="1"/>
  <c r="AK495" i="1" s="1"/>
  <c r="AM495" i="1" s="1"/>
  <c r="AO495" i="1" s="1"/>
  <c r="AQ495" i="1" s="1"/>
  <c r="AS495" i="1" s="1"/>
  <c r="AU495" i="1" s="1"/>
  <c r="AW495" i="1" s="1"/>
  <c r="AY495" i="1" s="1"/>
  <c r="BA495" i="1" s="1"/>
  <c r="BC495" i="1" s="1"/>
  <c r="AC496" i="1"/>
  <c r="AE496" i="1" s="1"/>
  <c r="AG496" i="1" s="1"/>
  <c r="AI496" i="1" s="1"/>
  <c r="AK496" i="1" s="1"/>
  <c r="AM496" i="1" s="1"/>
  <c r="AO496" i="1" s="1"/>
  <c r="AQ496" i="1" s="1"/>
  <c r="AS496" i="1" s="1"/>
  <c r="AU496" i="1" s="1"/>
  <c r="AW496" i="1" s="1"/>
  <c r="AY496" i="1" s="1"/>
  <c r="BA496" i="1" s="1"/>
  <c r="BC496" i="1" s="1"/>
  <c r="AC497" i="1"/>
  <c r="AE497" i="1" s="1"/>
  <c r="AG497" i="1" s="1"/>
  <c r="AI497" i="1" s="1"/>
  <c r="AK497" i="1" s="1"/>
  <c r="AM497" i="1" s="1"/>
  <c r="AO497" i="1" s="1"/>
  <c r="AQ497" i="1" s="1"/>
  <c r="AS497" i="1" s="1"/>
  <c r="AU497" i="1" s="1"/>
  <c r="AW497" i="1" s="1"/>
  <c r="AY497" i="1" s="1"/>
  <c r="BA497" i="1" s="1"/>
  <c r="BC497" i="1" s="1"/>
  <c r="AC498" i="1"/>
  <c r="AE498" i="1" s="1"/>
  <c r="AG498" i="1" s="1"/>
  <c r="AI498" i="1" s="1"/>
  <c r="AK498" i="1" s="1"/>
  <c r="AM498" i="1" s="1"/>
  <c r="AO498" i="1" s="1"/>
  <c r="AQ498" i="1" s="1"/>
  <c r="AS498" i="1" s="1"/>
  <c r="AU498" i="1" s="1"/>
  <c r="AW498" i="1" s="1"/>
  <c r="AY498" i="1" s="1"/>
  <c r="BA498" i="1" s="1"/>
  <c r="BC498" i="1" s="1"/>
  <c r="AC499" i="1"/>
  <c r="AE499" i="1" s="1"/>
  <c r="AG499" i="1" s="1"/>
  <c r="AI499" i="1" s="1"/>
  <c r="AK499" i="1" s="1"/>
  <c r="AM499" i="1" s="1"/>
  <c r="AO499" i="1" s="1"/>
  <c r="AQ499" i="1" s="1"/>
  <c r="AS499" i="1" s="1"/>
  <c r="AU499" i="1" s="1"/>
  <c r="AW499" i="1" s="1"/>
  <c r="AY499" i="1" s="1"/>
  <c r="BA499" i="1" s="1"/>
  <c r="BC499" i="1" s="1"/>
  <c r="AC500" i="1"/>
  <c r="AE500" i="1" s="1"/>
  <c r="AG500" i="1" s="1"/>
  <c r="AI500" i="1" s="1"/>
  <c r="AK500" i="1" s="1"/>
  <c r="AM500" i="1" s="1"/>
  <c r="AO500" i="1" s="1"/>
  <c r="AQ500" i="1" s="1"/>
  <c r="AS500" i="1" s="1"/>
  <c r="AU500" i="1" s="1"/>
  <c r="AW500" i="1" s="1"/>
  <c r="AY500" i="1" s="1"/>
  <c r="BA500" i="1" s="1"/>
  <c r="BC500" i="1" s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494" i="1"/>
  <c r="AD494" i="1" s="1"/>
  <c r="AF494" i="1" s="1"/>
  <c r="AH494" i="1" s="1"/>
  <c r="AJ494" i="1" s="1"/>
  <c r="AL494" i="1" s="1"/>
  <c r="AN494" i="1" s="1"/>
  <c r="AP494" i="1" s="1"/>
  <c r="AR494" i="1" s="1"/>
  <c r="AT494" i="1" s="1"/>
  <c r="AV494" i="1" s="1"/>
  <c r="AX494" i="1" s="1"/>
  <c r="AZ494" i="1" s="1"/>
  <c r="BB494" i="1" s="1"/>
  <c r="AB495" i="1"/>
  <c r="AD495" i="1" s="1"/>
  <c r="AF495" i="1" s="1"/>
  <c r="AH495" i="1" s="1"/>
  <c r="AJ495" i="1" s="1"/>
  <c r="AL495" i="1" s="1"/>
  <c r="AN495" i="1" s="1"/>
  <c r="AP495" i="1" s="1"/>
  <c r="AR495" i="1" s="1"/>
  <c r="AT495" i="1" s="1"/>
  <c r="AV495" i="1" s="1"/>
  <c r="AX495" i="1" s="1"/>
  <c r="AZ495" i="1" s="1"/>
  <c r="BB495" i="1" s="1"/>
  <c r="AB496" i="1"/>
  <c r="AD496" i="1" s="1"/>
  <c r="AF496" i="1" s="1"/>
  <c r="AH496" i="1" s="1"/>
  <c r="AJ496" i="1" s="1"/>
  <c r="AL496" i="1" s="1"/>
  <c r="AN496" i="1" s="1"/>
  <c r="AP496" i="1" s="1"/>
  <c r="AR496" i="1" s="1"/>
  <c r="AT496" i="1" s="1"/>
  <c r="AV496" i="1" s="1"/>
  <c r="AX496" i="1" s="1"/>
  <c r="AZ496" i="1" s="1"/>
  <c r="BB496" i="1" s="1"/>
  <c r="AB497" i="1"/>
  <c r="AD497" i="1" s="1"/>
  <c r="AF497" i="1" s="1"/>
  <c r="AH497" i="1" s="1"/>
  <c r="AJ497" i="1" s="1"/>
  <c r="AL497" i="1" s="1"/>
  <c r="AN497" i="1" s="1"/>
  <c r="AP497" i="1" s="1"/>
  <c r="AR497" i="1" s="1"/>
  <c r="AT497" i="1" s="1"/>
  <c r="AV497" i="1" s="1"/>
  <c r="AX497" i="1" s="1"/>
  <c r="AZ497" i="1" s="1"/>
  <c r="BB497" i="1" s="1"/>
  <c r="AB498" i="1"/>
  <c r="AD498" i="1" s="1"/>
  <c r="AF498" i="1" s="1"/>
  <c r="AH498" i="1" s="1"/>
  <c r="AJ498" i="1" s="1"/>
  <c r="AL498" i="1" s="1"/>
  <c r="AN498" i="1" s="1"/>
  <c r="AP498" i="1" s="1"/>
  <c r="AR498" i="1" s="1"/>
  <c r="AT498" i="1" s="1"/>
  <c r="AV498" i="1" s="1"/>
  <c r="AX498" i="1" s="1"/>
  <c r="AZ498" i="1" s="1"/>
  <c r="BB498" i="1" s="1"/>
  <c r="AB499" i="1"/>
  <c r="AD499" i="1" s="1"/>
  <c r="AF499" i="1" s="1"/>
  <c r="AH499" i="1" s="1"/>
  <c r="AJ499" i="1" s="1"/>
  <c r="AL499" i="1" s="1"/>
  <c r="AN499" i="1" s="1"/>
  <c r="AP499" i="1" s="1"/>
  <c r="AR499" i="1" s="1"/>
  <c r="AT499" i="1" s="1"/>
  <c r="AV499" i="1" s="1"/>
  <c r="AX499" i="1" s="1"/>
  <c r="AZ499" i="1" s="1"/>
  <c r="BB499" i="1" s="1"/>
  <c r="AB500" i="1"/>
  <c r="AD500" i="1" s="1"/>
  <c r="AF500" i="1" s="1"/>
  <c r="AH500" i="1" s="1"/>
  <c r="AJ500" i="1" s="1"/>
  <c r="AL500" i="1" s="1"/>
  <c r="AN500" i="1" s="1"/>
  <c r="AP500" i="1" s="1"/>
  <c r="AR500" i="1" s="1"/>
  <c r="AT500" i="1" s="1"/>
  <c r="AV500" i="1" s="1"/>
  <c r="AX500" i="1" s="1"/>
  <c r="AZ500" i="1" s="1"/>
  <c r="BB500" i="1" s="1"/>
  <c r="Y501" i="1"/>
  <c r="Y502" i="1"/>
  <c r="Y503" i="1"/>
  <c r="Y504" i="1"/>
  <c r="Y505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496" i="1"/>
  <c r="Y497" i="1"/>
  <c r="Y500" i="1"/>
  <c r="Y442" i="1"/>
  <c r="Y441" i="1"/>
  <c r="Y440" i="1"/>
  <c r="Y439" i="1"/>
  <c r="Y438" i="1"/>
  <c r="Y437" i="1"/>
  <c r="BM435" i="1"/>
  <c r="BI435" i="1"/>
  <c r="BE435" i="1"/>
  <c r="BP435" i="1" s="1"/>
  <c r="AC435" i="1"/>
  <c r="AB435" i="1"/>
  <c r="BM434" i="1"/>
  <c r="BI434" i="1"/>
  <c r="BE434" i="1"/>
  <c r="BN434" i="1" s="1"/>
  <c r="AC434" i="1"/>
  <c r="AB434" i="1"/>
  <c r="BM433" i="1"/>
  <c r="BI433" i="1"/>
  <c r="BE433" i="1"/>
  <c r="BO433" i="1" s="1"/>
  <c r="AC433" i="1"/>
  <c r="AB433" i="1"/>
  <c r="BM432" i="1"/>
  <c r="BI432" i="1"/>
  <c r="BE432" i="1"/>
  <c r="AC432" i="1"/>
  <c r="AB432" i="1"/>
  <c r="BM431" i="1"/>
  <c r="BI431" i="1"/>
  <c r="BE431" i="1"/>
  <c r="AC431" i="1"/>
  <c r="AB431" i="1"/>
  <c r="BM430" i="1"/>
  <c r="BI430" i="1"/>
  <c r="BE430" i="1"/>
  <c r="BN430" i="1" s="1"/>
  <c r="AC430" i="1"/>
  <c r="AB430" i="1"/>
  <c r="BM429" i="1"/>
  <c r="BI429" i="1"/>
  <c r="BE429" i="1"/>
  <c r="BO429" i="1" s="1"/>
  <c r="AC429" i="1"/>
  <c r="AB429" i="1"/>
  <c r="BM428" i="1"/>
  <c r="BI428" i="1"/>
  <c r="BE428" i="1"/>
  <c r="AC428" i="1"/>
  <c r="AB428" i="1"/>
  <c r="BM427" i="1"/>
  <c r="BI427" i="1"/>
  <c r="BE427" i="1"/>
  <c r="AC427" i="1"/>
  <c r="AB427" i="1"/>
  <c r="BP657" i="1" l="1"/>
  <c r="BO657" i="1"/>
  <c r="BN643" i="1"/>
  <c r="BO643" i="1"/>
  <c r="BN649" i="1"/>
  <c r="BO649" i="1"/>
  <c r="BO620" i="1"/>
  <c r="BN620" i="1"/>
  <c r="BO621" i="1"/>
  <c r="BN621" i="1"/>
  <c r="BN622" i="1"/>
  <c r="BO622" i="1"/>
  <c r="BO623" i="1"/>
  <c r="BN623" i="1"/>
  <c r="BO624" i="1"/>
  <c r="BN624" i="1"/>
  <c r="BO625" i="1"/>
  <c r="BN625" i="1"/>
  <c r="BO626" i="1"/>
  <c r="BN626" i="1"/>
  <c r="BN627" i="1"/>
  <c r="BO627" i="1"/>
  <c r="BO628" i="1"/>
  <c r="BN628" i="1"/>
  <c r="BN629" i="1"/>
  <c r="BO629" i="1"/>
  <c r="BN630" i="1"/>
  <c r="BO630" i="1"/>
  <c r="BN631" i="1"/>
  <c r="BO631" i="1"/>
  <c r="BN632" i="1"/>
  <c r="BO632" i="1"/>
  <c r="BO633" i="1"/>
  <c r="BN633" i="1"/>
  <c r="BN634" i="1"/>
  <c r="BO634" i="1"/>
  <c r="BN635" i="1"/>
  <c r="BO635" i="1"/>
  <c r="BN636" i="1"/>
  <c r="BO636" i="1"/>
  <c r="BN637" i="1"/>
  <c r="BO637" i="1"/>
  <c r="BN638" i="1"/>
  <c r="BO638" i="1"/>
  <c r="BN639" i="1"/>
  <c r="BO639" i="1"/>
  <c r="BN640" i="1"/>
  <c r="BO640" i="1"/>
  <c r="BN641" i="1"/>
  <c r="BO641" i="1"/>
  <c r="BN642" i="1"/>
  <c r="BO642" i="1"/>
  <c r="BN644" i="1"/>
  <c r="BO644" i="1"/>
  <c r="BN645" i="1"/>
  <c r="BO645" i="1"/>
  <c r="BN646" i="1"/>
  <c r="BO646" i="1"/>
  <c r="BN647" i="1"/>
  <c r="BO647" i="1"/>
  <c r="BO648" i="1"/>
  <c r="BN648" i="1"/>
  <c r="BO650" i="1"/>
  <c r="BN650" i="1"/>
  <c r="BO651" i="1"/>
  <c r="BN651" i="1"/>
  <c r="BO652" i="1"/>
  <c r="BN652" i="1"/>
  <c r="BO653" i="1"/>
  <c r="BN653" i="1"/>
  <c r="BO654" i="1"/>
  <c r="BN654" i="1"/>
  <c r="BO655" i="1"/>
  <c r="BN655" i="1"/>
  <c r="BO656" i="1"/>
  <c r="BN656" i="1"/>
  <c r="BO658" i="1"/>
  <c r="BN658" i="1"/>
  <c r="BO659" i="1"/>
  <c r="BP659" i="1"/>
  <c r="BN659" i="1"/>
  <c r="BO660" i="1"/>
  <c r="BP660" i="1"/>
  <c r="BN660" i="1"/>
  <c r="BP661" i="1"/>
  <c r="BO661" i="1"/>
  <c r="BN661" i="1"/>
  <c r="BO662" i="1"/>
  <c r="BP662" i="1"/>
  <c r="BN662" i="1"/>
  <c r="BP663" i="1"/>
  <c r="BN663" i="1"/>
  <c r="BO663" i="1"/>
  <c r="BP664" i="1"/>
  <c r="BN664" i="1"/>
  <c r="BO664" i="1"/>
  <c r="BP665" i="1"/>
  <c r="BN665" i="1"/>
  <c r="BO665" i="1"/>
  <c r="BP666" i="1"/>
  <c r="BO666" i="1"/>
  <c r="BN666" i="1"/>
  <c r="BP667" i="1"/>
  <c r="BO667" i="1"/>
  <c r="BN667" i="1"/>
  <c r="BP668" i="1"/>
  <c r="BO668" i="1"/>
  <c r="BN668" i="1"/>
  <c r="BP669" i="1"/>
  <c r="BN669" i="1"/>
  <c r="BO669" i="1"/>
  <c r="BP670" i="1"/>
  <c r="BO670" i="1"/>
  <c r="BN670" i="1"/>
  <c r="BP671" i="1"/>
  <c r="BN671" i="1"/>
  <c r="BO671" i="1"/>
  <c r="BO672" i="1"/>
  <c r="BN672" i="1"/>
  <c r="BP672" i="1"/>
  <c r="BP673" i="1"/>
  <c r="BO673" i="1"/>
  <c r="BN673" i="1"/>
  <c r="BP674" i="1"/>
  <c r="BN674" i="1"/>
  <c r="BO674" i="1"/>
  <c r="BP675" i="1"/>
  <c r="BN675" i="1"/>
  <c r="BO675" i="1"/>
  <c r="BP676" i="1"/>
  <c r="BN676" i="1"/>
  <c r="BO676" i="1"/>
  <c r="BN677" i="1"/>
  <c r="BP677" i="1"/>
  <c r="BO677" i="1"/>
  <c r="BN678" i="1"/>
  <c r="BP678" i="1"/>
  <c r="BO678" i="1"/>
  <c r="BP679" i="1"/>
  <c r="BN679" i="1"/>
  <c r="BO679" i="1"/>
  <c r="BP680" i="1"/>
  <c r="BN680" i="1"/>
  <c r="BO680" i="1"/>
  <c r="BP681" i="1"/>
  <c r="BN681" i="1"/>
  <c r="BO681" i="1"/>
  <c r="BP682" i="1"/>
  <c r="BN682" i="1"/>
  <c r="BO682" i="1"/>
  <c r="BP683" i="1"/>
  <c r="BN683" i="1"/>
  <c r="BO683" i="1"/>
  <c r="BP684" i="1"/>
  <c r="BN684" i="1"/>
  <c r="BO684" i="1"/>
  <c r="BP685" i="1"/>
  <c r="BN685" i="1"/>
  <c r="BO685" i="1"/>
  <c r="BP686" i="1"/>
  <c r="BN686" i="1"/>
  <c r="BO686" i="1"/>
  <c r="BN687" i="1"/>
  <c r="BP687" i="1"/>
  <c r="BO687" i="1"/>
  <c r="BN688" i="1"/>
  <c r="BO688" i="1"/>
  <c r="BP688" i="1"/>
  <c r="BO689" i="1"/>
  <c r="BN689" i="1"/>
  <c r="BP689" i="1"/>
  <c r="BO690" i="1"/>
  <c r="BP690" i="1"/>
  <c r="BN690" i="1"/>
  <c r="BO691" i="1"/>
  <c r="BP691" i="1"/>
  <c r="BN691" i="1"/>
  <c r="BP692" i="1"/>
  <c r="BN692" i="1"/>
  <c r="BO692" i="1"/>
  <c r="BP693" i="1"/>
  <c r="BN693" i="1"/>
  <c r="BO693" i="1"/>
  <c r="BP694" i="1"/>
  <c r="BN694" i="1"/>
  <c r="BO694" i="1"/>
  <c r="BP695" i="1"/>
  <c r="BN695" i="1"/>
  <c r="BO695" i="1"/>
  <c r="BO696" i="1"/>
  <c r="BN696" i="1"/>
  <c r="BP696" i="1"/>
  <c r="BN697" i="1"/>
  <c r="BP697" i="1"/>
  <c r="BO697" i="1"/>
  <c r="BN698" i="1"/>
  <c r="BP698" i="1"/>
  <c r="BO698" i="1"/>
  <c r="BN699" i="1"/>
  <c r="BP699" i="1"/>
  <c r="BO699" i="1"/>
  <c r="BN700" i="1"/>
  <c r="BP700" i="1"/>
  <c r="BO700" i="1"/>
  <c r="BN701" i="1"/>
  <c r="BP701" i="1"/>
  <c r="BO701" i="1"/>
  <c r="BN702" i="1"/>
  <c r="BP702" i="1"/>
  <c r="BO702" i="1"/>
  <c r="BP703" i="1"/>
  <c r="BO703" i="1"/>
  <c r="BN703" i="1"/>
  <c r="BO704" i="1"/>
  <c r="BN704" i="1"/>
  <c r="BP704" i="1"/>
  <c r="BO705" i="1"/>
  <c r="BN705" i="1"/>
  <c r="BP705" i="1"/>
  <c r="BO706" i="1"/>
  <c r="BN706" i="1"/>
  <c r="BP706" i="1"/>
  <c r="BO707" i="1"/>
  <c r="BN707" i="1"/>
  <c r="BP707" i="1"/>
  <c r="BP708" i="1"/>
  <c r="BN708" i="1"/>
  <c r="BO708" i="1"/>
  <c r="BN709" i="1"/>
  <c r="BO709" i="1"/>
  <c r="BP709" i="1"/>
  <c r="BO710" i="1"/>
  <c r="BP710" i="1"/>
  <c r="BN710" i="1"/>
  <c r="BP711" i="1"/>
  <c r="BO711" i="1"/>
  <c r="BN711" i="1"/>
  <c r="BO712" i="1"/>
  <c r="BN712" i="1"/>
  <c r="BP712" i="1"/>
  <c r="BO713" i="1"/>
  <c r="BN713" i="1"/>
  <c r="BP713" i="1"/>
  <c r="BO714" i="1"/>
  <c r="BN714" i="1"/>
  <c r="BP714" i="1"/>
  <c r="BN715" i="1"/>
  <c r="BP715" i="1"/>
  <c r="BO715" i="1"/>
  <c r="BP716" i="1"/>
  <c r="BN716" i="1"/>
  <c r="BO716" i="1"/>
  <c r="BP717" i="1"/>
  <c r="BN717" i="1"/>
  <c r="BO717" i="1"/>
  <c r="BP718" i="1"/>
  <c r="BN718" i="1"/>
  <c r="BO718" i="1"/>
  <c r="BP719" i="1"/>
  <c r="BN719" i="1"/>
  <c r="BO719" i="1"/>
  <c r="BP720" i="1"/>
  <c r="BN720" i="1"/>
  <c r="BO720" i="1"/>
  <c r="BP721" i="1"/>
  <c r="BN721" i="1"/>
  <c r="BO721" i="1"/>
  <c r="BO722" i="1"/>
  <c r="BP722" i="1"/>
  <c r="BN722" i="1"/>
  <c r="BP723" i="1"/>
  <c r="BO723" i="1"/>
  <c r="BN723" i="1"/>
  <c r="BN724" i="1"/>
  <c r="BP724" i="1"/>
  <c r="BO724" i="1"/>
  <c r="BN725" i="1"/>
  <c r="BP725" i="1"/>
  <c r="BO725" i="1"/>
  <c r="BN726" i="1"/>
  <c r="BP726" i="1"/>
  <c r="BO726" i="1"/>
  <c r="BP727" i="1"/>
  <c r="BN727" i="1"/>
  <c r="BO727" i="1"/>
  <c r="BN728" i="1"/>
  <c r="BO728" i="1"/>
  <c r="BP728" i="1"/>
  <c r="BN729" i="1"/>
  <c r="BP729" i="1"/>
  <c r="BO729" i="1"/>
  <c r="BP730" i="1"/>
  <c r="BN730" i="1"/>
  <c r="BO730" i="1"/>
  <c r="BP731" i="1"/>
  <c r="BN731" i="1"/>
  <c r="BO731" i="1"/>
  <c r="BP732" i="1"/>
  <c r="BO732" i="1"/>
  <c r="BN732" i="1"/>
  <c r="BP733" i="1"/>
  <c r="BN733" i="1"/>
  <c r="BO733" i="1"/>
  <c r="BP734" i="1"/>
  <c r="BN734" i="1"/>
  <c r="BO734" i="1"/>
  <c r="BP735" i="1"/>
  <c r="BO735" i="1"/>
  <c r="BN735" i="1"/>
  <c r="BP736" i="1"/>
  <c r="BO736" i="1"/>
  <c r="BN736" i="1"/>
  <c r="BO737" i="1"/>
  <c r="BP737" i="1"/>
  <c r="BN737" i="1"/>
  <c r="BN738" i="1"/>
  <c r="BP738" i="1"/>
  <c r="BO738" i="1"/>
  <c r="BP739" i="1"/>
  <c r="BO739" i="1"/>
  <c r="BN739" i="1"/>
  <c r="BO740" i="1"/>
  <c r="BP740" i="1"/>
  <c r="BN740" i="1"/>
  <c r="BO741" i="1"/>
  <c r="BP741" i="1"/>
  <c r="BN741" i="1"/>
  <c r="BO742" i="1"/>
  <c r="BP742" i="1"/>
  <c r="BN742" i="1"/>
  <c r="BO743" i="1"/>
  <c r="BP743" i="1"/>
  <c r="BN743" i="1"/>
  <c r="BO744" i="1"/>
  <c r="BP744" i="1"/>
  <c r="BN744" i="1"/>
  <c r="BP745" i="1"/>
  <c r="BO745" i="1"/>
  <c r="BN745" i="1"/>
  <c r="BO746" i="1"/>
  <c r="BP746" i="1"/>
  <c r="BN746" i="1"/>
  <c r="BO747" i="1"/>
  <c r="BP747" i="1"/>
  <c r="BN747" i="1"/>
  <c r="BO748" i="1"/>
  <c r="BP748" i="1"/>
  <c r="BN748" i="1"/>
  <c r="BO749" i="1"/>
  <c r="BP749" i="1"/>
  <c r="BN749" i="1"/>
  <c r="BP750" i="1"/>
  <c r="BO750" i="1"/>
  <c r="BN750" i="1"/>
  <c r="BO751" i="1"/>
  <c r="BP751" i="1"/>
  <c r="BN751" i="1"/>
  <c r="BO752" i="1"/>
  <c r="BP752" i="1"/>
  <c r="BN752" i="1"/>
  <c r="BN753" i="1"/>
  <c r="BO753" i="1"/>
  <c r="BP753" i="1"/>
  <c r="BO754" i="1"/>
  <c r="BP754" i="1"/>
  <c r="BN754" i="1"/>
  <c r="BN755" i="1"/>
  <c r="BO755" i="1"/>
  <c r="BP755" i="1"/>
  <c r="BN756" i="1"/>
  <c r="BP756" i="1"/>
  <c r="BO756" i="1"/>
  <c r="BN757" i="1"/>
  <c r="BP757" i="1"/>
  <c r="BO757" i="1"/>
  <c r="BN758" i="1"/>
  <c r="BO758" i="1"/>
  <c r="BP758" i="1"/>
  <c r="BN759" i="1"/>
  <c r="BP759" i="1"/>
  <c r="BO759" i="1"/>
  <c r="BO760" i="1"/>
  <c r="BN760" i="1"/>
  <c r="BP760" i="1"/>
  <c r="BO761" i="1"/>
  <c r="BN761" i="1"/>
  <c r="BP761" i="1"/>
  <c r="BO762" i="1"/>
  <c r="BN762" i="1"/>
  <c r="BP762" i="1"/>
  <c r="BO763" i="1"/>
  <c r="BN763" i="1"/>
  <c r="BP763" i="1"/>
  <c r="BO764" i="1"/>
  <c r="BN764" i="1"/>
  <c r="BP764" i="1"/>
  <c r="BP765" i="1"/>
  <c r="BN765" i="1"/>
  <c r="BO765" i="1"/>
  <c r="BO766" i="1"/>
  <c r="BN766" i="1"/>
  <c r="BP766" i="1"/>
  <c r="BN767" i="1"/>
  <c r="BO767" i="1"/>
  <c r="BP767" i="1"/>
  <c r="BO768" i="1"/>
  <c r="BN768" i="1"/>
  <c r="BP768" i="1"/>
  <c r="BO769" i="1"/>
  <c r="BN769" i="1"/>
  <c r="BP769" i="1"/>
  <c r="BO770" i="1"/>
  <c r="BN770" i="1"/>
  <c r="BP770" i="1"/>
  <c r="BN771" i="1"/>
  <c r="BO771" i="1"/>
  <c r="BP771" i="1"/>
  <c r="BO772" i="1"/>
  <c r="BN772" i="1"/>
  <c r="BP772" i="1"/>
  <c r="BO773" i="1"/>
  <c r="BN773" i="1"/>
  <c r="BP773" i="1"/>
  <c r="BO774" i="1"/>
  <c r="BN774" i="1"/>
  <c r="BP774" i="1"/>
  <c r="BO775" i="1"/>
  <c r="BN775" i="1"/>
  <c r="BP775" i="1"/>
  <c r="BO776" i="1"/>
  <c r="BN776" i="1"/>
  <c r="BP776" i="1"/>
  <c r="BO777" i="1"/>
  <c r="BN777" i="1"/>
  <c r="BP777" i="1"/>
  <c r="BO778" i="1"/>
  <c r="BN778" i="1"/>
  <c r="BP778" i="1"/>
  <c r="BO779" i="1"/>
  <c r="BN779" i="1"/>
  <c r="BP779" i="1"/>
  <c r="BO780" i="1"/>
  <c r="BN780" i="1"/>
  <c r="BP780" i="1"/>
  <c r="BN781" i="1"/>
  <c r="BO781" i="1"/>
  <c r="BP781" i="1"/>
  <c r="BO782" i="1"/>
  <c r="BN782" i="1"/>
  <c r="BP782" i="1"/>
  <c r="BO783" i="1"/>
  <c r="BN783" i="1"/>
  <c r="BP783" i="1"/>
  <c r="BO784" i="1"/>
  <c r="BN784" i="1"/>
  <c r="BP784" i="1"/>
  <c r="BP785" i="1"/>
  <c r="BO785" i="1"/>
  <c r="BN785" i="1"/>
  <c r="BO786" i="1"/>
  <c r="BN786" i="1"/>
  <c r="BP786" i="1"/>
  <c r="BN787" i="1"/>
  <c r="BO787" i="1"/>
  <c r="BP787" i="1"/>
  <c r="BO788" i="1"/>
  <c r="BN788" i="1"/>
  <c r="BP788" i="1"/>
  <c r="BO789" i="1"/>
  <c r="BN789" i="1"/>
  <c r="BP789" i="1"/>
  <c r="BO790" i="1"/>
  <c r="BN790" i="1"/>
  <c r="BP790" i="1"/>
  <c r="BN791" i="1"/>
  <c r="BO791" i="1"/>
  <c r="BP791" i="1"/>
  <c r="BN792" i="1"/>
  <c r="BO792" i="1"/>
  <c r="BP792" i="1"/>
  <c r="BP793" i="1"/>
  <c r="BN793" i="1"/>
  <c r="BO793" i="1"/>
  <c r="BN794" i="1"/>
  <c r="BO794" i="1"/>
  <c r="BP794" i="1"/>
  <c r="BN795" i="1"/>
  <c r="BP795" i="1"/>
  <c r="BO795" i="1"/>
  <c r="BN796" i="1"/>
  <c r="BO796" i="1"/>
  <c r="BP796" i="1"/>
  <c r="BO797" i="1"/>
  <c r="BN797" i="1"/>
  <c r="BP797" i="1"/>
  <c r="BN798" i="1"/>
  <c r="BO798" i="1"/>
  <c r="BP798" i="1"/>
  <c r="BO799" i="1"/>
  <c r="BP799" i="1"/>
  <c r="BN799" i="1"/>
  <c r="BO800" i="1"/>
  <c r="BP800" i="1"/>
  <c r="BN800" i="1"/>
  <c r="BO801" i="1"/>
  <c r="BP801" i="1"/>
  <c r="BN801" i="1"/>
  <c r="BO802" i="1"/>
  <c r="BP802" i="1"/>
  <c r="BN802" i="1"/>
  <c r="BP803" i="1"/>
  <c r="BN803" i="1"/>
  <c r="BO803" i="1"/>
  <c r="BO804" i="1"/>
  <c r="BP804" i="1"/>
  <c r="BN804" i="1"/>
  <c r="BO805" i="1"/>
  <c r="BP805" i="1"/>
  <c r="BN805" i="1"/>
  <c r="BO806" i="1"/>
  <c r="BN806" i="1"/>
  <c r="BP806" i="1"/>
  <c r="BP807" i="1"/>
  <c r="BN807" i="1"/>
  <c r="BO807" i="1"/>
  <c r="BP808" i="1"/>
  <c r="BN808" i="1"/>
  <c r="BO808" i="1"/>
  <c r="BP809" i="1"/>
  <c r="BO809" i="1"/>
  <c r="BN809" i="1"/>
  <c r="BP810" i="1"/>
  <c r="BO810" i="1"/>
  <c r="BN810" i="1"/>
  <c r="BP811" i="1"/>
  <c r="BN811" i="1"/>
  <c r="BO811" i="1"/>
  <c r="BP812" i="1"/>
  <c r="BN812" i="1"/>
  <c r="BO812" i="1"/>
  <c r="BP813" i="1"/>
  <c r="BN813" i="1"/>
  <c r="BO813" i="1"/>
  <c r="BP814" i="1"/>
  <c r="BN814" i="1"/>
  <c r="BO814" i="1"/>
  <c r="BO815" i="1"/>
  <c r="BP815" i="1"/>
  <c r="BN815" i="1"/>
  <c r="BP816" i="1"/>
  <c r="BN816" i="1"/>
  <c r="BO816" i="1"/>
  <c r="BO817" i="1"/>
  <c r="BP817" i="1"/>
  <c r="BN817" i="1"/>
  <c r="BP818" i="1"/>
  <c r="BN818" i="1"/>
  <c r="BO818" i="1"/>
  <c r="BO819" i="1"/>
  <c r="BN819" i="1"/>
  <c r="BP819" i="1"/>
  <c r="BO820" i="1"/>
  <c r="BP820" i="1"/>
  <c r="BN820" i="1"/>
  <c r="BO821" i="1"/>
  <c r="BP821" i="1"/>
  <c r="BN821" i="1"/>
  <c r="BN822" i="1"/>
  <c r="BO822" i="1"/>
  <c r="BP822" i="1"/>
  <c r="BO823" i="1"/>
  <c r="BN823" i="1"/>
  <c r="BP823" i="1"/>
  <c r="BN824" i="1"/>
  <c r="BO824" i="1"/>
  <c r="BP824" i="1"/>
  <c r="BN825" i="1"/>
  <c r="BO825" i="1"/>
  <c r="BP825" i="1"/>
  <c r="BP826" i="1"/>
  <c r="BO826" i="1"/>
  <c r="BN826" i="1"/>
  <c r="BP827" i="1"/>
  <c r="BO827" i="1"/>
  <c r="BN827" i="1"/>
  <c r="BP828" i="1"/>
  <c r="BO828" i="1"/>
  <c r="BN828" i="1"/>
  <c r="BP829" i="1"/>
  <c r="BO829" i="1"/>
  <c r="BN829" i="1"/>
  <c r="BP830" i="1"/>
  <c r="BO830" i="1"/>
  <c r="BN830" i="1"/>
  <c r="BO831" i="1"/>
  <c r="BN831" i="1"/>
  <c r="BP831" i="1"/>
  <c r="BP832" i="1"/>
  <c r="BN832" i="1"/>
  <c r="BO832" i="1"/>
  <c r="BP833" i="1"/>
  <c r="BO833" i="1"/>
  <c r="BN833" i="1"/>
  <c r="BP834" i="1"/>
  <c r="BN834" i="1"/>
  <c r="BO834" i="1"/>
  <c r="BP835" i="1"/>
  <c r="BN835" i="1"/>
  <c r="BO835" i="1"/>
  <c r="BP836" i="1"/>
  <c r="BN836" i="1"/>
  <c r="BO836" i="1"/>
  <c r="BN837" i="1"/>
  <c r="BO837" i="1"/>
  <c r="BP837" i="1"/>
  <c r="BN838" i="1"/>
  <c r="BO838" i="1"/>
  <c r="BP838" i="1"/>
  <c r="BN839" i="1"/>
  <c r="BP839" i="1"/>
  <c r="BO839" i="1"/>
  <c r="BO840" i="1"/>
  <c r="BP840" i="1"/>
  <c r="BN840" i="1"/>
  <c r="BN841" i="1"/>
  <c r="BP841" i="1"/>
  <c r="BO841" i="1"/>
  <c r="BO608" i="1"/>
  <c r="BN608" i="1"/>
  <c r="BO609" i="1"/>
  <c r="BN609" i="1"/>
  <c r="BO610" i="1"/>
  <c r="BN610" i="1"/>
  <c r="BO611" i="1"/>
  <c r="BN611" i="1"/>
  <c r="BO612" i="1"/>
  <c r="BN612" i="1"/>
  <c r="BO613" i="1"/>
  <c r="BN613" i="1"/>
  <c r="BO614" i="1"/>
  <c r="BN614" i="1"/>
  <c r="BO615" i="1"/>
  <c r="BN615" i="1"/>
  <c r="BO616" i="1"/>
  <c r="BN616" i="1"/>
  <c r="BO617" i="1"/>
  <c r="BN617" i="1"/>
  <c r="BN618" i="1"/>
  <c r="BO618" i="1"/>
  <c r="BO619" i="1"/>
  <c r="BN619" i="1"/>
  <c r="BN602" i="1"/>
  <c r="BO602" i="1"/>
  <c r="BO603" i="1"/>
  <c r="BN603" i="1"/>
  <c r="BO604" i="1"/>
  <c r="BN604" i="1"/>
  <c r="BO605" i="1"/>
  <c r="BN605" i="1"/>
  <c r="BO606" i="1"/>
  <c r="BN606" i="1"/>
  <c r="BO607" i="1"/>
  <c r="BN607" i="1"/>
  <c r="BN501" i="1"/>
  <c r="BP501" i="1"/>
  <c r="BO501" i="1"/>
  <c r="BN503" i="1"/>
  <c r="BP503" i="1"/>
  <c r="BO503" i="1"/>
  <c r="BN504" i="1"/>
  <c r="BP504" i="1"/>
  <c r="BO504" i="1"/>
  <c r="BN511" i="1"/>
  <c r="BP511" i="1"/>
  <c r="BO511" i="1"/>
  <c r="BN512" i="1"/>
  <c r="BP512" i="1"/>
  <c r="BO512" i="1"/>
  <c r="BN513" i="1"/>
  <c r="BP513" i="1"/>
  <c r="BO513" i="1"/>
  <c r="BN514" i="1"/>
  <c r="BP514" i="1"/>
  <c r="BO514" i="1"/>
  <c r="BN515" i="1"/>
  <c r="BP515" i="1"/>
  <c r="BO515" i="1"/>
  <c r="BN516" i="1"/>
  <c r="BP516" i="1"/>
  <c r="BO516" i="1"/>
  <c r="BN517" i="1"/>
  <c r="BP517" i="1"/>
  <c r="BO517" i="1"/>
  <c r="BN518" i="1"/>
  <c r="BP518" i="1"/>
  <c r="BO518" i="1"/>
  <c r="BN519" i="1"/>
  <c r="BP519" i="1"/>
  <c r="BO519" i="1"/>
  <c r="BP521" i="1"/>
  <c r="BO521" i="1"/>
  <c r="BN521" i="1"/>
  <c r="BN522" i="1"/>
  <c r="BP522" i="1"/>
  <c r="BO522" i="1"/>
  <c r="BN523" i="1"/>
  <c r="BP523" i="1"/>
  <c r="BO523" i="1"/>
  <c r="BN524" i="1"/>
  <c r="BP524" i="1"/>
  <c r="BO524" i="1"/>
  <c r="BN525" i="1"/>
  <c r="BP525" i="1"/>
  <c r="BO525" i="1"/>
  <c r="BN526" i="1"/>
  <c r="BP526" i="1"/>
  <c r="BO526" i="1"/>
  <c r="BN527" i="1"/>
  <c r="BP527" i="1"/>
  <c r="BO527" i="1"/>
  <c r="BN528" i="1"/>
  <c r="BP528" i="1"/>
  <c r="BO528" i="1"/>
  <c r="BN529" i="1"/>
  <c r="BP529" i="1"/>
  <c r="BO529" i="1"/>
  <c r="BN530" i="1"/>
  <c r="BP530" i="1"/>
  <c r="BO530" i="1"/>
  <c r="BN531" i="1"/>
  <c r="BP531" i="1"/>
  <c r="BO531" i="1"/>
  <c r="BN533" i="1"/>
  <c r="BP533" i="1"/>
  <c r="BO533" i="1"/>
  <c r="BP534" i="1"/>
  <c r="BN534" i="1"/>
  <c r="BO534" i="1"/>
  <c r="BP535" i="1"/>
  <c r="BN535" i="1"/>
  <c r="BO535" i="1"/>
  <c r="BP536" i="1"/>
  <c r="BN536" i="1"/>
  <c r="BO536" i="1"/>
  <c r="BP537" i="1"/>
  <c r="BN537" i="1"/>
  <c r="BO537" i="1"/>
  <c r="BP538" i="1"/>
  <c r="BN538" i="1"/>
  <c r="BO538" i="1"/>
  <c r="BP539" i="1"/>
  <c r="BO539" i="1"/>
  <c r="BN539" i="1"/>
  <c r="BP540" i="1"/>
  <c r="BO540" i="1"/>
  <c r="BN540" i="1"/>
  <c r="BP541" i="1"/>
  <c r="BO541" i="1"/>
  <c r="BN541" i="1"/>
  <c r="BP542" i="1"/>
  <c r="BO542" i="1"/>
  <c r="BN542" i="1"/>
  <c r="BP543" i="1"/>
  <c r="BO543" i="1"/>
  <c r="BN543" i="1"/>
  <c r="BP544" i="1"/>
  <c r="BO544" i="1"/>
  <c r="BN544" i="1"/>
  <c r="BP545" i="1"/>
  <c r="BO545" i="1"/>
  <c r="BN545" i="1"/>
  <c r="BP546" i="1"/>
  <c r="BN546" i="1"/>
  <c r="BO546" i="1"/>
  <c r="BP547" i="1"/>
  <c r="BN547" i="1"/>
  <c r="BO547" i="1"/>
  <c r="BP548" i="1"/>
  <c r="BO548" i="1"/>
  <c r="BN548" i="1"/>
  <c r="BP549" i="1"/>
  <c r="BO549" i="1"/>
  <c r="BN549" i="1"/>
  <c r="BP550" i="1"/>
  <c r="BN550" i="1"/>
  <c r="BO550" i="1"/>
  <c r="BP551" i="1"/>
  <c r="BO551" i="1"/>
  <c r="BN551" i="1"/>
  <c r="BP552" i="1"/>
  <c r="BO552" i="1"/>
  <c r="BN552" i="1"/>
  <c r="BP553" i="1"/>
  <c r="BO553" i="1"/>
  <c r="BN553" i="1"/>
  <c r="BP554" i="1"/>
  <c r="BN554" i="1"/>
  <c r="BO554" i="1"/>
  <c r="BP555" i="1"/>
  <c r="BN555" i="1"/>
  <c r="BO555" i="1"/>
  <c r="BP556" i="1"/>
  <c r="BN556" i="1"/>
  <c r="BO556" i="1"/>
  <c r="BP557" i="1"/>
  <c r="BO557" i="1"/>
  <c r="BN557" i="1"/>
  <c r="BP558" i="1"/>
  <c r="BO558" i="1"/>
  <c r="BN558" i="1"/>
  <c r="BN559" i="1"/>
  <c r="BP559" i="1"/>
  <c r="BO559" i="1"/>
  <c r="BP560" i="1"/>
  <c r="BO560" i="1"/>
  <c r="BN560" i="1"/>
  <c r="BP561" i="1"/>
  <c r="BN561" i="1"/>
  <c r="BO561" i="1"/>
  <c r="BP562" i="1"/>
  <c r="BN562" i="1"/>
  <c r="BO562" i="1"/>
  <c r="BP563" i="1"/>
  <c r="BN563" i="1"/>
  <c r="BO563" i="1"/>
  <c r="BP564" i="1"/>
  <c r="BO564" i="1"/>
  <c r="BN564" i="1"/>
  <c r="BP565" i="1"/>
  <c r="BO565" i="1"/>
  <c r="BN565" i="1"/>
  <c r="BP566" i="1"/>
  <c r="BO566" i="1"/>
  <c r="BN566" i="1"/>
  <c r="BP567" i="1"/>
  <c r="BO567" i="1"/>
  <c r="BN567" i="1"/>
  <c r="BP568" i="1"/>
  <c r="BO568" i="1"/>
  <c r="BN568" i="1"/>
  <c r="BP569" i="1"/>
  <c r="BO569" i="1"/>
  <c r="BN569" i="1"/>
  <c r="BP570" i="1"/>
  <c r="BO570" i="1"/>
  <c r="BN570" i="1"/>
  <c r="BO571" i="1"/>
  <c r="BP571" i="1"/>
  <c r="BN571" i="1"/>
  <c r="BO572" i="1"/>
  <c r="BP572" i="1"/>
  <c r="BN572" i="1"/>
  <c r="BO573" i="1"/>
  <c r="BN573" i="1"/>
  <c r="BP573" i="1"/>
  <c r="BO574" i="1"/>
  <c r="BP574" i="1"/>
  <c r="BN574" i="1"/>
  <c r="BO575" i="1"/>
  <c r="BP575" i="1"/>
  <c r="BN575" i="1"/>
  <c r="BP576" i="1"/>
  <c r="BO576" i="1"/>
  <c r="BN576" i="1"/>
  <c r="BP577" i="1"/>
  <c r="BO577" i="1"/>
  <c r="BN577" i="1"/>
  <c r="BP578" i="1"/>
  <c r="BO578" i="1"/>
  <c r="BN578" i="1"/>
  <c r="BP579" i="1"/>
  <c r="BO579" i="1"/>
  <c r="BN579" i="1"/>
  <c r="BP580" i="1"/>
  <c r="BO580" i="1"/>
  <c r="BN580" i="1"/>
  <c r="BP581" i="1"/>
  <c r="BO581" i="1"/>
  <c r="BN581" i="1"/>
  <c r="BN582" i="1"/>
  <c r="BP582" i="1"/>
  <c r="BO582" i="1"/>
  <c r="BN583" i="1"/>
  <c r="BO583" i="1"/>
  <c r="BP583" i="1"/>
  <c r="BP584" i="1"/>
  <c r="BN584" i="1"/>
  <c r="BO584" i="1"/>
  <c r="BP585" i="1"/>
  <c r="BN585" i="1"/>
  <c r="BO585" i="1"/>
  <c r="BN586" i="1"/>
  <c r="BP586" i="1"/>
  <c r="BO586" i="1"/>
  <c r="BN587" i="1"/>
  <c r="BO587" i="1"/>
  <c r="BP587" i="1"/>
  <c r="BP588" i="1"/>
  <c r="BO588" i="1"/>
  <c r="BN588" i="1"/>
  <c r="BP589" i="1"/>
  <c r="BO589" i="1"/>
  <c r="BN589" i="1"/>
  <c r="BO590" i="1"/>
  <c r="BP590" i="1"/>
  <c r="BN590" i="1"/>
  <c r="BO591" i="1"/>
  <c r="BP591" i="1"/>
  <c r="BN591" i="1"/>
  <c r="BO592" i="1"/>
  <c r="BP592" i="1"/>
  <c r="BN592" i="1"/>
  <c r="BP593" i="1"/>
  <c r="BO593" i="1"/>
  <c r="BN593" i="1"/>
  <c r="BP594" i="1"/>
  <c r="BO594" i="1"/>
  <c r="BN594" i="1"/>
  <c r="BO595" i="1"/>
  <c r="BP595" i="1"/>
  <c r="BN595" i="1"/>
  <c r="BO596" i="1"/>
  <c r="BP596" i="1"/>
  <c r="BN596" i="1"/>
  <c r="BP597" i="1"/>
  <c r="BO597" i="1"/>
  <c r="BN597" i="1"/>
  <c r="BP598" i="1"/>
  <c r="BO598" i="1"/>
  <c r="BN598" i="1"/>
  <c r="BO599" i="1"/>
  <c r="BP599" i="1"/>
  <c r="BN599" i="1"/>
  <c r="BP600" i="1"/>
  <c r="BO600" i="1"/>
  <c r="BN600" i="1"/>
  <c r="BO601" i="1"/>
  <c r="BP601" i="1"/>
  <c r="BN601" i="1"/>
  <c r="BO432" i="1"/>
  <c r="BN432" i="1"/>
  <c r="BO431" i="1"/>
  <c r="BN431" i="1"/>
  <c r="BO428" i="1"/>
  <c r="BN428" i="1"/>
  <c r="BP427" i="1"/>
  <c r="BN427" i="1"/>
  <c r="BP532" i="1"/>
  <c r="BN532" i="1"/>
  <c r="BP507" i="1"/>
  <c r="BO507" i="1"/>
  <c r="BN507" i="1"/>
  <c r="BN505" i="1"/>
  <c r="BP505" i="1"/>
  <c r="BN509" i="1"/>
  <c r="BP509" i="1"/>
  <c r="BO509" i="1"/>
  <c r="BP520" i="1"/>
  <c r="BO520" i="1"/>
  <c r="BN520" i="1"/>
  <c r="BP506" i="1"/>
  <c r="BN506" i="1"/>
  <c r="BP510" i="1"/>
  <c r="BN510" i="1"/>
  <c r="BP508" i="1"/>
  <c r="BO508" i="1"/>
  <c r="BN508" i="1"/>
  <c r="BP502" i="1"/>
  <c r="BO502" i="1"/>
  <c r="BN502" i="1"/>
  <c r="BP428" i="1"/>
  <c r="BP432" i="1"/>
  <c r="BN435" i="1"/>
  <c r="BP429" i="1"/>
  <c r="BP433" i="1"/>
  <c r="BO430" i="1"/>
  <c r="BO427" i="1"/>
  <c r="BP434" i="1"/>
  <c r="BO435" i="1"/>
  <c r="BN429" i="1"/>
  <c r="BP431" i="1"/>
  <c r="BQ431" i="1" s="1"/>
  <c r="BN433" i="1"/>
  <c r="BO434" i="1"/>
  <c r="BP430" i="1"/>
  <c r="BQ503" i="1" l="1"/>
  <c r="BR503" i="1" s="1"/>
  <c r="BQ827" i="1"/>
  <c r="BR827" i="1" s="1"/>
  <c r="BQ815" i="1"/>
  <c r="BR815" i="1" s="1"/>
  <c r="BQ799" i="1"/>
  <c r="BR799" i="1" s="1"/>
  <c r="BQ751" i="1"/>
  <c r="BR751" i="1" s="1"/>
  <c r="BQ747" i="1"/>
  <c r="BR747" i="1" s="1"/>
  <c r="BQ743" i="1"/>
  <c r="BR743" i="1" s="1"/>
  <c r="BQ739" i="1"/>
  <c r="BR739" i="1" s="1"/>
  <c r="BQ735" i="1"/>
  <c r="BR735" i="1" s="1"/>
  <c r="BQ723" i="1"/>
  <c r="BR723" i="1" s="1"/>
  <c r="BQ711" i="1"/>
  <c r="BR711" i="1" s="1"/>
  <c r="BQ703" i="1"/>
  <c r="BR703" i="1" s="1"/>
  <c r="BQ643" i="1"/>
  <c r="BR643" i="1" s="1"/>
  <c r="BQ691" i="1"/>
  <c r="BR691" i="1" s="1"/>
  <c r="BQ532" i="1"/>
  <c r="BR532" i="1" s="1"/>
  <c r="BQ657" i="1"/>
  <c r="BR657" i="1" s="1"/>
  <c r="BQ612" i="1"/>
  <c r="BR612" i="1" s="1"/>
  <c r="BQ667" i="1"/>
  <c r="BR667" i="1" s="1"/>
  <c r="BQ655" i="1"/>
  <c r="BR655" i="1" s="1"/>
  <c r="BQ659" i="1"/>
  <c r="BR659" i="1" s="1"/>
  <c r="BQ656" i="1"/>
  <c r="BR656" i="1" s="1"/>
  <c r="BQ652" i="1"/>
  <c r="BR652" i="1" s="1"/>
  <c r="BQ650" i="1"/>
  <c r="BR650" i="1" s="1"/>
  <c r="BQ628" i="1"/>
  <c r="BR628" i="1" s="1"/>
  <c r="BQ626" i="1"/>
  <c r="BR626" i="1" s="1"/>
  <c r="BQ432" i="1"/>
  <c r="BQ653" i="1"/>
  <c r="BR653" i="1" s="1"/>
  <c r="BQ542" i="1"/>
  <c r="BR542" i="1" s="1"/>
  <c r="BQ521" i="1"/>
  <c r="BR521" i="1" s="1"/>
  <c r="BQ501" i="1"/>
  <c r="BR501" i="1" s="1"/>
  <c r="BQ830" i="1"/>
  <c r="BR830" i="1" s="1"/>
  <c r="BQ826" i="1"/>
  <c r="BR826" i="1" s="1"/>
  <c r="BQ810" i="1"/>
  <c r="BR810" i="1" s="1"/>
  <c r="BQ802" i="1"/>
  <c r="BR802" i="1" s="1"/>
  <c r="BQ754" i="1"/>
  <c r="BR754" i="1" s="1"/>
  <c r="BQ750" i="1"/>
  <c r="BR750" i="1" s="1"/>
  <c r="BQ746" i="1"/>
  <c r="BR746" i="1" s="1"/>
  <c r="BQ742" i="1"/>
  <c r="BR742" i="1" s="1"/>
  <c r="BQ722" i="1"/>
  <c r="BR722" i="1" s="1"/>
  <c r="BQ710" i="1"/>
  <c r="BR710" i="1" s="1"/>
  <c r="BQ690" i="1"/>
  <c r="BR690" i="1" s="1"/>
  <c r="BQ670" i="1"/>
  <c r="BR670" i="1" s="1"/>
  <c r="BQ666" i="1"/>
  <c r="BR666" i="1" s="1"/>
  <c r="BQ662" i="1"/>
  <c r="BR662" i="1" s="1"/>
  <c r="BQ658" i="1"/>
  <c r="BR658" i="1" s="1"/>
  <c r="BQ651" i="1"/>
  <c r="BR651" i="1" s="1"/>
  <c r="BQ633" i="1"/>
  <c r="BR633" i="1" s="1"/>
  <c r="BQ620" i="1"/>
  <c r="BR620" i="1" s="1"/>
  <c r="BQ621" i="1"/>
  <c r="BR621" i="1" s="1"/>
  <c r="BQ606" i="1"/>
  <c r="BR606" i="1" s="1"/>
  <c r="BQ551" i="1"/>
  <c r="BR551" i="1" s="1"/>
  <c r="BQ566" i="1"/>
  <c r="BR566" i="1" s="1"/>
  <c r="BQ602" i="1"/>
  <c r="BR602" i="1" s="1"/>
  <c r="BQ592" i="1"/>
  <c r="BR592" i="1" s="1"/>
  <c r="BQ514" i="1"/>
  <c r="BR514" i="1" s="1"/>
  <c r="BQ752" i="1"/>
  <c r="BR752" i="1" s="1"/>
  <c r="BQ748" i="1"/>
  <c r="BR748" i="1" s="1"/>
  <c r="BQ744" i="1"/>
  <c r="BR744" i="1" s="1"/>
  <c r="BQ740" i="1"/>
  <c r="BR740" i="1" s="1"/>
  <c r="BQ736" i="1"/>
  <c r="BR736" i="1" s="1"/>
  <c r="BQ732" i="1"/>
  <c r="BR732" i="1" s="1"/>
  <c r="BQ668" i="1"/>
  <c r="BR668" i="1" s="1"/>
  <c r="BQ660" i="1"/>
  <c r="BR660" i="1" s="1"/>
  <c r="BQ654" i="1"/>
  <c r="BR654" i="1" s="1"/>
  <c r="BQ648" i="1"/>
  <c r="BR648" i="1" s="1"/>
  <c r="BQ624" i="1"/>
  <c r="BR624" i="1" s="1"/>
  <c r="BQ596" i="1"/>
  <c r="BR596" i="1" s="1"/>
  <c r="BQ523" i="1"/>
  <c r="BR523" i="1" s="1"/>
  <c r="BQ840" i="1"/>
  <c r="BR840" i="1" s="1"/>
  <c r="BQ828" i="1"/>
  <c r="BR828" i="1" s="1"/>
  <c r="BQ820" i="1"/>
  <c r="BR820" i="1" s="1"/>
  <c r="BQ804" i="1"/>
  <c r="BR804" i="1" s="1"/>
  <c r="BQ800" i="1"/>
  <c r="BR800" i="1" s="1"/>
  <c r="BQ428" i="1"/>
  <c r="BQ836" i="1"/>
  <c r="BR836" i="1" s="1"/>
  <c r="BQ784" i="1"/>
  <c r="BR784" i="1" s="1"/>
  <c r="BQ623" i="1"/>
  <c r="BR623" i="1" s="1"/>
  <c r="BQ429" i="1"/>
  <c r="BQ435" i="1"/>
  <c r="BQ427" i="1"/>
  <c r="BQ706" i="1"/>
  <c r="BR706" i="1" s="1"/>
  <c r="BQ565" i="1"/>
  <c r="BR565" i="1" s="1"/>
  <c r="BQ557" i="1"/>
  <c r="BR557" i="1" s="1"/>
  <c r="BQ553" i="1"/>
  <c r="BR553" i="1" s="1"/>
  <c r="BQ533" i="1"/>
  <c r="BR533" i="1" s="1"/>
  <c r="BQ519" i="1"/>
  <c r="BR519" i="1" s="1"/>
  <c r="BQ515" i="1"/>
  <c r="BR515" i="1" s="1"/>
  <c r="BQ511" i="1"/>
  <c r="BR511" i="1" s="1"/>
  <c r="BQ833" i="1"/>
  <c r="BR833" i="1" s="1"/>
  <c r="BQ829" i="1"/>
  <c r="BR829" i="1" s="1"/>
  <c r="BQ821" i="1"/>
  <c r="BR821" i="1" s="1"/>
  <c r="BQ817" i="1"/>
  <c r="BR817" i="1" s="1"/>
  <c r="BQ809" i="1"/>
  <c r="BR809" i="1" s="1"/>
  <c r="BQ805" i="1"/>
  <c r="BR805" i="1" s="1"/>
  <c r="BQ801" i="1"/>
  <c r="BR801" i="1" s="1"/>
  <c r="BQ785" i="1"/>
  <c r="BR785" i="1" s="1"/>
  <c r="BQ749" i="1"/>
  <c r="BR749" i="1" s="1"/>
  <c r="BQ745" i="1"/>
  <c r="BR745" i="1" s="1"/>
  <c r="BQ741" i="1"/>
  <c r="BR741" i="1" s="1"/>
  <c r="BQ737" i="1"/>
  <c r="BR737" i="1" s="1"/>
  <c r="BQ673" i="1"/>
  <c r="BR673" i="1" s="1"/>
  <c r="BQ661" i="1"/>
  <c r="BR661" i="1" s="1"/>
  <c r="BQ625" i="1"/>
  <c r="BR625" i="1" s="1"/>
  <c r="BQ572" i="1"/>
  <c r="BR572" i="1" s="1"/>
  <c r="BQ588" i="1"/>
  <c r="BR588" i="1" s="1"/>
  <c r="BQ580" i="1"/>
  <c r="BR580" i="1" s="1"/>
  <c r="BQ568" i="1"/>
  <c r="BR568" i="1" s="1"/>
  <c r="BQ617" i="1"/>
  <c r="BR617" i="1" s="1"/>
  <c r="BQ611" i="1"/>
  <c r="BR611" i="1" s="1"/>
  <c r="BQ599" i="1"/>
  <c r="BR599" i="1" s="1"/>
  <c r="BQ591" i="1"/>
  <c r="BR591" i="1" s="1"/>
  <c r="BQ579" i="1"/>
  <c r="BR579" i="1" s="1"/>
  <c r="BQ575" i="1"/>
  <c r="BR575" i="1" s="1"/>
  <c r="BQ571" i="1"/>
  <c r="BR571" i="1" s="1"/>
  <c r="BQ604" i="1"/>
  <c r="BR604" i="1" s="1"/>
  <c r="BQ616" i="1"/>
  <c r="BR616" i="1" s="1"/>
  <c r="BQ615" i="1"/>
  <c r="BR615" i="1" s="1"/>
  <c r="BQ574" i="1"/>
  <c r="BR574" i="1" s="1"/>
  <c r="BQ578" i="1"/>
  <c r="BR578" i="1" s="1"/>
  <c r="BQ570" i="1"/>
  <c r="BR570" i="1" s="1"/>
  <c r="BQ614" i="1"/>
  <c r="BR614" i="1" s="1"/>
  <c r="BQ608" i="1"/>
  <c r="BR608" i="1" s="1"/>
  <c r="BQ601" i="1"/>
  <c r="BR601" i="1" s="1"/>
  <c r="BQ593" i="1"/>
  <c r="BR593" i="1" s="1"/>
  <c r="BQ589" i="1"/>
  <c r="BR589" i="1" s="1"/>
  <c r="BQ577" i="1"/>
  <c r="BR577" i="1" s="1"/>
  <c r="BQ607" i="1"/>
  <c r="BR607" i="1" s="1"/>
  <c r="BQ619" i="1"/>
  <c r="BR619" i="1" s="1"/>
  <c r="BQ613" i="1"/>
  <c r="BR613" i="1" s="1"/>
  <c r="BQ603" i="1"/>
  <c r="BR603" i="1" s="1"/>
  <c r="BQ600" i="1"/>
  <c r="BR600" i="1" s="1"/>
  <c r="BQ598" i="1"/>
  <c r="BR598" i="1" s="1"/>
  <c r="BQ560" i="1"/>
  <c r="BR560" i="1" s="1"/>
  <c r="BQ558" i="1"/>
  <c r="BR558" i="1" s="1"/>
  <c r="BQ581" i="1"/>
  <c r="BR581" i="1" s="1"/>
  <c r="BQ569" i="1"/>
  <c r="BR569" i="1" s="1"/>
  <c r="BQ576" i="1"/>
  <c r="BR576" i="1" s="1"/>
  <c r="BQ594" i="1"/>
  <c r="BR594" i="1" s="1"/>
  <c r="BQ597" i="1"/>
  <c r="BR597" i="1" s="1"/>
  <c r="BQ590" i="1"/>
  <c r="BR590" i="1" s="1"/>
  <c r="BQ610" i="1"/>
  <c r="BR610" i="1" s="1"/>
  <c r="BQ609" i="1"/>
  <c r="BR609" i="1" s="1"/>
  <c r="BQ605" i="1"/>
  <c r="BR605" i="1" s="1"/>
  <c r="BQ552" i="1"/>
  <c r="BR552" i="1" s="1"/>
  <c r="BQ595" i="1"/>
  <c r="BR595" i="1" s="1"/>
  <c r="BQ622" i="1"/>
  <c r="BR622" i="1" s="1"/>
  <c r="BQ627" i="1"/>
  <c r="BR627" i="1" s="1"/>
  <c r="BQ629" i="1"/>
  <c r="BR629" i="1" s="1"/>
  <c r="BQ630" i="1"/>
  <c r="BR630" i="1" s="1"/>
  <c r="BQ631" i="1"/>
  <c r="BR631" i="1" s="1"/>
  <c r="BQ632" i="1"/>
  <c r="BR632" i="1" s="1"/>
  <c r="BQ634" i="1"/>
  <c r="BR634" i="1" s="1"/>
  <c r="BQ635" i="1"/>
  <c r="BR635" i="1" s="1"/>
  <c r="BQ636" i="1"/>
  <c r="BR636" i="1" s="1"/>
  <c r="BQ637" i="1"/>
  <c r="BR637" i="1" s="1"/>
  <c r="BQ638" i="1"/>
  <c r="BR638" i="1" s="1"/>
  <c r="BQ639" i="1"/>
  <c r="BR639" i="1" s="1"/>
  <c r="BQ640" i="1"/>
  <c r="BR640" i="1" s="1"/>
  <c r="BQ641" i="1"/>
  <c r="BR641" i="1" s="1"/>
  <c r="BQ642" i="1"/>
  <c r="BR642" i="1" s="1"/>
  <c r="BQ644" i="1"/>
  <c r="BR644" i="1" s="1"/>
  <c r="BQ645" i="1"/>
  <c r="BR645" i="1" s="1"/>
  <c r="BQ646" i="1"/>
  <c r="BR646" i="1" s="1"/>
  <c r="BQ647" i="1"/>
  <c r="BR647" i="1" s="1"/>
  <c r="BQ649" i="1"/>
  <c r="BR649" i="1" s="1"/>
  <c r="BQ663" i="1"/>
  <c r="BR663" i="1" s="1"/>
  <c r="BQ664" i="1"/>
  <c r="BR664" i="1" s="1"/>
  <c r="BQ665" i="1"/>
  <c r="BR665" i="1" s="1"/>
  <c r="BQ669" i="1"/>
  <c r="BR669" i="1" s="1"/>
  <c r="BQ671" i="1"/>
  <c r="BR671" i="1" s="1"/>
  <c r="BQ672" i="1"/>
  <c r="BR672" i="1" s="1"/>
  <c r="BQ674" i="1"/>
  <c r="BR674" i="1" s="1"/>
  <c r="BQ675" i="1"/>
  <c r="BR675" i="1" s="1"/>
  <c r="BQ676" i="1"/>
  <c r="BR676" i="1" s="1"/>
  <c r="BQ677" i="1"/>
  <c r="BR677" i="1" s="1"/>
  <c r="BQ678" i="1"/>
  <c r="BR678" i="1" s="1"/>
  <c r="BQ679" i="1"/>
  <c r="BR679" i="1" s="1"/>
  <c r="BQ680" i="1"/>
  <c r="BR680" i="1" s="1"/>
  <c r="BQ681" i="1"/>
  <c r="BR681" i="1" s="1"/>
  <c r="BQ682" i="1"/>
  <c r="BR682" i="1" s="1"/>
  <c r="BQ683" i="1"/>
  <c r="BR683" i="1" s="1"/>
  <c r="BQ684" i="1"/>
  <c r="BR684" i="1" s="1"/>
  <c r="BQ685" i="1"/>
  <c r="BR685" i="1" s="1"/>
  <c r="BQ686" i="1"/>
  <c r="BR686" i="1" s="1"/>
  <c r="BQ687" i="1"/>
  <c r="BR687" i="1" s="1"/>
  <c r="BQ688" i="1"/>
  <c r="BR688" i="1" s="1"/>
  <c r="BQ689" i="1"/>
  <c r="BR689" i="1" s="1"/>
  <c r="BQ692" i="1"/>
  <c r="BR692" i="1" s="1"/>
  <c r="BQ693" i="1"/>
  <c r="BR693" i="1" s="1"/>
  <c r="BQ694" i="1"/>
  <c r="BR694" i="1" s="1"/>
  <c r="BQ695" i="1"/>
  <c r="BR695" i="1" s="1"/>
  <c r="BQ696" i="1"/>
  <c r="BR696" i="1" s="1"/>
  <c r="BQ697" i="1"/>
  <c r="BR697" i="1" s="1"/>
  <c r="BQ698" i="1"/>
  <c r="BR698" i="1" s="1"/>
  <c r="BQ699" i="1"/>
  <c r="BR699" i="1" s="1"/>
  <c r="BQ700" i="1"/>
  <c r="BR700" i="1" s="1"/>
  <c r="BQ701" i="1"/>
  <c r="BR701" i="1" s="1"/>
  <c r="BQ702" i="1"/>
  <c r="BR702" i="1" s="1"/>
  <c r="BQ704" i="1"/>
  <c r="BR704" i="1" s="1"/>
  <c r="BQ705" i="1"/>
  <c r="BR705" i="1" s="1"/>
  <c r="BQ832" i="1"/>
  <c r="BR832" i="1" s="1"/>
  <c r="BQ834" i="1"/>
  <c r="BR834" i="1" s="1"/>
  <c r="BQ835" i="1"/>
  <c r="BR835" i="1" s="1"/>
  <c r="BQ841" i="1"/>
  <c r="BR841" i="1" s="1"/>
  <c r="BQ707" i="1"/>
  <c r="BR707" i="1" s="1"/>
  <c r="BQ708" i="1"/>
  <c r="BR708" i="1" s="1"/>
  <c r="BQ709" i="1"/>
  <c r="BR709" i="1" s="1"/>
  <c r="BQ712" i="1"/>
  <c r="BR712" i="1" s="1"/>
  <c r="BQ713" i="1"/>
  <c r="BR713" i="1" s="1"/>
  <c r="BQ714" i="1"/>
  <c r="BR714" i="1" s="1"/>
  <c r="BQ715" i="1"/>
  <c r="BR715" i="1" s="1"/>
  <c r="BQ716" i="1"/>
  <c r="BR716" i="1" s="1"/>
  <c r="BQ717" i="1"/>
  <c r="BR717" i="1" s="1"/>
  <c r="BQ718" i="1"/>
  <c r="BR718" i="1" s="1"/>
  <c r="BQ719" i="1"/>
  <c r="BR719" i="1" s="1"/>
  <c r="BQ720" i="1"/>
  <c r="BR720" i="1" s="1"/>
  <c r="BQ721" i="1"/>
  <c r="BR721" i="1" s="1"/>
  <c r="BQ724" i="1"/>
  <c r="BR724" i="1" s="1"/>
  <c r="BQ725" i="1"/>
  <c r="BR725" i="1" s="1"/>
  <c r="BQ726" i="1"/>
  <c r="BR726" i="1" s="1"/>
  <c r="BQ727" i="1"/>
  <c r="BR727" i="1" s="1"/>
  <c r="BQ728" i="1"/>
  <c r="BR728" i="1" s="1"/>
  <c r="BQ729" i="1"/>
  <c r="BR729" i="1" s="1"/>
  <c r="BQ730" i="1"/>
  <c r="BR730" i="1" s="1"/>
  <c r="BQ731" i="1"/>
  <c r="BR731" i="1" s="1"/>
  <c r="BQ733" i="1"/>
  <c r="BR733" i="1" s="1"/>
  <c r="BQ734" i="1"/>
  <c r="BR734" i="1" s="1"/>
  <c r="BQ738" i="1"/>
  <c r="BR738" i="1" s="1"/>
  <c r="BQ753" i="1"/>
  <c r="BR753" i="1" s="1"/>
  <c r="BQ755" i="1"/>
  <c r="BR755" i="1" s="1"/>
  <c r="BQ756" i="1"/>
  <c r="BR756" i="1" s="1"/>
  <c r="BQ757" i="1"/>
  <c r="BR757" i="1" s="1"/>
  <c r="BQ758" i="1"/>
  <c r="BR758" i="1" s="1"/>
  <c r="BQ759" i="1"/>
  <c r="BR759" i="1" s="1"/>
  <c r="BQ760" i="1"/>
  <c r="BR760" i="1" s="1"/>
  <c r="BQ761" i="1"/>
  <c r="BR761" i="1" s="1"/>
  <c r="BQ762" i="1"/>
  <c r="BR762" i="1" s="1"/>
  <c r="BQ763" i="1"/>
  <c r="BR763" i="1" s="1"/>
  <c r="BQ764" i="1"/>
  <c r="BR764" i="1" s="1"/>
  <c r="BQ765" i="1"/>
  <c r="BR765" i="1" s="1"/>
  <c r="BQ766" i="1"/>
  <c r="BR766" i="1" s="1"/>
  <c r="BQ767" i="1"/>
  <c r="BR767" i="1" s="1"/>
  <c r="BQ768" i="1"/>
  <c r="BR768" i="1" s="1"/>
  <c r="BQ769" i="1"/>
  <c r="BR769" i="1" s="1"/>
  <c r="BQ770" i="1"/>
  <c r="BR770" i="1" s="1"/>
  <c r="BQ771" i="1"/>
  <c r="BR771" i="1" s="1"/>
  <c r="BQ772" i="1"/>
  <c r="BR772" i="1" s="1"/>
  <c r="BQ773" i="1"/>
  <c r="BR773" i="1" s="1"/>
  <c r="BQ774" i="1"/>
  <c r="BR774" i="1" s="1"/>
  <c r="BQ775" i="1"/>
  <c r="BR775" i="1" s="1"/>
  <c r="BQ776" i="1"/>
  <c r="BR776" i="1" s="1"/>
  <c r="BQ777" i="1"/>
  <c r="BR777" i="1" s="1"/>
  <c r="BQ778" i="1"/>
  <c r="BR778" i="1" s="1"/>
  <c r="BQ779" i="1"/>
  <c r="BR779" i="1" s="1"/>
  <c r="BQ780" i="1"/>
  <c r="BR780" i="1" s="1"/>
  <c r="BQ781" i="1"/>
  <c r="BR781" i="1" s="1"/>
  <c r="BQ782" i="1"/>
  <c r="BR782" i="1" s="1"/>
  <c r="BQ783" i="1"/>
  <c r="BR783" i="1" s="1"/>
  <c r="BQ786" i="1"/>
  <c r="BR786" i="1" s="1"/>
  <c r="BQ787" i="1"/>
  <c r="BR787" i="1" s="1"/>
  <c r="BQ788" i="1"/>
  <c r="BR788" i="1" s="1"/>
  <c r="BQ789" i="1"/>
  <c r="BR789" i="1" s="1"/>
  <c r="BQ790" i="1"/>
  <c r="BR790" i="1" s="1"/>
  <c r="BQ791" i="1"/>
  <c r="BR791" i="1" s="1"/>
  <c r="BQ792" i="1"/>
  <c r="BR792" i="1" s="1"/>
  <c r="BQ793" i="1"/>
  <c r="BR793" i="1" s="1"/>
  <c r="BQ794" i="1"/>
  <c r="BR794" i="1" s="1"/>
  <c r="BQ795" i="1"/>
  <c r="BR795" i="1" s="1"/>
  <c r="BQ796" i="1"/>
  <c r="BR796" i="1" s="1"/>
  <c r="BQ797" i="1"/>
  <c r="BR797" i="1" s="1"/>
  <c r="BQ798" i="1"/>
  <c r="BR798" i="1" s="1"/>
  <c r="BQ803" i="1"/>
  <c r="BR803" i="1" s="1"/>
  <c r="BQ806" i="1"/>
  <c r="BR806" i="1" s="1"/>
  <c r="BQ807" i="1"/>
  <c r="BR807" i="1" s="1"/>
  <c r="BQ808" i="1"/>
  <c r="BR808" i="1" s="1"/>
  <c r="BQ811" i="1"/>
  <c r="BR811" i="1" s="1"/>
  <c r="BQ812" i="1"/>
  <c r="BR812" i="1" s="1"/>
  <c r="BQ813" i="1"/>
  <c r="BR813" i="1" s="1"/>
  <c r="BQ814" i="1"/>
  <c r="BR814" i="1" s="1"/>
  <c r="BQ816" i="1"/>
  <c r="BR816" i="1" s="1"/>
  <c r="BQ818" i="1"/>
  <c r="BR818" i="1" s="1"/>
  <c r="BQ819" i="1"/>
  <c r="BR819" i="1" s="1"/>
  <c r="BQ822" i="1"/>
  <c r="BR822" i="1" s="1"/>
  <c r="BQ823" i="1"/>
  <c r="BR823" i="1" s="1"/>
  <c r="BQ824" i="1"/>
  <c r="BR824" i="1" s="1"/>
  <c r="BQ825" i="1"/>
  <c r="BR825" i="1" s="1"/>
  <c r="BQ831" i="1"/>
  <c r="BR831" i="1" s="1"/>
  <c r="BQ837" i="1"/>
  <c r="BR837" i="1" s="1"/>
  <c r="BQ838" i="1"/>
  <c r="BR838" i="1" s="1"/>
  <c r="BQ839" i="1"/>
  <c r="BR839" i="1" s="1"/>
  <c r="BQ618" i="1"/>
  <c r="BR618" i="1" s="1"/>
  <c r="BQ548" i="1"/>
  <c r="BR548" i="1" s="1"/>
  <c r="BQ549" i="1"/>
  <c r="BR549" i="1" s="1"/>
  <c r="BQ513" i="1"/>
  <c r="BR513" i="1" s="1"/>
  <c r="BQ522" i="1"/>
  <c r="BR522" i="1" s="1"/>
  <c r="BQ512" i="1"/>
  <c r="BR512" i="1" s="1"/>
  <c r="BQ504" i="1"/>
  <c r="BR504" i="1" s="1"/>
  <c r="BQ516" i="1"/>
  <c r="BR516" i="1" s="1"/>
  <c r="BQ517" i="1"/>
  <c r="BR517" i="1" s="1"/>
  <c r="BQ518" i="1"/>
  <c r="BR518" i="1" s="1"/>
  <c r="BQ543" i="1"/>
  <c r="BR543" i="1" s="1"/>
  <c r="BQ545" i="1"/>
  <c r="BR545" i="1" s="1"/>
  <c r="BQ544" i="1"/>
  <c r="BR544" i="1" s="1"/>
  <c r="BQ538" i="1"/>
  <c r="BR538" i="1" s="1"/>
  <c r="BQ541" i="1"/>
  <c r="BR541" i="1" s="1"/>
  <c r="BQ539" i="1"/>
  <c r="BR539" i="1" s="1"/>
  <c r="BQ540" i="1"/>
  <c r="BR540" i="1" s="1"/>
  <c r="BQ567" i="1"/>
  <c r="BR567" i="1" s="1"/>
  <c r="BQ530" i="1"/>
  <c r="BR530" i="1" s="1"/>
  <c r="BQ528" i="1"/>
  <c r="BR528" i="1" s="1"/>
  <c r="BQ524" i="1"/>
  <c r="BR524" i="1" s="1"/>
  <c r="BQ526" i="1"/>
  <c r="BR526" i="1" s="1"/>
  <c r="BQ527" i="1"/>
  <c r="BR527" i="1" s="1"/>
  <c r="BQ529" i="1"/>
  <c r="BR529" i="1" s="1"/>
  <c r="BQ531" i="1"/>
  <c r="BR531" i="1" s="1"/>
  <c r="BQ525" i="1"/>
  <c r="BR525" i="1" s="1"/>
  <c r="BQ534" i="1"/>
  <c r="BR534" i="1" s="1"/>
  <c r="BQ535" i="1"/>
  <c r="BR535" i="1" s="1"/>
  <c r="BQ536" i="1"/>
  <c r="BR536" i="1" s="1"/>
  <c r="BQ537" i="1"/>
  <c r="BR537" i="1" s="1"/>
  <c r="BQ546" i="1"/>
  <c r="BR546" i="1" s="1"/>
  <c r="BQ547" i="1"/>
  <c r="BR547" i="1" s="1"/>
  <c r="BQ550" i="1"/>
  <c r="BR550" i="1" s="1"/>
  <c r="BQ554" i="1"/>
  <c r="BR554" i="1" s="1"/>
  <c r="BQ555" i="1"/>
  <c r="BR555" i="1" s="1"/>
  <c r="BQ556" i="1"/>
  <c r="BR556" i="1" s="1"/>
  <c r="BQ559" i="1"/>
  <c r="BR559" i="1" s="1"/>
  <c r="BQ561" i="1"/>
  <c r="BR561" i="1" s="1"/>
  <c r="BQ562" i="1"/>
  <c r="BR562" i="1" s="1"/>
  <c r="BQ563" i="1"/>
  <c r="BR563" i="1" s="1"/>
  <c r="BQ584" i="1"/>
  <c r="BR584" i="1" s="1"/>
  <c r="BQ586" i="1"/>
  <c r="BR586" i="1" s="1"/>
  <c r="BQ587" i="1"/>
  <c r="BR587" i="1" s="1"/>
  <c r="BQ564" i="1"/>
  <c r="BR564" i="1" s="1"/>
  <c r="BQ573" i="1"/>
  <c r="BR573" i="1" s="1"/>
  <c r="BQ582" i="1"/>
  <c r="BR582" i="1" s="1"/>
  <c r="BQ583" i="1"/>
  <c r="BR583" i="1" s="1"/>
  <c r="BQ585" i="1"/>
  <c r="BR585" i="1" s="1"/>
  <c r="BQ507" i="1"/>
  <c r="BR507" i="1" s="1"/>
  <c r="BQ505" i="1"/>
  <c r="BR505" i="1" s="1"/>
  <c r="BQ509" i="1"/>
  <c r="BR509" i="1" s="1"/>
  <c r="BQ502" i="1"/>
  <c r="BR502" i="1" s="1"/>
  <c r="BQ520" i="1"/>
  <c r="BR520" i="1" s="1"/>
  <c r="BQ508" i="1"/>
  <c r="BR508" i="1" s="1"/>
  <c r="BQ506" i="1"/>
  <c r="BR506" i="1" s="1"/>
  <c r="BQ510" i="1"/>
  <c r="BR510" i="1" s="1"/>
  <c r="BQ430" i="1"/>
  <c r="BQ433" i="1"/>
  <c r="BQ434" i="1"/>
  <c r="Y426" i="1"/>
  <c r="Y425" i="1"/>
  <c r="Y424" i="1"/>
  <c r="Y416" i="1"/>
  <c r="Y413" i="1"/>
  <c r="Y411" i="1"/>
  <c r="Y410" i="1"/>
  <c r="Y409" i="1"/>
  <c r="Y408" i="1"/>
  <c r="Y406" i="1"/>
  <c r="Y405" i="1"/>
  <c r="Y404" i="1"/>
  <c r="Y403" i="1"/>
  <c r="Y402" i="1"/>
  <c r="Y401" i="1"/>
  <c r="Y400" i="1"/>
  <c r="Y397" i="1" l="1"/>
  <c r="Y396" i="1"/>
  <c r="Y395" i="1"/>
  <c r="Y394" i="1"/>
  <c r="Y393" i="1"/>
  <c r="BM402" i="1" l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E402" i="1"/>
  <c r="BE403" i="1"/>
  <c r="BE404" i="1"/>
  <c r="BP404" i="1" s="1"/>
  <c r="BE405" i="1"/>
  <c r="BE406" i="1"/>
  <c r="BE407" i="1"/>
  <c r="BE408" i="1"/>
  <c r="BP408" i="1" s="1"/>
  <c r="BE409" i="1"/>
  <c r="BE410" i="1"/>
  <c r="BE411" i="1"/>
  <c r="BE412" i="1"/>
  <c r="BP412" i="1" s="1"/>
  <c r="BE413" i="1"/>
  <c r="BE414" i="1"/>
  <c r="BE415" i="1"/>
  <c r="BE416" i="1"/>
  <c r="BO416" i="1" s="1"/>
  <c r="BE417" i="1"/>
  <c r="BE418" i="1"/>
  <c r="BE419" i="1"/>
  <c r="BE420" i="1"/>
  <c r="BP420" i="1" s="1"/>
  <c r="BE421" i="1"/>
  <c r="BP421" i="1" s="1"/>
  <c r="BE422" i="1"/>
  <c r="BE423" i="1"/>
  <c r="BE424" i="1"/>
  <c r="BP424" i="1" s="1"/>
  <c r="BE425" i="1"/>
  <c r="BP425" i="1" s="1"/>
  <c r="BE426" i="1"/>
  <c r="BE436" i="1"/>
  <c r="BP436" i="1" s="1"/>
  <c r="BE437" i="1"/>
  <c r="BE438" i="1"/>
  <c r="BE439" i="1"/>
  <c r="BP439" i="1" s="1"/>
  <c r="BE440" i="1"/>
  <c r="BP440" i="1" s="1"/>
  <c r="BE441" i="1"/>
  <c r="BP441" i="1" s="1"/>
  <c r="BE442" i="1"/>
  <c r="BP442" i="1" s="1"/>
  <c r="BE443" i="1"/>
  <c r="BP443" i="1" s="1"/>
  <c r="BE444" i="1"/>
  <c r="BP444" i="1" s="1"/>
  <c r="BE445" i="1"/>
  <c r="BP445" i="1" s="1"/>
  <c r="BE446" i="1"/>
  <c r="BP446" i="1" s="1"/>
  <c r="BE447" i="1"/>
  <c r="BP447" i="1" s="1"/>
  <c r="BE448" i="1"/>
  <c r="BP448" i="1" s="1"/>
  <c r="BE449" i="1"/>
  <c r="BP449" i="1" s="1"/>
  <c r="BE450" i="1"/>
  <c r="BP450" i="1" s="1"/>
  <c r="BE451" i="1"/>
  <c r="BP451" i="1" s="1"/>
  <c r="BE452" i="1"/>
  <c r="BP452" i="1" s="1"/>
  <c r="BE453" i="1"/>
  <c r="BP453" i="1" s="1"/>
  <c r="BE454" i="1"/>
  <c r="BP454" i="1" s="1"/>
  <c r="BE455" i="1"/>
  <c r="BP455" i="1" s="1"/>
  <c r="BE456" i="1"/>
  <c r="BP456" i="1" s="1"/>
  <c r="BE457" i="1"/>
  <c r="BP457" i="1" s="1"/>
  <c r="BE458" i="1"/>
  <c r="BP458" i="1" s="1"/>
  <c r="BE459" i="1"/>
  <c r="BP459" i="1" s="1"/>
  <c r="BE460" i="1"/>
  <c r="BP460" i="1" s="1"/>
  <c r="BE461" i="1"/>
  <c r="BP461" i="1" s="1"/>
  <c r="BE462" i="1"/>
  <c r="BP462" i="1" s="1"/>
  <c r="BE463" i="1"/>
  <c r="BP463" i="1" s="1"/>
  <c r="BE464" i="1"/>
  <c r="BP464" i="1" s="1"/>
  <c r="BE465" i="1"/>
  <c r="BP465" i="1" s="1"/>
  <c r="BE466" i="1"/>
  <c r="BP466" i="1" s="1"/>
  <c r="BE467" i="1"/>
  <c r="BP467" i="1" s="1"/>
  <c r="BE468" i="1"/>
  <c r="BP468" i="1" s="1"/>
  <c r="BE469" i="1"/>
  <c r="BP469" i="1" s="1"/>
  <c r="BE470" i="1"/>
  <c r="BP470" i="1" s="1"/>
  <c r="BE471" i="1"/>
  <c r="BP471" i="1" s="1"/>
  <c r="BE472" i="1"/>
  <c r="BP472" i="1" s="1"/>
  <c r="BE473" i="1"/>
  <c r="BP473" i="1" s="1"/>
  <c r="BE474" i="1"/>
  <c r="BP474" i="1" s="1"/>
  <c r="BE475" i="1"/>
  <c r="BP475" i="1" s="1"/>
  <c r="BE476" i="1"/>
  <c r="BP476" i="1" s="1"/>
  <c r="BE477" i="1"/>
  <c r="BP477" i="1" s="1"/>
  <c r="BE478" i="1"/>
  <c r="BP478" i="1" s="1"/>
  <c r="BE479" i="1"/>
  <c r="BP479" i="1" s="1"/>
  <c r="BE480" i="1"/>
  <c r="BP480" i="1" s="1"/>
  <c r="BE481" i="1"/>
  <c r="BP481" i="1" s="1"/>
  <c r="BE482" i="1"/>
  <c r="BP482" i="1" s="1"/>
  <c r="BE483" i="1"/>
  <c r="BP483" i="1" s="1"/>
  <c r="BE484" i="1"/>
  <c r="BP484" i="1" s="1"/>
  <c r="BE485" i="1"/>
  <c r="BP485" i="1" s="1"/>
  <c r="BE486" i="1"/>
  <c r="BP486" i="1" s="1"/>
  <c r="BE487" i="1"/>
  <c r="BP487" i="1" s="1"/>
  <c r="BE488" i="1"/>
  <c r="BP488" i="1" s="1"/>
  <c r="BE489" i="1"/>
  <c r="BP489" i="1" s="1"/>
  <c r="BE490" i="1"/>
  <c r="BP490" i="1" s="1"/>
  <c r="BE491" i="1"/>
  <c r="BP491" i="1" s="1"/>
  <c r="BE492" i="1"/>
  <c r="BP492" i="1" s="1"/>
  <c r="BE493" i="1"/>
  <c r="BP493" i="1" s="1"/>
  <c r="BE494" i="1"/>
  <c r="BP494" i="1" s="1"/>
  <c r="BE495" i="1"/>
  <c r="BP495" i="1" s="1"/>
  <c r="BE496" i="1"/>
  <c r="BP496" i="1" s="1"/>
  <c r="BE497" i="1"/>
  <c r="BP497" i="1" s="1"/>
  <c r="BE498" i="1"/>
  <c r="BP498" i="1" s="1"/>
  <c r="BE499" i="1"/>
  <c r="BP499" i="1" s="1"/>
  <c r="BE500" i="1"/>
  <c r="BP500" i="1" s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E493" i="1" s="1"/>
  <c r="AG493" i="1" s="1"/>
  <c r="AI493" i="1" s="1"/>
  <c r="AK493" i="1" s="1"/>
  <c r="AM493" i="1" s="1"/>
  <c r="AO493" i="1" s="1"/>
  <c r="AQ493" i="1" s="1"/>
  <c r="AS493" i="1" s="1"/>
  <c r="AU493" i="1" s="1"/>
  <c r="AW493" i="1" s="1"/>
  <c r="AY493" i="1" s="1"/>
  <c r="BA493" i="1" s="1"/>
  <c r="BC493" i="1" s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D493" i="1" s="1"/>
  <c r="AF493" i="1" s="1"/>
  <c r="AH493" i="1" s="1"/>
  <c r="AJ493" i="1" s="1"/>
  <c r="AL493" i="1" s="1"/>
  <c r="AN493" i="1" s="1"/>
  <c r="AP493" i="1" s="1"/>
  <c r="AR493" i="1" s="1"/>
  <c r="AT493" i="1" s="1"/>
  <c r="AV493" i="1" s="1"/>
  <c r="AX493" i="1" s="1"/>
  <c r="AZ493" i="1" s="1"/>
  <c r="BB493" i="1" s="1"/>
  <c r="Y407" i="1"/>
  <c r="Y412" i="1"/>
  <c r="Y414" i="1"/>
  <c r="Y415" i="1"/>
  <c r="Y417" i="1"/>
  <c r="Y418" i="1"/>
  <c r="Y419" i="1"/>
  <c r="Y420" i="1"/>
  <c r="Y421" i="1"/>
  <c r="Y422" i="1"/>
  <c r="Y423" i="1"/>
  <c r="Y436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3" i="1"/>
  <c r="Y384" i="1"/>
  <c r="Y385" i="1"/>
  <c r="Y386" i="1"/>
  <c r="Y387" i="1"/>
  <c r="Y388" i="1"/>
  <c r="Y389" i="1"/>
  <c r="Y390" i="1"/>
  <c r="Y391" i="1"/>
  <c r="Y392" i="1"/>
  <c r="Y398" i="1"/>
  <c r="Y399" i="1"/>
  <c r="Y382" i="1"/>
  <c r="BN499" i="1" l="1"/>
  <c r="BN495" i="1"/>
  <c r="BN491" i="1"/>
  <c r="BN487" i="1"/>
  <c r="BN483" i="1"/>
  <c r="BN479" i="1"/>
  <c r="BN475" i="1"/>
  <c r="BN471" i="1"/>
  <c r="BN467" i="1"/>
  <c r="BN463" i="1"/>
  <c r="BN459" i="1"/>
  <c r="BN455" i="1"/>
  <c r="BN451" i="1"/>
  <c r="BN447" i="1"/>
  <c r="BN443" i="1"/>
  <c r="BN439" i="1"/>
  <c r="BN424" i="1"/>
  <c r="BN420" i="1"/>
  <c r="BN416" i="1"/>
  <c r="BN412" i="1"/>
  <c r="BN408" i="1"/>
  <c r="BN404" i="1"/>
  <c r="BO499" i="1"/>
  <c r="BO495" i="1"/>
  <c r="BO491" i="1"/>
  <c r="BO487" i="1"/>
  <c r="BO483" i="1"/>
  <c r="BO479" i="1"/>
  <c r="BO475" i="1"/>
  <c r="BO471" i="1"/>
  <c r="BO467" i="1"/>
  <c r="BO463" i="1"/>
  <c r="BO459" i="1"/>
  <c r="BO455" i="1"/>
  <c r="BO451" i="1"/>
  <c r="BO447" i="1"/>
  <c r="BO443" i="1"/>
  <c r="BO439" i="1"/>
  <c r="BO424" i="1"/>
  <c r="BO412" i="1"/>
  <c r="BP416" i="1"/>
  <c r="BP438" i="1"/>
  <c r="BO438" i="1"/>
  <c r="BP423" i="1"/>
  <c r="BO423" i="1"/>
  <c r="BP419" i="1"/>
  <c r="BO419" i="1"/>
  <c r="BP415" i="1"/>
  <c r="BO415" i="1"/>
  <c r="BP411" i="1"/>
  <c r="BO411" i="1"/>
  <c r="BP407" i="1"/>
  <c r="BO407" i="1"/>
  <c r="BP403" i="1"/>
  <c r="BO403" i="1"/>
  <c r="BN498" i="1"/>
  <c r="BN494" i="1"/>
  <c r="BN490" i="1"/>
  <c r="BN486" i="1"/>
  <c r="BN482" i="1"/>
  <c r="BN478" i="1"/>
  <c r="BN474" i="1"/>
  <c r="BN470" i="1"/>
  <c r="BN466" i="1"/>
  <c r="BN462" i="1"/>
  <c r="BN458" i="1"/>
  <c r="BN454" i="1"/>
  <c r="BN450" i="1"/>
  <c r="BN446" i="1"/>
  <c r="BN442" i="1"/>
  <c r="BN438" i="1"/>
  <c r="BR431" i="1"/>
  <c r="BR427" i="1"/>
  <c r="BN423" i="1"/>
  <c r="BN419" i="1"/>
  <c r="BN415" i="1"/>
  <c r="BN411" i="1"/>
  <c r="BN407" i="1"/>
  <c r="BN403" i="1"/>
  <c r="BO498" i="1"/>
  <c r="BO494" i="1"/>
  <c r="BO490" i="1"/>
  <c r="BO486" i="1"/>
  <c r="BO482" i="1"/>
  <c r="BO478" i="1"/>
  <c r="BO474" i="1"/>
  <c r="BO470" i="1"/>
  <c r="BO466" i="1"/>
  <c r="BO462" i="1"/>
  <c r="BO458" i="1"/>
  <c r="BO454" i="1"/>
  <c r="BO450" i="1"/>
  <c r="BO446" i="1"/>
  <c r="BO442" i="1"/>
  <c r="BO436" i="1"/>
  <c r="BO421" i="1"/>
  <c r="BO408" i="1"/>
  <c r="BP437" i="1"/>
  <c r="BO437" i="1"/>
  <c r="BP426" i="1"/>
  <c r="BO426" i="1"/>
  <c r="BP422" i="1"/>
  <c r="BO422" i="1"/>
  <c r="BP418" i="1"/>
  <c r="BO418" i="1"/>
  <c r="BP414" i="1"/>
  <c r="BO414" i="1"/>
  <c r="BP410" i="1"/>
  <c r="BO410" i="1"/>
  <c r="BP406" i="1"/>
  <c r="BO406" i="1"/>
  <c r="BP402" i="1"/>
  <c r="BO402" i="1"/>
  <c r="BN497" i="1"/>
  <c r="BN493" i="1"/>
  <c r="BN489" i="1"/>
  <c r="BN485" i="1"/>
  <c r="BN481" i="1"/>
  <c r="BN477" i="1"/>
  <c r="BN473" i="1"/>
  <c r="BN469" i="1"/>
  <c r="BN465" i="1"/>
  <c r="BN461" i="1"/>
  <c r="BN457" i="1"/>
  <c r="BN453" i="1"/>
  <c r="BN449" i="1"/>
  <c r="BN445" i="1"/>
  <c r="BN441" i="1"/>
  <c r="BN437" i="1"/>
  <c r="BR434" i="1"/>
  <c r="BN426" i="1"/>
  <c r="BN422" i="1"/>
  <c r="BN418" i="1"/>
  <c r="BN414" i="1"/>
  <c r="BN410" i="1"/>
  <c r="BN406" i="1"/>
  <c r="BN402" i="1"/>
  <c r="BO497" i="1"/>
  <c r="BO493" i="1"/>
  <c r="BO489" i="1"/>
  <c r="BO485" i="1"/>
  <c r="BO481" i="1"/>
  <c r="BO477" i="1"/>
  <c r="BO473" i="1"/>
  <c r="BO469" i="1"/>
  <c r="BO465" i="1"/>
  <c r="BO461" i="1"/>
  <c r="BO457" i="1"/>
  <c r="BO453" i="1"/>
  <c r="BO449" i="1"/>
  <c r="BO445" i="1"/>
  <c r="BO441" i="1"/>
  <c r="BO420" i="1"/>
  <c r="BO404" i="1"/>
  <c r="BP417" i="1"/>
  <c r="BO417" i="1"/>
  <c r="BP413" i="1"/>
  <c r="BO413" i="1"/>
  <c r="BP409" i="1"/>
  <c r="BO409" i="1"/>
  <c r="BP405" i="1"/>
  <c r="BO405" i="1"/>
  <c r="BN500" i="1"/>
  <c r="BN496" i="1"/>
  <c r="BN492" i="1"/>
  <c r="BN488" i="1"/>
  <c r="BN484" i="1"/>
  <c r="BN480" i="1"/>
  <c r="BN476" i="1"/>
  <c r="BN472" i="1"/>
  <c r="BN468" i="1"/>
  <c r="BN464" i="1"/>
  <c r="BN460" i="1"/>
  <c r="BN456" i="1"/>
  <c r="BN452" i="1"/>
  <c r="BN448" i="1"/>
  <c r="BN444" i="1"/>
  <c r="BN440" i="1"/>
  <c r="BN436" i="1"/>
  <c r="BN425" i="1"/>
  <c r="BN421" i="1"/>
  <c r="BN417" i="1"/>
  <c r="BN413" i="1"/>
  <c r="BN409" i="1"/>
  <c r="BN405" i="1"/>
  <c r="BO500" i="1"/>
  <c r="BO496" i="1"/>
  <c r="BO492" i="1"/>
  <c r="BO488" i="1"/>
  <c r="BO484" i="1"/>
  <c r="BO480" i="1"/>
  <c r="BO476" i="1"/>
  <c r="BO472" i="1"/>
  <c r="BO468" i="1"/>
  <c r="BO464" i="1"/>
  <c r="BO460" i="1"/>
  <c r="BO456" i="1"/>
  <c r="BO452" i="1"/>
  <c r="BO448" i="1"/>
  <c r="BO444" i="1"/>
  <c r="BO440" i="1"/>
  <c r="BO425" i="1"/>
  <c r="BE353" i="1"/>
  <c r="BQ436" i="1" l="1"/>
  <c r="BR436" i="1" s="1"/>
  <c r="BQ438" i="1"/>
  <c r="BR438" i="1" s="1"/>
  <c r="BQ464" i="1"/>
  <c r="BR464" i="1" s="1"/>
  <c r="BQ440" i="1"/>
  <c r="BR440" i="1" s="1"/>
  <c r="BQ456" i="1"/>
  <c r="BR456" i="1" s="1"/>
  <c r="BQ496" i="1"/>
  <c r="BR496" i="1" s="1"/>
  <c r="BQ488" i="1"/>
  <c r="BR488" i="1" s="1"/>
  <c r="BQ480" i="1"/>
  <c r="BR480" i="1" s="1"/>
  <c r="BQ472" i="1"/>
  <c r="BR472" i="1" s="1"/>
  <c r="BQ448" i="1"/>
  <c r="BR448" i="1" s="1"/>
  <c r="BQ473" i="1"/>
  <c r="BR473" i="1" s="1"/>
  <c r="BQ457" i="1"/>
  <c r="BR457" i="1" s="1"/>
  <c r="BQ489" i="1"/>
  <c r="BR489" i="1" s="1"/>
  <c r="BQ449" i="1"/>
  <c r="BR449" i="1" s="1"/>
  <c r="BQ465" i="1"/>
  <c r="BR465" i="1" s="1"/>
  <c r="BQ481" i="1"/>
  <c r="BR481" i="1" s="1"/>
  <c r="BQ497" i="1"/>
  <c r="BR497" i="1" s="1"/>
  <c r="BQ423" i="1"/>
  <c r="BR423" i="1" s="1"/>
  <c r="BQ441" i="1"/>
  <c r="BR441" i="1" s="1"/>
  <c r="BQ426" i="1"/>
  <c r="BR426" i="1" s="1"/>
  <c r="BQ425" i="1"/>
  <c r="BR425" i="1" s="1"/>
  <c r="BR435" i="1"/>
  <c r="BQ418" i="1"/>
  <c r="BR418" i="1" s="1"/>
  <c r="BQ417" i="1"/>
  <c r="BR417" i="1" s="1"/>
  <c r="BQ410" i="1"/>
  <c r="BR410" i="1" s="1"/>
  <c r="BQ409" i="1"/>
  <c r="BR409" i="1" s="1"/>
  <c r="BQ402" i="1"/>
  <c r="BR402" i="1" s="1"/>
  <c r="BQ421" i="1"/>
  <c r="BR421" i="1" s="1"/>
  <c r="BQ419" i="1"/>
  <c r="BR419" i="1" s="1"/>
  <c r="BQ415" i="1"/>
  <c r="BR415" i="1" s="1"/>
  <c r="BQ411" i="1"/>
  <c r="BR411" i="1" s="1"/>
  <c r="BQ407" i="1"/>
  <c r="BR407" i="1" s="1"/>
  <c r="BQ403" i="1"/>
  <c r="BR403" i="1" s="1"/>
  <c r="BR433" i="1"/>
  <c r="BQ413" i="1"/>
  <c r="BR413" i="1" s="1"/>
  <c r="BR429" i="1"/>
  <c r="BQ444" i="1"/>
  <c r="BR444" i="1" s="1"/>
  <c r="BQ460" i="1"/>
  <c r="BR460" i="1" s="1"/>
  <c r="BQ476" i="1"/>
  <c r="BR476" i="1" s="1"/>
  <c r="BQ492" i="1"/>
  <c r="BR492" i="1" s="1"/>
  <c r="BQ414" i="1"/>
  <c r="BR414" i="1" s="1"/>
  <c r="BR430" i="1"/>
  <c r="BQ445" i="1"/>
  <c r="BR445" i="1" s="1"/>
  <c r="BQ461" i="1"/>
  <c r="BR461" i="1" s="1"/>
  <c r="BQ477" i="1"/>
  <c r="BR477" i="1" s="1"/>
  <c r="BQ493" i="1"/>
  <c r="BR493" i="1" s="1"/>
  <c r="BQ442" i="1"/>
  <c r="BR442" i="1" s="1"/>
  <c r="BQ458" i="1"/>
  <c r="BR458" i="1" s="1"/>
  <c r="BQ474" i="1"/>
  <c r="BR474" i="1" s="1"/>
  <c r="BQ490" i="1"/>
  <c r="BR490" i="1" s="1"/>
  <c r="BQ408" i="1"/>
  <c r="BR408" i="1" s="1"/>
  <c r="BQ424" i="1"/>
  <c r="BR424" i="1" s="1"/>
  <c r="BQ439" i="1"/>
  <c r="BR439" i="1" s="1"/>
  <c r="BQ455" i="1"/>
  <c r="BR455" i="1" s="1"/>
  <c r="BQ471" i="1"/>
  <c r="BR471" i="1" s="1"/>
  <c r="BQ487" i="1"/>
  <c r="BR487" i="1" s="1"/>
  <c r="BQ446" i="1"/>
  <c r="BR446" i="1" s="1"/>
  <c r="BQ462" i="1"/>
  <c r="BR462" i="1" s="1"/>
  <c r="BQ478" i="1"/>
  <c r="BR478" i="1" s="1"/>
  <c r="BQ494" i="1"/>
  <c r="BR494" i="1" s="1"/>
  <c r="BQ412" i="1"/>
  <c r="BR412" i="1" s="1"/>
  <c r="BR428" i="1"/>
  <c r="BQ443" i="1"/>
  <c r="BR443" i="1" s="1"/>
  <c r="BQ459" i="1"/>
  <c r="BR459" i="1" s="1"/>
  <c r="BQ475" i="1"/>
  <c r="BR475" i="1" s="1"/>
  <c r="BQ491" i="1"/>
  <c r="BR491" i="1" s="1"/>
  <c r="BQ405" i="1"/>
  <c r="BR405" i="1" s="1"/>
  <c r="BQ452" i="1"/>
  <c r="BR452" i="1" s="1"/>
  <c r="BQ468" i="1"/>
  <c r="BR468" i="1" s="1"/>
  <c r="BQ484" i="1"/>
  <c r="BR484" i="1" s="1"/>
  <c r="BQ500" i="1"/>
  <c r="BR500" i="1" s="1"/>
  <c r="BQ406" i="1"/>
  <c r="BR406" i="1" s="1"/>
  <c r="BQ422" i="1"/>
  <c r="BR422" i="1" s="1"/>
  <c r="BQ437" i="1"/>
  <c r="BR437" i="1" s="1"/>
  <c r="BQ453" i="1"/>
  <c r="BR453" i="1" s="1"/>
  <c r="BQ469" i="1"/>
  <c r="BR469" i="1" s="1"/>
  <c r="BQ485" i="1"/>
  <c r="BR485" i="1" s="1"/>
  <c r="BQ450" i="1"/>
  <c r="BR450" i="1" s="1"/>
  <c r="BQ466" i="1"/>
  <c r="BR466" i="1" s="1"/>
  <c r="BQ482" i="1"/>
  <c r="BR482" i="1" s="1"/>
  <c r="BQ498" i="1"/>
  <c r="BR498" i="1" s="1"/>
  <c r="BQ416" i="1"/>
  <c r="BR416" i="1" s="1"/>
  <c r="BR432" i="1"/>
  <c r="BQ447" i="1"/>
  <c r="BR447" i="1" s="1"/>
  <c r="BQ463" i="1"/>
  <c r="BR463" i="1" s="1"/>
  <c r="BQ479" i="1"/>
  <c r="BR479" i="1" s="1"/>
  <c r="BQ495" i="1"/>
  <c r="BR495" i="1" s="1"/>
  <c r="BQ454" i="1"/>
  <c r="BR454" i="1" s="1"/>
  <c r="BQ470" i="1"/>
  <c r="BR470" i="1" s="1"/>
  <c r="BQ486" i="1"/>
  <c r="BR486" i="1" s="1"/>
  <c r="BQ404" i="1"/>
  <c r="BR404" i="1" s="1"/>
  <c r="BQ420" i="1"/>
  <c r="BR420" i="1" s="1"/>
  <c r="BQ451" i="1"/>
  <c r="BR451" i="1" s="1"/>
  <c r="BQ467" i="1"/>
  <c r="BR467" i="1" s="1"/>
  <c r="BQ483" i="1"/>
  <c r="BR483" i="1" s="1"/>
  <c r="BQ499" i="1"/>
  <c r="BR499" i="1" s="1"/>
  <c r="AG50" i="4"/>
  <c r="BJ62" i="4" l="1"/>
  <c r="BJ63" i="4"/>
  <c r="BJ64" i="4"/>
  <c r="BJ65" i="4"/>
  <c r="BJ66" i="4"/>
  <c r="BJ67" i="4"/>
  <c r="BJ68" i="4"/>
  <c r="BJ69" i="4"/>
  <c r="BJ70" i="4"/>
  <c r="BJ71" i="4"/>
  <c r="BJ72" i="4"/>
  <c r="BJ73" i="4"/>
  <c r="BJ74" i="4"/>
  <c r="BJ75" i="4"/>
  <c r="BJ76" i="4"/>
  <c r="BJ77" i="4"/>
  <c r="BJ78" i="4"/>
  <c r="BJ79" i="4"/>
  <c r="BJ80" i="4"/>
  <c r="BJ81" i="4"/>
  <c r="BJ82" i="4"/>
  <c r="BJ83" i="4"/>
  <c r="BJ84" i="4"/>
  <c r="BJ85" i="4"/>
  <c r="BJ87" i="4"/>
  <c r="BJ88" i="4"/>
  <c r="BJ89" i="4"/>
  <c r="BJ90" i="4"/>
  <c r="BJ91" i="4"/>
  <c r="BJ92" i="4"/>
  <c r="BJ93" i="4"/>
  <c r="BJ94" i="4"/>
  <c r="BJ95" i="4"/>
  <c r="BJ96" i="4"/>
  <c r="BJ97" i="4"/>
  <c r="BJ98" i="4"/>
  <c r="BJ99" i="4"/>
  <c r="BF62" i="4"/>
  <c r="BF63" i="4"/>
  <c r="BF64" i="4"/>
  <c r="BF65" i="4"/>
  <c r="BF66" i="4"/>
  <c r="BF67" i="4"/>
  <c r="BF68" i="4"/>
  <c r="BF69" i="4"/>
  <c r="BF70" i="4"/>
  <c r="BF71" i="4"/>
  <c r="BF72" i="4"/>
  <c r="BF73" i="4"/>
  <c r="BF74" i="4"/>
  <c r="BF75" i="4"/>
  <c r="BF76" i="4"/>
  <c r="BF77" i="4"/>
  <c r="BF78" i="4"/>
  <c r="BF79" i="4"/>
  <c r="BF80" i="4"/>
  <c r="BF81" i="4"/>
  <c r="BF82" i="4"/>
  <c r="BF83" i="4"/>
  <c r="BF84" i="4"/>
  <c r="BF85" i="4"/>
  <c r="BF87" i="4"/>
  <c r="BF88" i="4"/>
  <c r="BF89" i="4"/>
  <c r="BF90" i="4"/>
  <c r="BF91" i="4"/>
  <c r="BF92" i="4"/>
  <c r="BF93" i="4"/>
  <c r="BF94" i="4"/>
  <c r="BF95" i="4"/>
  <c r="BF96" i="4"/>
  <c r="BF97" i="4"/>
  <c r="BF98" i="4"/>
  <c r="BF99" i="4"/>
  <c r="AG62" i="4"/>
  <c r="AH62" i="4"/>
  <c r="AG63" i="4"/>
  <c r="AH63" i="4"/>
  <c r="AG64" i="4"/>
  <c r="AH64" i="4"/>
  <c r="AG65" i="4"/>
  <c r="AH65" i="4"/>
  <c r="AG66" i="4"/>
  <c r="AH66" i="4"/>
  <c r="AG67" i="4"/>
  <c r="AH67" i="4"/>
  <c r="AG68" i="4"/>
  <c r="AH68" i="4"/>
  <c r="AG69" i="4"/>
  <c r="AH69" i="4"/>
  <c r="AG70" i="4"/>
  <c r="AH70" i="4"/>
  <c r="AG71" i="4"/>
  <c r="AH71" i="4"/>
  <c r="AG72" i="4"/>
  <c r="AH72" i="4"/>
  <c r="AG73" i="4"/>
  <c r="AH73" i="4"/>
  <c r="AG74" i="4"/>
  <c r="AH74" i="4"/>
  <c r="AG75" i="4"/>
  <c r="AH75" i="4"/>
  <c r="AG76" i="4"/>
  <c r="AH76" i="4"/>
  <c r="AG77" i="4"/>
  <c r="AH77" i="4"/>
  <c r="AG78" i="4"/>
  <c r="AH78" i="4"/>
  <c r="AG79" i="4"/>
  <c r="AH79" i="4"/>
  <c r="AG80" i="4"/>
  <c r="AH80" i="4"/>
  <c r="AG81" i="4"/>
  <c r="AH81" i="4"/>
  <c r="AG82" i="4"/>
  <c r="AH82" i="4"/>
  <c r="AG83" i="4"/>
  <c r="AH83" i="4"/>
  <c r="AG84" i="4"/>
  <c r="AH84" i="4"/>
  <c r="AG85" i="4"/>
  <c r="AH85" i="4"/>
  <c r="AG87" i="4"/>
  <c r="AH87" i="4"/>
  <c r="AG88" i="4"/>
  <c r="AH88" i="4"/>
  <c r="AG89" i="4"/>
  <c r="AH89" i="4"/>
  <c r="AG90" i="4"/>
  <c r="AH90" i="4"/>
  <c r="AG91" i="4"/>
  <c r="AH91" i="4"/>
  <c r="AG92" i="4"/>
  <c r="AH92" i="4"/>
  <c r="AG93" i="4"/>
  <c r="AH93" i="4"/>
  <c r="AG94" i="4"/>
  <c r="AH94" i="4"/>
  <c r="AG95" i="4"/>
  <c r="AH95" i="4"/>
  <c r="AG96" i="4"/>
  <c r="AH96" i="4"/>
  <c r="AG97" i="4"/>
  <c r="AH97" i="4"/>
  <c r="AG98" i="4"/>
  <c r="AH98" i="4"/>
  <c r="AH99" i="4"/>
  <c r="AC323" i="1" l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320" i="1"/>
  <c r="AB321" i="1"/>
  <c r="AB322" i="1"/>
  <c r="BM323" i="1" l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E323" i="1"/>
  <c r="BE324" i="1"/>
  <c r="BO324" i="1" s="1"/>
  <c r="BE325" i="1"/>
  <c r="BP325" i="1" s="1"/>
  <c r="BE326" i="1"/>
  <c r="BE327" i="1"/>
  <c r="BP327" i="1" s="1"/>
  <c r="BE328" i="1"/>
  <c r="BO328" i="1" s="1"/>
  <c r="BE329" i="1"/>
  <c r="BE330" i="1"/>
  <c r="BN330" i="1" s="1"/>
  <c r="BE331" i="1"/>
  <c r="BE332" i="1"/>
  <c r="BP332" i="1" s="1"/>
  <c r="BE333" i="1"/>
  <c r="BO333" i="1" s="1"/>
  <c r="BE334" i="1"/>
  <c r="BN334" i="1" s="1"/>
  <c r="BE335" i="1"/>
  <c r="BP335" i="1" s="1"/>
  <c r="BE336" i="1"/>
  <c r="BP336" i="1" s="1"/>
  <c r="BE337" i="1"/>
  <c r="BE338" i="1"/>
  <c r="BN338" i="1" s="1"/>
  <c r="BE339" i="1"/>
  <c r="BP339" i="1" s="1"/>
  <c r="BE340" i="1"/>
  <c r="BO340" i="1" s="1"/>
  <c r="BE341" i="1"/>
  <c r="BP341" i="1" s="1"/>
  <c r="BE342" i="1"/>
  <c r="BE343" i="1"/>
  <c r="BP343" i="1" s="1"/>
  <c r="BE344" i="1"/>
  <c r="BO344" i="1" s="1"/>
  <c r="BE345" i="1"/>
  <c r="BE346" i="1"/>
  <c r="BN346" i="1" s="1"/>
  <c r="BE347" i="1"/>
  <c r="BO347" i="1" s="1"/>
  <c r="BE348" i="1"/>
  <c r="BP348" i="1" s="1"/>
  <c r="BE349" i="1"/>
  <c r="BP349" i="1" s="1"/>
  <c r="BE350" i="1"/>
  <c r="BN350" i="1" s="1"/>
  <c r="BE351" i="1"/>
  <c r="BN351" i="1" s="1"/>
  <c r="BE352" i="1"/>
  <c r="BE354" i="1"/>
  <c r="BN354" i="1" s="1"/>
  <c r="BE355" i="1"/>
  <c r="BN355" i="1" s="1"/>
  <c r="BE356" i="1"/>
  <c r="BN356" i="1" s="1"/>
  <c r="BE357" i="1"/>
  <c r="BN357" i="1" s="1"/>
  <c r="BE358" i="1"/>
  <c r="BN358" i="1" s="1"/>
  <c r="BE359" i="1"/>
  <c r="BN359" i="1" s="1"/>
  <c r="BE360" i="1"/>
  <c r="BO360" i="1" s="1"/>
  <c r="BE361" i="1"/>
  <c r="BP361" i="1" s="1"/>
  <c r="BE362" i="1"/>
  <c r="BN362" i="1" s="1"/>
  <c r="BE363" i="1"/>
  <c r="BO363" i="1" s="1"/>
  <c r="BE364" i="1"/>
  <c r="BP364" i="1" s="1"/>
  <c r="BE365" i="1"/>
  <c r="BP365" i="1" s="1"/>
  <c r="BE366" i="1"/>
  <c r="BN366" i="1" s="1"/>
  <c r="BE367" i="1"/>
  <c r="BN367" i="1" s="1"/>
  <c r="BE368" i="1"/>
  <c r="BE369" i="1"/>
  <c r="BE370" i="1"/>
  <c r="BN370" i="1" s="1"/>
  <c r="BE371" i="1"/>
  <c r="BN371" i="1" s="1"/>
  <c r="BE372" i="1"/>
  <c r="BN372" i="1" s="1"/>
  <c r="BE373" i="1"/>
  <c r="BN373" i="1" s="1"/>
  <c r="BE374" i="1"/>
  <c r="BN374" i="1" s="1"/>
  <c r="BE375" i="1"/>
  <c r="BN375" i="1" s="1"/>
  <c r="BE376" i="1"/>
  <c r="BO376" i="1" s="1"/>
  <c r="BE377" i="1"/>
  <c r="BP377" i="1" s="1"/>
  <c r="BE378" i="1"/>
  <c r="BN378" i="1" s="1"/>
  <c r="BE379" i="1"/>
  <c r="BO379" i="1" s="1"/>
  <c r="BE380" i="1"/>
  <c r="BP380" i="1" s="1"/>
  <c r="BE381" i="1"/>
  <c r="BP381" i="1" s="1"/>
  <c r="BE382" i="1"/>
  <c r="BN382" i="1" s="1"/>
  <c r="BE383" i="1"/>
  <c r="BN383" i="1" s="1"/>
  <c r="BE384" i="1"/>
  <c r="BE385" i="1"/>
  <c r="BE386" i="1"/>
  <c r="BN386" i="1" s="1"/>
  <c r="BE387" i="1"/>
  <c r="BN387" i="1" s="1"/>
  <c r="BE388" i="1"/>
  <c r="BN388" i="1" s="1"/>
  <c r="BE389" i="1"/>
  <c r="BN389" i="1" s="1"/>
  <c r="BE390" i="1"/>
  <c r="BN390" i="1" s="1"/>
  <c r="BE391" i="1"/>
  <c r="BN391" i="1" s="1"/>
  <c r="BE392" i="1"/>
  <c r="BO392" i="1" s="1"/>
  <c r="BE393" i="1"/>
  <c r="BP393" i="1" s="1"/>
  <c r="BE394" i="1"/>
  <c r="BN394" i="1" s="1"/>
  <c r="BE395" i="1"/>
  <c r="BO395" i="1" s="1"/>
  <c r="BE396" i="1"/>
  <c r="BP396" i="1" s="1"/>
  <c r="BE397" i="1"/>
  <c r="BP397" i="1" s="1"/>
  <c r="BE398" i="1"/>
  <c r="BN398" i="1" s="1"/>
  <c r="BE399" i="1"/>
  <c r="BN399" i="1" s="1"/>
  <c r="BE400" i="1"/>
  <c r="BE401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BO351" i="1" l="1"/>
  <c r="BO381" i="1"/>
  <c r="BO367" i="1"/>
  <c r="BP388" i="1"/>
  <c r="BP356" i="1"/>
  <c r="BP340" i="1"/>
  <c r="BP324" i="1"/>
  <c r="BN397" i="1"/>
  <c r="BN365" i="1"/>
  <c r="BN341" i="1"/>
  <c r="BO388" i="1"/>
  <c r="BO377" i="1"/>
  <c r="BO349" i="1"/>
  <c r="BP399" i="1"/>
  <c r="BP383" i="1"/>
  <c r="BP367" i="1"/>
  <c r="BP351" i="1"/>
  <c r="BN340" i="1"/>
  <c r="BQ340" i="1" s="1"/>
  <c r="BR340" i="1" s="1"/>
  <c r="BN324" i="1"/>
  <c r="BO387" i="1"/>
  <c r="BO356" i="1"/>
  <c r="BP372" i="1"/>
  <c r="BN381" i="1"/>
  <c r="BN349" i="1"/>
  <c r="BO399" i="1"/>
  <c r="BO383" i="1"/>
  <c r="BO371" i="1"/>
  <c r="BO355" i="1"/>
  <c r="BP391" i="1"/>
  <c r="BP375" i="1"/>
  <c r="BP359" i="1"/>
  <c r="BP401" i="1"/>
  <c r="BO401" i="1"/>
  <c r="BP389" i="1"/>
  <c r="BO389" i="1"/>
  <c r="BP385" i="1"/>
  <c r="BO385" i="1"/>
  <c r="BP373" i="1"/>
  <c r="BO373" i="1"/>
  <c r="BP369" i="1"/>
  <c r="BO369" i="1"/>
  <c r="BP357" i="1"/>
  <c r="BO357" i="1"/>
  <c r="BP353" i="1"/>
  <c r="BO353" i="1"/>
  <c r="BP345" i="1"/>
  <c r="BO345" i="1"/>
  <c r="BP337" i="1"/>
  <c r="BO337" i="1"/>
  <c r="BN337" i="1"/>
  <c r="BP333" i="1"/>
  <c r="BN333" i="1"/>
  <c r="BP329" i="1"/>
  <c r="BO329" i="1"/>
  <c r="BN329" i="1"/>
  <c r="BO397" i="1"/>
  <c r="BO365" i="1"/>
  <c r="BO341" i="1"/>
  <c r="BO325" i="1"/>
  <c r="BP400" i="1"/>
  <c r="BO400" i="1"/>
  <c r="BN400" i="1"/>
  <c r="BN396" i="1"/>
  <c r="BO396" i="1"/>
  <c r="BP392" i="1"/>
  <c r="BN392" i="1"/>
  <c r="BP384" i="1"/>
  <c r="BO384" i="1"/>
  <c r="BN384" i="1"/>
  <c r="BN380" i="1"/>
  <c r="BO380" i="1"/>
  <c r="BP376" i="1"/>
  <c r="BN376" i="1"/>
  <c r="BP368" i="1"/>
  <c r="BO368" i="1"/>
  <c r="BN368" i="1"/>
  <c r="BO364" i="1"/>
  <c r="BN364" i="1"/>
  <c r="BP360" i="1"/>
  <c r="BN360" i="1"/>
  <c r="BP352" i="1"/>
  <c r="BO352" i="1"/>
  <c r="BN352" i="1"/>
  <c r="BO348" i="1"/>
  <c r="BN348" i="1"/>
  <c r="BP344" i="1"/>
  <c r="BN344" i="1"/>
  <c r="BN332" i="1"/>
  <c r="BO332" i="1"/>
  <c r="BP328" i="1"/>
  <c r="BN328" i="1"/>
  <c r="BN401" i="1"/>
  <c r="BN393" i="1"/>
  <c r="BN385" i="1"/>
  <c r="BN377" i="1"/>
  <c r="BN369" i="1"/>
  <c r="BN361" i="1"/>
  <c r="BN353" i="1"/>
  <c r="BN345" i="1"/>
  <c r="BN336" i="1"/>
  <c r="BN325" i="1"/>
  <c r="BO393" i="1"/>
  <c r="BO372" i="1"/>
  <c r="BO361" i="1"/>
  <c r="BO336" i="1"/>
  <c r="BO343" i="1"/>
  <c r="BN343" i="1"/>
  <c r="BO331" i="1"/>
  <c r="BN331" i="1"/>
  <c r="BO323" i="1"/>
  <c r="BN323" i="1"/>
  <c r="BO391" i="1"/>
  <c r="BO375" i="1"/>
  <c r="BO359" i="1"/>
  <c r="BP395" i="1"/>
  <c r="BP387" i="1"/>
  <c r="BP379" i="1"/>
  <c r="BP371" i="1"/>
  <c r="BP363" i="1"/>
  <c r="BP355" i="1"/>
  <c r="BP347" i="1"/>
  <c r="BP331" i="1"/>
  <c r="BP323" i="1"/>
  <c r="BO339" i="1"/>
  <c r="BN339" i="1"/>
  <c r="BO335" i="1"/>
  <c r="BN335" i="1"/>
  <c r="BO327" i="1"/>
  <c r="BN327" i="1"/>
  <c r="BP398" i="1"/>
  <c r="BO398" i="1"/>
  <c r="BP394" i="1"/>
  <c r="BO394" i="1"/>
  <c r="BP390" i="1"/>
  <c r="BO390" i="1"/>
  <c r="BP386" i="1"/>
  <c r="BO386" i="1"/>
  <c r="BP382" i="1"/>
  <c r="BO382" i="1"/>
  <c r="BP378" i="1"/>
  <c r="BO378" i="1"/>
  <c r="BP374" i="1"/>
  <c r="BO374" i="1"/>
  <c r="BP370" i="1"/>
  <c r="BO370" i="1"/>
  <c r="BP366" i="1"/>
  <c r="BO366" i="1"/>
  <c r="BP362" i="1"/>
  <c r="BO362" i="1"/>
  <c r="BP358" i="1"/>
  <c r="BO358" i="1"/>
  <c r="BP354" i="1"/>
  <c r="BO354" i="1"/>
  <c r="BP350" i="1"/>
  <c r="BO350" i="1"/>
  <c r="BP346" i="1"/>
  <c r="BO346" i="1"/>
  <c r="BP342" i="1"/>
  <c r="BO342" i="1"/>
  <c r="BP338" i="1"/>
  <c r="BO338" i="1"/>
  <c r="BP334" i="1"/>
  <c r="BO334" i="1"/>
  <c r="BP330" i="1"/>
  <c r="BO330" i="1"/>
  <c r="BP326" i="1"/>
  <c r="BO326" i="1"/>
  <c r="BN395" i="1"/>
  <c r="BN379" i="1"/>
  <c r="BN363" i="1"/>
  <c r="BN347" i="1"/>
  <c r="BN342" i="1"/>
  <c r="BN326" i="1"/>
  <c r="BQ367" i="1" l="1"/>
  <c r="BR367" i="1" s="1"/>
  <c r="BQ381" i="1"/>
  <c r="BR381" i="1" s="1"/>
  <c r="BQ388" i="1"/>
  <c r="BR388" i="1" s="1"/>
  <c r="BQ379" i="1"/>
  <c r="BR379" i="1" s="1"/>
  <c r="BQ397" i="1"/>
  <c r="BR397" i="1" s="1"/>
  <c r="BQ377" i="1"/>
  <c r="BR377" i="1" s="1"/>
  <c r="BQ387" i="1"/>
  <c r="BR387" i="1" s="1"/>
  <c r="BQ355" i="1"/>
  <c r="BR355" i="1" s="1"/>
  <c r="BQ374" i="1"/>
  <c r="BR374" i="1" s="1"/>
  <c r="BQ372" i="1"/>
  <c r="BR372" i="1" s="1"/>
  <c r="BQ356" i="1"/>
  <c r="BR356" i="1" s="1"/>
  <c r="BQ358" i="1"/>
  <c r="BR358" i="1" s="1"/>
  <c r="BQ351" i="1"/>
  <c r="BR351" i="1" s="1"/>
  <c r="BQ349" i="1"/>
  <c r="BR349" i="1" s="1"/>
  <c r="BQ334" i="1"/>
  <c r="BR334" i="1" s="1"/>
  <c r="BQ393" i="1"/>
  <c r="BR393" i="1" s="1"/>
  <c r="BQ342" i="1"/>
  <c r="BR342" i="1" s="1"/>
  <c r="BQ395" i="1"/>
  <c r="BR395" i="1" s="1"/>
  <c r="BQ391" i="1"/>
  <c r="BR391" i="1" s="1"/>
  <c r="BQ371" i="1"/>
  <c r="BR371" i="1" s="1"/>
  <c r="BQ359" i="1"/>
  <c r="BR359" i="1" s="1"/>
  <c r="BQ383" i="1"/>
  <c r="BR383" i="1" s="1"/>
  <c r="BQ341" i="1"/>
  <c r="BR341" i="1" s="1"/>
  <c r="BQ357" i="1"/>
  <c r="BR357" i="1" s="1"/>
  <c r="BQ373" i="1"/>
  <c r="BR373" i="1" s="1"/>
  <c r="BQ389" i="1"/>
  <c r="BR389" i="1" s="1"/>
  <c r="BQ399" i="1"/>
  <c r="BR399" i="1" s="1"/>
  <c r="BQ382" i="1"/>
  <c r="BR382" i="1" s="1"/>
  <c r="BQ365" i="1"/>
  <c r="BR365" i="1" s="1"/>
  <c r="BQ326" i="1"/>
  <c r="BR326" i="1" s="1"/>
  <c r="BQ330" i="1"/>
  <c r="BR330" i="1" s="1"/>
  <c r="BQ338" i="1"/>
  <c r="BR338" i="1" s="1"/>
  <c r="BQ346" i="1"/>
  <c r="BR346" i="1" s="1"/>
  <c r="BQ354" i="1"/>
  <c r="BR354" i="1" s="1"/>
  <c r="BQ362" i="1"/>
  <c r="BR362" i="1" s="1"/>
  <c r="BQ370" i="1"/>
  <c r="BR370" i="1" s="1"/>
  <c r="BQ378" i="1"/>
  <c r="BR378" i="1" s="1"/>
  <c r="BQ386" i="1"/>
  <c r="BR386" i="1" s="1"/>
  <c r="BQ394" i="1"/>
  <c r="BR394" i="1" s="1"/>
  <c r="BQ327" i="1"/>
  <c r="BR327" i="1" s="1"/>
  <c r="BQ339" i="1"/>
  <c r="BR339" i="1" s="1"/>
  <c r="BQ375" i="1"/>
  <c r="BR375" i="1" s="1"/>
  <c r="BQ331" i="1"/>
  <c r="BR331" i="1" s="1"/>
  <c r="BQ325" i="1"/>
  <c r="BR325" i="1" s="1"/>
  <c r="BQ361" i="1"/>
  <c r="BR361" i="1" s="1"/>
  <c r="BQ348" i="1"/>
  <c r="BR348" i="1" s="1"/>
  <c r="BQ364" i="1"/>
  <c r="BR364" i="1" s="1"/>
  <c r="BQ333" i="1"/>
  <c r="BR333" i="1" s="1"/>
  <c r="BQ324" i="1"/>
  <c r="BR324" i="1" s="1"/>
  <c r="BQ329" i="1"/>
  <c r="BR329" i="1" s="1"/>
  <c r="BQ350" i="1"/>
  <c r="BR350" i="1" s="1"/>
  <c r="BQ366" i="1"/>
  <c r="BR366" i="1" s="1"/>
  <c r="BQ390" i="1"/>
  <c r="BR390" i="1" s="1"/>
  <c r="BQ398" i="1"/>
  <c r="BR398" i="1" s="1"/>
  <c r="BQ335" i="1"/>
  <c r="BR335" i="1" s="1"/>
  <c r="BQ343" i="1"/>
  <c r="BR343" i="1" s="1"/>
  <c r="BQ328" i="1"/>
  <c r="BR328" i="1" s="1"/>
  <c r="BQ344" i="1"/>
  <c r="BR344" i="1" s="1"/>
  <c r="BQ360" i="1"/>
  <c r="BR360" i="1" s="1"/>
  <c r="BQ376" i="1"/>
  <c r="BR376" i="1" s="1"/>
  <c r="BQ392" i="1"/>
  <c r="BR392" i="1" s="1"/>
  <c r="BQ336" i="1"/>
  <c r="BR336" i="1" s="1"/>
  <c r="BQ369" i="1"/>
  <c r="BR369" i="1" s="1"/>
  <c r="BQ401" i="1"/>
  <c r="BR401" i="1" s="1"/>
  <c r="BQ332" i="1"/>
  <c r="BR332" i="1" s="1"/>
  <c r="BQ380" i="1"/>
  <c r="BR380" i="1" s="1"/>
  <c r="BQ396" i="1"/>
  <c r="BR396" i="1" s="1"/>
  <c r="BQ347" i="1"/>
  <c r="BR347" i="1" s="1"/>
  <c r="BQ323" i="1"/>
  <c r="BR323" i="1" s="1"/>
  <c r="BQ345" i="1"/>
  <c r="BR345" i="1" s="1"/>
  <c r="BQ352" i="1"/>
  <c r="BR352" i="1" s="1"/>
  <c r="BQ368" i="1"/>
  <c r="BR368" i="1" s="1"/>
  <c r="BQ384" i="1"/>
  <c r="BR384" i="1" s="1"/>
  <c r="BQ400" i="1"/>
  <c r="BR400" i="1" s="1"/>
  <c r="BQ337" i="1"/>
  <c r="BR337" i="1" s="1"/>
  <c r="BQ363" i="1"/>
  <c r="BR363" i="1" s="1"/>
  <c r="BQ353" i="1"/>
  <c r="BR353" i="1" s="1"/>
  <c r="BQ385" i="1"/>
  <c r="BR385" i="1" s="1"/>
  <c r="AC236" i="1"/>
  <c r="AC237" i="1"/>
  <c r="AB236" i="1"/>
  <c r="AB237" i="1"/>
  <c r="BM236" i="1"/>
  <c r="BM237" i="1"/>
  <c r="BI236" i="1"/>
  <c r="BI237" i="1"/>
  <c r="BE236" i="1"/>
  <c r="BE237" i="1"/>
  <c r="AC272" i="1" l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BP236" i="1" l="1"/>
  <c r="BP237" i="1"/>
  <c r="BO236" i="1"/>
  <c r="BO237" i="1"/>
  <c r="BN236" i="1"/>
  <c r="BN237" i="1"/>
  <c r="BQ237" i="1" l="1"/>
  <c r="BR237" i="1" s="1"/>
  <c r="BQ236" i="1"/>
  <c r="BR236" i="1" s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E262" i="1"/>
  <c r="BN262" i="1" s="1"/>
  <c r="BE263" i="1"/>
  <c r="BO263" i="1" s="1"/>
  <c r="BE264" i="1"/>
  <c r="BP264" i="1" s="1"/>
  <c r="BE265" i="1"/>
  <c r="BP265" i="1" s="1"/>
  <c r="BE266" i="1"/>
  <c r="BN266" i="1" s="1"/>
  <c r="BE267" i="1"/>
  <c r="BO267" i="1" s="1"/>
  <c r="BE268" i="1"/>
  <c r="BP268" i="1" s="1"/>
  <c r="BE269" i="1"/>
  <c r="BP269" i="1" s="1"/>
  <c r="BE270" i="1"/>
  <c r="BN270" i="1" s="1"/>
  <c r="BE271" i="1"/>
  <c r="BO271" i="1" s="1"/>
  <c r="BE272" i="1"/>
  <c r="BP272" i="1" s="1"/>
  <c r="BE273" i="1"/>
  <c r="BP273" i="1" s="1"/>
  <c r="BE274" i="1"/>
  <c r="BN274" i="1" s="1"/>
  <c r="BE275" i="1"/>
  <c r="BO275" i="1" s="1"/>
  <c r="BE276" i="1"/>
  <c r="BP276" i="1" s="1"/>
  <c r="BE277" i="1"/>
  <c r="BP277" i="1" s="1"/>
  <c r="BE278" i="1"/>
  <c r="BN278" i="1" s="1"/>
  <c r="BE279" i="1"/>
  <c r="BO279" i="1" s="1"/>
  <c r="BE280" i="1"/>
  <c r="BP280" i="1" s="1"/>
  <c r="BE281" i="1"/>
  <c r="BP281" i="1" s="1"/>
  <c r="BE282" i="1"/>
  <c r="BN282" i="1" s="1"/>
  <c r="BE283" i="1"/>
  <c r="BO283" i="1" s="1"/>
  <c r="BE284" i="1"/>
  <c r="BP284" i="1" s="1"/>
  <c r="BE285" i="1"/>
  <c r="BP285" i="1" s="1"/>
  <c r="BE286" i="1"/>
  <c r="BN286" i="1" s="1"/>
  <c r="BE287" i="1"/>
  <c r="BO287" i="1" s="1"/>
  <c r="BE288" i="1"/>
  <c r="BP288" i="1" s="1"/>
  <c r="BE289" i="1"/>
  <c r="BP289" i="1" s="1"/>
  <c r="BE290" i="1"/>
  <c r="BN290" i="1" s="1"/>
  <c r="BE291" i="1"/>
  <c r="BO291" i="1" s="1"/>
  <c r="BE292" i="1"/>
  <c r="BP292" i="1" s="1"/>
  <c r="BE293" i="1"/>
  <c r="BP293" i="1" s="1"/>
  <c r="BE294" i="1"/>
  <c r="BN294" i="1" s="1"/>
  <c r="BE295" i="1"/>
  <c r="BO295" i="1" s="1"/>
  <c r="BE296" i="1"/>
  <c r="BP296" i="1" s="1"/>
  <c r="BE297" i="1"/>
  <c r="BP297" i="1" s="1"/>
  <c r="BE298" i="1"/>
  <c r="BN298" i="1" s="1"/>
  <c r="BE299" i="1"/>
  <c r="BO299" i="1" s="1"/>
  <c r="BE300" i="1"/>
  <c r="BP300" i="1" s="1"/>
  <c r="BE301" i="1"/>
  <c r="BP301" i="1" s="1"/>
  <c r="BE302" i="1"/>
  <c r="BN302" i="1" s="1"/>
  <c r="BE303" i="1"/>
  <c r="BO303" i="1" s="1"/>
  <c r="BE304" i="1"/>
  <c r="BP304" i="1" s="1"/>
  <c r="BE305" i="1"/>
  <c r="BP305" i="1" s="1"/>
  <c r="BE306" i="1"/>
  <c r="BN306" i="1" s="1"/>
  <c r="BE307" i="1"/>
  <c r="BO307" i="1" s="1"/>
  <c r="BE308" i="1"/>
  <c r="BP308" i="1" s="1"/>
  <c r="BE309" i="1"/>
  <c r="BP309" i="1" s="1"/>
  <c r="BE310" i="1"/>
  <c r="BN310" i="1" s="1"/>
  <c r="BE311" i="1"/>
  <c r="BO311" i="1" s="1"/>
  <c r="BE312" i="1"/>
  <c r="BP312" i="1" s="1"/>
  <c r="BE313" i="1"/>
  <c r="BP313" i="1" s="1"/>
  <c r="BE314" i="1"/>
  <c r="BN314" i="1" s="1"/>
  <c r="BE315" i="1"/>
  <c r="BO315" i="1" s="1"/>
  <c r="BE316" i="1"/>
  <c r="BP316" i="1" s="1"/>
  <c r="BE317" i="1"/>
  <c r="BP317" i="1" s="1"/>
  <c r="BE318" i="1"/>
  <c r="BN318" i="1" s="1"/>
  <c r="BE319" i="1"/>
  <c r="BO319" i="1" s="1"/>
  <c r="BE320" i="1"/>
  <c r="BP320" i="1" s="1"/>
  <c r="BE321" i="1"/>
  <c r="BP321" i="1" s="1"/>
  <c r="BE322" i="1"/>
  <c r="BN322" i="1" s="1"/>
  <c r="AC262" i="1"/>
  <c r="AC263" i="1"/>
  <c r="AC264" i="1"/>
  <c r="AC265" i="1"/>
  <c r="AC266" i="1"/>
  <c r="AC267" i="1"/>
  <c r="AC268" i="1"/>
  <c r="AC269" i="1"/>
  <c r="AC270" i="1"/>
  <c r="AC271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B262" i="1"/>
  <c r="AB263" i="1"/>
  <c r="AB264" i="1"/>
  <c r="AB265" i="1"/>
  <c r="AB266" i="1"/>
  <c r="AB267" i="1"/>
  <c r="AB268" i="1"/>
  <c r="AB269" i="1"/>
  <c r="AB270" i="1"/>
  <c r="AB271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G37" i="4"/>
  <c r="BO278" i="1" l="1"/>
  <c r="BO310" i="1"/>
  <c r="BN300" i="1"/>
  <c r="BN289" i="1"/>
  <c r="BN321" i="1"/>
  <c r="BN280" i="1"/>
  <c r="BN312" i="1"/>
  <c r="BN268" i="1"/>
  <c r="BP283" i="1"/>
  <c r="BN320" i="1"/>
  <c r="BN308" i="1"/>
  <c r="BN297" i="1"/>
  <c r="BN288" i="1"/>
  <c r="BN276" i="1"/>
  <c r="BN265" i="1"/>
  <c r="BO302" i="1"/>
  <c r="BO270" i="1"/>
  <c r="BP311" i="1"/>
  <c r="BP295" i="1"/>
  <c r="BP279" i="1"/>
  <c r="BP263" i="1"/>
  <c r="BP315" i="1"/>
  <c r="BP267" i="1"/>
  <c r="BN316" i="1"/>
  <c r="BN305" i="1"/>
  <c r="BN296" i="1"/>
  <c r="BN284" i="1"/>
  <c r="BN273" i="1"/>
  <c r="BN264" i="1"/>
  <c r="BO294" i="1"/>
  <c r="BO262" i="1"/>
  <c r="BP307" i="1"/>
  <c r="BP291" i="1"/>
  <c r="BP275" i="1"/>
  <c r="BP299" i="1"/>
  <c r="BN313" i="1"/>
  <c r="BN304" i="1"/>
  <c r="BN292" i="1"/>
  <c r="BN281" i="1"/>
  <c r="BN272" i="1"/>
  <c r="BO318" i="1"/>
  <c r="BO286" i="1"/>
  <c r="BP319" i="1"/>
  <c r="BP303" i="1"/>
  <c r="BP287" i="1"/>
  <c r="BP271" i="1"/>
  <c r="BO317" i="1"/>
  <c r="BO309" i="1"/>
  <c r="BO301" i="1"/>
  <c r="BO293" i="1"/>
  <c r="BO285" i="1"/>
  <c r="BO277" i="1"/>
  <c r="BO269" i="1"/>
  <c r="BP322" i="1"/>
  <c r="BP314" i="1"/>
  <c r="BP306" i="1"/>
  <c r="BP298" i="1"/>
  <c r="BP290" i="1"/>
  <c r="BP282" i="1"/>
  <c r="BP274" i="1"/>
  <c r="BP266" i="1"/>
  <c r="BN317" i="1"/>
  <c r="BN309" i="1"/>
  <c r="BN301" i="1"/>
  <c r="BN293" i="1"/>
  <c r="BN285" i="1"/>
  <c r="BN277" i="1"/>
  <c r="BN269" i="1"/>
  <c r="BO322" i="1"/>
  <c r="BO314" i="1"/>
  <c r="BO306" i="1"/>
  <c r="BO298" i="1"/>
  <c r="BO290" i="1"/>
  <c r="BO282" i="1"/>
  <c r="BO274" i="1"/>
  <c r="BO266" i="1"/>
  <c r="BO321" i="1"/>
  <c r="BQ321" i="1" s="1"/>
  <c r="BR321" i="1" s="1"/>
  <c r="BO313" i="1"/>
  <c r="BO305" i="1"/>
  <c r="BO297" i="1"/>
  <c r="BO289" i="1"/>
  <c r="BO281" i="1"/>
  <c r="BO273" i="1"/>
  <c r="BO265" i="1"/>
  <c r="BP318" i="1"/>
  <c r="BP310" i="1"/>
  <c r="BP302" i="1"/>
  <c r="BP294" i="1"/>
  <c r="BP286" i="1"/>
  <c r="BP278" i="1"/>
  <c r="BP270" i="1"/>
  <c r="BP262" i="1"/>
  <c r="BN319" i="1"/>
  <c r="BN315" i="1"/>
  <c r="BN311" i="1"/>
  <c r="BN307" i="1"/>
  <c r="BN303" i="1"/>
  <c r="BN299" i="1"/>
  <c r="BN295" i="1"/>
  <c r="BN291" i="1"/>
  <c r="BN287" i="1"/>
  <c r="BN283" i="1"/>
  <c r="BN279" i="1"/>
  <c r="BN275" i="1"/>
  <c r="BN271" i="1"/>
  <c r="BN267" i="1"/>
  <c r="BN263" i="1"/>
  <c r="BO320" i="1"/>
  <c r="BO316" i="1"/>
  <c r="BO312" i="1"/>
  <c r="BO308" i="1"/>
  <c r="BO304" i="1"/>
  <c r="BO300" i="1"/>
  <c r="BO296" i="1"/>
  <c r="BO292" i="1"/>
  <c r="BO288" i="1"/>
  <c r="BO284" i="1"/>
  <c r="BO280" i="1"/>
  <c r="BO276" i="1"/>
  <c r="BO272" i="1"/>
  <c r="BO268" i="1"/>
  <c r="BO264" i="1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32" i="4"/>
  <c r="AH33" i="4"/>
  <c r="AG34" i="4"/>
  <c r="AG35" i="4"/>
  <c r="AG36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1" i="4"/>
  <c r="AG52" i="4"/>
  <c r="AG53" i="4"/>
  <c r="AG54" i="4"/>
  <c r="AG55" i="4"/>
  <c r="AG56" i="4"/>
  <c r="AG57" i="4"/>
  <c r="AG58" i="4"/>
  <c r="AG59" i="4"/>
  <c r="AG60" i="4"/>
  <c r="AG61" i="4"/>
  <c r="BQ318" i="1" l="1"/>
  <c r="BR318" i="1" s="1"/>
  <c r="BQ280" i="1"/>
  <c r="BR280" i="1" s="1"/>
  <c r="BQ264" i="1"/>
  <c r="BR264" i="1" s="1"/>
  <c r="BQ296" i="1"/>
  <c r="BR296" i="1" s="1"/>
  <c r="BQ315" i="1"/>
  <c r="BR315" i="1" s="1"/>
  <c r="BQ287" i="1"/>
  <c r="BR287" i="1" s="1"/>
  <c r="BQ263" i="1"/>
  <c r="BR263" i="1" s="1"/>
  <c r="BQ270" i="1"/>
  <c r="BR270" i="1" s="1"/>
  <c r="BQ283" i="1"/>
  <c r="BR283" i="1" s="1"/>
  <c r="BQ278" i="1"/>
  <c r="BR278" i="1" s="1"/>
  <c r="BQ288" i="1"/>
  <c r="BR288" i="1" s="1"/>
  <c r="BQ304" i="1"/>
  <c r="BR304" i="1" s="1"/>
  <c r="BQ291" i="1"/>
  <c r="BR291" i="1" s="1"/>
  <c r="BQ316" i="1"/>
  <c r="BR316" i="1" s="1"/>
  <c r="BQ310" i="1"/>
  <c r="BR310" i="1" s="1"/>
  <c r="BQ262" i="1"/>
  <c r="BR262" i="1" s="1"/>
  <c r="BQ313" i="1"/>
  <c r="BR313" i="1" s="1"/>
  <c r="BQ282" i="1"/>
  <c r="BR282" i="1" s="1"/>
  <c r="BQ314" i="1"/>
  <c r="BR314" i="1" s="1"/>
  <c r="BQ268" i="1"/>
  <c r="BR268" i="1" s="1"/>
  <c r="BQ300" i="1"/>
  <c r="BR300" i="1" s="1"/>
  <c r="BQ289" i="1"/>
  <c r="BR289" i="1" s="1"/>
  <c r="BQ297" i="1"/>
  <c r="BR297" i="1" s="1"/>
  <c r="BQ281" i="1"/>
  <c r="BR281" i="1" s="1"/>
  <c r="BQ266" i="1"/>
  <c r="BR266" i="1" s="1"/>
  <c r="BQ298" i="1"/>
  <c r="BR298" i="1" s="1"/>
  <c r="BQ269" i="1"/>
  <c r="BR269" i="1" s="1"/>
  <c r="BQ301" i="1"/>
  <c r="BR301" i="1" s="1"/>
  <c r="BQ276" i="1"/>
  <c r="BR276" i="1" s="1"/>
  <c r="BQ292" i="1"/>
  <c r="BR292" i="1" s="1"/>
  <c r="BQ308" i="1"/>
  <c r="BR308" i="1" s="1"/>
  <c r="BQ295" i="1"/>
  <c r="BR295" i="1" s="1"/>
  <c r="BQ311" i="1"/>
  <c r="BR311" i="1" s="1"/>
  <c r="BQ305" i="1"/>
  <c r="BR305" i="1" s="1"/>
  <c r="BQ274" i="1"/>
  <c r="BR274" i="1" s="1"/>
  <c r="BQ306" i="1"/>
  <c r="BR306" i="1" s="1"/>
  <c r="BQ277" i="1"/>
  <c r="BR277" i="1" s="1"/>
  <c r="BQ309" i="1"/>
  <c r="BR309" i="1" s="1"/>
  <c r="BQ312" i="1"/>
  <c r="BR312" i="1" s="1"/>
  <c r="BQ267" i="1"/>
  <c r="BR267" i="1" s="1"/>
  <c r="BQ271" i="1"/>
  <c r="BR271" i="1" s="1"/>
  <c r="BQ286" i="1"/>
  <c r="BR286" i="1" s="1"/>
  <c r="BQ299" i="1"/>
  <c r="BR299" i="1" s="1"/>
  <c r="BQ284" i="1"/>
  <c r="BR284" i="1" s="1"/>
  <c r="BQ319" i="1"/>
  <c r="BR319" i="1" s="1"/>
  <c r="BQ320" i="1"/>
  <c r="BR320" i="1" s="1"/>
  <c r="BQ275" i="1"/>
  <c r="BR275" i="1" s="1"/>
  <c r="BQ294" i="1"/>
  <c r="BR294" i="1" s="1"/>
  <c r="BQ265" i="1"/>
  <c r="BR265" i="1" s="1"/>
  <c r="BQ303" i="1"/>
  <c r="BR303" i="1" s="1"/>
  <c r="BQ307" i="1"/>
  <c r="BR307" i="1" s="1"/>
  <c r="BQ272" i="1"/>
  <c r="BR272" i="1" s="1"/>
  <c r="BQ279" i="1"/>
  <c r="BR279" i="1" s="1"/>
  <c r="BQ302" i="1"/>
  <c r="BR302" i="1" s="1"/>
  <c r="BQ273" i="1"/>
  <c r="BR273" i="1" s="1"/>
  <c r="BQ290" i="1"/>
  <c r="BR290" i="1" s="1"/>
  <c r="BQ322" i="1"/>
  <c r="BR322" i="1" s="1"/>
  <c r="BQ293" i="1"/>
  <c r="BR293" i="1" s="1"/>
  <c r="BQ285" i="1"/>
  <c r="BR285" i="1" s="1"/>
  <c r="BQ317" i="1"/>
  <c r="BR317" i="1" s="1"/>
  <c r="BJ34" i="4"/>
  <c r="BJ35" i="4"/>
  <c r="BJ36" i="4"/>
  <c r="BJ37" i="4"/>
  <c r="BJ38" i="4"/>
  <c r="BJ39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F51" i="4"/>
  <c r="BF52" i="4"/>
  <c r="BF53" i="4"/>
  <c r="BF54" i="4"/>
  <c r="BF55" i="4"/>
  <c r="BF56" i="4"/>
  <c r="BF57" i="4"/>
  <c r="BF58" i="4"/>
  <c r="BF59" i="4"/>
  <c r="BF60" i="4"/>
  <c r="BF61" i="4"/>
  <c r="BF34" i="4"/>
  <c r="BF35" i="4"/>
  <c r="BF36" i="4"/>
  <c r="BF37" i="4"/>
  <c r="BF38" i="4"/>
  <c r="BF39" i="4"/>
  <c r="BF40" i="4"/>
  <c r="BF41" i="4"/>
  <c r="BF42" i="4"/>
  <c r="BF43" i="4"/>
  <c r="BF44" i="4"/>
  <c r="BF45" i="4"/>
  <c r="BF46" i="4"/>
  <c r="BF47" i="4"/>
  <c r="BF48" i="4"/>
  <c r="BF49" i="4"/>
  <c r="BF50" i="4"/>
  <c r="BM180" i="1" l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E184" i="1"/>
  <c r="BP184" i="1" s="1"/>
  <c r="BE185" i="1"/>
  <c r="BN185" i="1" s="1"/>
  <c r="BE186" i="1"/>
  <c r="BO186" i="1" s="1"/>
  <c r="BE187" i="1"/>
  <c r="BP187" i="1" s="1"/>
  <c r="BE188" i="1"/>
  <c r="BN188" i="1" s="1"/>
  <c r="BE189" i="1"/>
  <c r="BP189" i="1" s="1"/>
  <c r="BE190" i="1"/>
  <c r="BN190" i="1" s="1"/>
  <c r="BE191" i="1"/>
  <c r="BP191" i="1" s="1"/>
  <c r="BE192" i="1"/>
  <c r="BO192" i="1" s="1"/>
  <c r="BE193" i="1"/>
  <c r="BP193" i="1" s="1"/>
  <c r="BE194" i="1"/>
  <c r="BN194" i="1" s="1"/>
  <c r="BE195" i="1"/>
  <c r="BP195" i="1" s="1"/>
  <c r="BE196" i="1"/>
  <c r="BO196" i="1" s="1"/>
  <c r="BE197" i="1"/>
  <c r="BO197" i="1" s="1"/>
  <c r="BE198" i="1"/>
  <c r="BP198" i="1" s="1"/>
  <c r="BE199" i="1"/>
  <c r="BP199" i="1" s="1"/>
  <c r="BE200" i="1"/>
  <c r="BO200" i="1" s="1"/>
  <c r="BE201" i="1"/>
  <c r="BO201" i="1" s="1"/>
  <c r="BE202" i="1"/>
  <c r="BO202" i="1" s="1"/>
  <c r="BE203" i="1"/>
  <c r="BP203" i="1" s="1"/>
  <c r="BE204" i="1"/>
  <c r="BO204" i="1" s="1"/>
  <c r="BE205" i="1"/>
  <c r="BP205" i="1" s="1"/>
  <c r="BE206" i="1"/>
  <c r="BP206" i="1" s="1"/>
  <c r="BE207" i="1"/>
  <c r="BO207" i="1" s="1"/>
  <c r="BE208" i="1"/>
  <c r="BO208" i="1" s="1"/>
  <c r="BE209" i="1"/>
  <c r="BP209" i="1" s="1"/>
  <c r="BE210" i="1"/>
  <c r="BO210" i="1" s="1"/>
  <c r="BE211" i="1"/>
  <c r="BO211" i="1" s="1"/>
  <c r="BE212" i="1"/>
  <c r="BP212" i="1" s="1"/>
  <c r="BE213" i="1"/>
  <c r="BN213" i="1" s="1"/>
  <c r="BE214" i="1"/>
  <c r="BO214" i="1" s="1"/>
  <c r="BE215" i="1"/>
  <c r="BN215" i="1" s="1"/>
  <c r="BE216" i="1"/>
  <c r="BO216" i="1" s="1"/>
  <c r="BE217" i="1"/>
  <c r="BO217" i="1" s="1"/>
  <c r="BE218" i="1"/>
  <c r="BN218" i="1" s="1"/>
  <c r="BE219" i="1"/>
  <c r="BP219" i="1" s="1"/>
  <c r="BE220" i="1"/>
  <c r="BN220" i="1" s="1"/>
  <c r="BE221" i="1"/>
  <c r="BP221" i="1" s="1"/>
  <c r="BE222" i="1"/>
  <c r="BP222" i="1" s="1"/>
  <c r="BE223" i="1"/>
  <c r="BO223" i="1" s="1"/>
  <c r="BE224" i="1"/>
  <c r="BO224" i="1" s="1"/>
  <c r="BE225" i="1"/>
  <c r="BP225" i="1" s="1"/>
  <c r="BE226" i="1"/>
  <c r="BN226" i="1" s="1"/>
  <c r="BE227" i="1"/>
  <c r="BN227" i="1" s="1"/>
  <c r="BE228" i="1"/>
  <c r="BP228" i="1" s="1"/>
  <c r="BE229" i="1"/>
  <c r="BP229" i="1" s="1"/>
  <c r="BE230" i="1"/>
  <c r="BP230" i="1" s="1"/>
  <c r="BE231" i="1"/>
  <c r="BO231" i="1" s="1"/>
  <c r="BE232" i="1"/>
  <c r="BP232" i="1" s="1"/>
  <c r="BE233" i="1"/>
  <c r="BO233" i="1" s="1"/>
  <c r="BE234" i="1"/>
  <c r="BP234" i="1" s="1"/>
  <c r="BE235" i="1"/>
  <c r="BO235" i="1" s="1"/>
  <c r="BE238" i="1"/>
  <c r="BP238" i="1" s="1"/>
  <c r="BE239" i="1"/>
  <c r="BO239" i="1" s="1"/>
  <c r="BE240" i="1"/>
  <c r="BO240" i="1" s="1"/>
  <c r="BE241" i="1"/>
  <c r="BP241" i="1" s="1"/>
  <c r="BE242" i="1"/>
  <c r="BP242" i="1" s="1"/>
  <c r="BE243" i="1"/>
  <c r="BP243" i="1" s="1"/>
  <c r="BE244" i="1"/>
  <c r="BP244" i="1" s="1"/>
  <c r="BE245" i="1"/>
  <c r="BN245" i="1" s="1"/>
  <c r="BE246" i="1"/>
  <c r="BN246" i="1" s="1"/>
  <c r="BE247" i="1"/>
  <c r="BO247" i="1" s="1"/>
  <c r="BE248" i="1"/>
  <c r="BP248" i="1" s="1"/>
  <c r="BE249" i="1"/>
  <c r="BN249" i="1" s="1"/>
  <c r="BE250" i="1"/>
  <c r="BN250" i="1" s="1"/>
  <c r="BE251" i="1"/>
  <c r="BO251" i="1" s="1"/>
  <c r="BE252" i="1"/>
  <c r="BP252" i="1" s="1"/>
  <c r="BE253" i="1"/>
  <c r="BN253" i="1" s="1"/>
  <c r="BE254" i="1"/>
  <c r="BN254" i="1" s="1"/>
  <c r="BE255" i="1"/>
  <c r="BO255" i="1" s="1"/>
  <c r="BE256" i="1"/>
  <c r="BP256" i="1" s="1"/>
  <c r="BE257" i="1"/>
  <c r="BO257" i="1" s="1"/>
  <c r="BE258" i="1"/>
  <c r="BP258" i="1" s="1"/>
  <c r="BE259" i="1"/>
  <c r="BN259" i="1" s="1"/>
  <c r="BE260" i="1"/>
  <c r="BP260" i="1" s="1"/>
  <c r="BE261" i="1"/>
  <c r="BP261" i="1" s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Z192" i="1"/>
  <c r="Z193" i="1"/>
  <c r="Z194" i="1"/>
  <c r="Z195" i="1"/>
  <c r="BO254" i="1" l="1"/>
  <c r="BP255" i="1"/>
  <c r="BO230" i="1"/>
  <c r="BN222" i="1"/>
  <c r="BP210" i="1"/>
  <c r="BN210" i="1"/>
  <c r="BO250" i="1"/>
  <c r="BO222" i="1"/>
  <c r="BP251" i="1"/>
  <c r="BP201" i="1"/>
  <c r="BN258" i="1"/>
  <c r="BN192" i="1"/>
  <c r="BO246" i="1"/>
  <c r="BO209" i="1"/>
  <c r="BP247" i="1"/>
  <c r="BP197" i="1"/>
  <c r="BN238" i="1"/>
  <c r="BO261" i="1"/>
  <c r="BO194" i="1"/>
  <c r="BP239" i="1"/>
  <c r="BP186" i="1"/>
  <c r="BN230" i="1"/>
  <c r="BN221" i="1"/>
  <c r="BN209" i="1"/>
  <c r="BN198" i="1"/>
  <c r="BN187" i="1"/>
  <c r="BO260" i="1"/>
  <c r="BO253" i="1"/>
  <c r="BO249" i="1"/>
  <c r="BO245" i="1"/>
  <c r="BO238" i="1"/>
  <c r="BO229" i="1"/>
  <c r="BO220" i="1"/>
  <c r="BO206" i="1"/>
  <c r="BO198" i="1"/>
  <c r="BO187" i="1"/>
  <c r="BP254" i="1"/>
  <c r="BP250" i="1"/>
  <c r="BP246" i="1"/>
  <c r="BP220" i="1"/>
  <c r="BP200" i="1"/>
  <c r="BP196" i="1"/>
  <c r="BN199" i="1"/>
  <c r="BO199" i="1"/>
  <c r="BP223" i="1"/>
  <c r="BN255" i="1"/>
  <c r="BN251" i="1"/>
  <c r="BN247" i="1"/>
  <c r="BN243" i="1"/>
  <c r="BN261" i="1"/>
  <c r="BN239" i="1"/>
  <c r="BN233" i="1"/>
  <c r="BN229" i="1"/>
  <c r="BN205" i="1"/>
  <c r="BN197" i="1"/>
  <c r="BN186" i="1"/>
  <c r="BO256" i="1"/>
  <c r="BO252" i="1"/>
  <c r="BO248" i="1"/>
  <c r="BO244" i="1"/>
  <c r="BO232" i="1"/>
  <c r="BO228" i="1"/>
  <c r="BO218" i="1"/>
  <c r="BO205" i="1"/>
  <c r="BP253" i="1"/>
  <c r="BP249" i="1"/>
  <c r="BP245" i="1"/>
  <c r="BP218" i="1"/>
  <c r="BP207" i="1"/>
  <c r="BP194" i="1"/>
  <c r="BN252" i="1"/>
  <c r="BN248" i="1"/>
  <c r="BN244" i="1"/>
  <c r="BN231" i="1"/>
  <c r="BP231" i="1"/>
  <c r="BN235" i="1"/>
  <c r="BN260" i="1"/>
  <c r="BN232" i="1"/>
  <c r="BN228" i="1"/>
  <c r="BN214" i="1"/>
  <c r="BN203" i="1"/>
  <c r="BN196" i="1"/>
  <c r="BN184" i="1"/>
  <c r="BO243" i="1"/>
  <c r="BO226" i="1"/>
  <c r="BO215" i="1"/>
  <c r="BO203" i="1"/>
  <c r="BP214" i="1"/>
  <c r="BP192" i="1"/>
  <c r="BP226" i="1"/>
  <c r="BP233" i="1"/>
  <c r="BN234" i="1"/>
  <c r="BO234" i="1"/>
  <c r="BN241" i="1"/>
  <c r="BO241" i="1"/>
  <c r="BN240" i="1"/>
  <c r="BP240" i="1"/>
  <c r="BP235" i="1"/>
  <c r="BN242" i="1"/>
  <c r="BO242" i="1"/>
  <c r="BN204" i="1"/>
  <c r="BP204" i="1"/>
  <c r="BP227" i="1"/>
  <c r="BO227" i="1"/>
  <c r="BN202" i="1"/>
  <c r="BP202" i="1"/>
  <c r="BN256" i="1"/>
  <c r="BP257" i="1"/>
  <c r="BN257" i="1"/>
  <c r="BO259" i="1"/>
  <c r="BP259" i="1"/>
  <c r="BO258" i="1"/>
  <c r="BN211" i="1"/>
  <c r="BP211" i="1"/>
  <c r="BP208" i="1"/>
  <c r="BN208" i="1"/>
  <c r="BN212" i="1"/>
  <c r="BO212" i="1"/>
  <c r="BP224" i="1"/>
  <c r="BN224" i="1"/>
  <c r="BN223" i="1"/>
  <c r="BN207" i="1"/>
  <c r="BN217" i="1"/>
  <c r="BP217" i="1"/>
  <c r="BN206" i="1"/>
  <c r="BO213" i="1"/>
  <c r="BP213" i="1"/>
  <c r="BN200" i="1"/>
  <c r="BO225" i="1"/>
  <c r="BN225" i="1"/>
  <c r="BP216" i="1"/>
  <c r="BN216" i="1"/>
  <c r="BO219" i="1"/>
  <c r="BN219" i="1"/>
  <c r="BN201" i="1"/>
  <c r="BP215" i="1"/>
  <c r="BO221" i="1"/>
  <c r="BO185" i="1"/>
  <c r="BP185" i="1"/>
  <c r="BN191" i="1"/>
  <c r="BO191" i="1"/>
  <c r="BP190" i="1"/>
  <c r="BO190" i="1"/>
  <c r="BO189" i="1"/>
  <c r="BN189" i="1"/>
  <c r="BP188" i="1"/>
  <c r="BO188" i="1"/>
  <c r="BO184" i="1"/>
  <c r="BN195" i="1"/>
  <c r="BO195" i="1"/>
  <c r="BO193" i="1"/>
  <c r="BN193" i="1"/>
  <c r="BI180" i="1"/>
  <c r="BI181" i="1"/>
  <c r="BI182" i="1"/>
  <c r="BI183" i="1"/>
  <c r="BE180" i="1"/>
  <c r="BE181" i="1"/>
  <c r="BE182" i="1"/>
  <c r="BE183" i="1"/>
  <c r="BQ254" i="1" l="1"/>
  <c r="BR254" i="1" s="1"/>
  <c r="BQ184" i="1"/>
  <c r="BR184" i="1" s="1"/>
  <c r="BQ247" i="1"/>
  <c r="BR247" i="1" s="1"/>
  <c r="BQ261" i="1"/>
  <c r="BR261" i="1" s="1"/>
  <c r="BQ255" i="1"/>
  <c r="BR255" i="1" s="1"/>
  <c r="BQ196" i="1"/>
  <c r="BR196" i="1" s="1"/>
  <c r="BQ200" i="1"/>
  <c r="BR200" i="1" s="1"/>
  <c r="BQ187" i="1"/>
  <c r="BR187" i="1" s="1"/>
  <c r="BQ192" i="1"/>
  <c r="BR192" i="1" s="1"/>
  <c r="BQ194" i="1"/>
  <c r="BR194" i="1" s="1"/>
  <c r="BQ201" i="1"/>
  <c r="BR201" i="1" s="1"/>
  <c r="BQ215" i="1"/>
  <c r="BR215" i="1" s="1"/>
  <c r="BQ222" i="1"/>
  <c r="BR222" i="1" s="1"/>
  <c r="BQ239" i="1"/>
  <c r="BR239" i="1" s="1"/>
  <c r="BQ221" i="1"/>
  <c r="BR221" i="1" s="1"/>
  <c r="BQ206" i="1"/>
  <c r="BR206" i="1" s="1"/>
  <c r="BQ204" i="1"/>
  <c r="BR204" i="1" s="1"/>
  <c r="BQ241" i="1"/>
  <c r="BR241" i="1" s="1"/>
  <c r="BQ250" i="1"/>
  <c r="BR250" i="1" s="1"/>
  <c r="BQ230" i="1"/>
  <c r="BR230" i="1" s="1"/>
  <c r="BQ216" i="1"/>
  <c r="BR216" i="1" s="1"/>
  <c r="BQ224" i="1"/>
  <c r="BR224" i="1" s="1"/>
  <c r="BQ208" i="1"/>
  <c r="BR208" i="1" s="1"/>
  <c r="BQ258" i="1"/>
  <c r="BR258" i="1" s="1"/>
  <c r="BQ227" i="1"/>
  <c r="BR227" i="1" s="1"/>
  <c r="BQ203" i="1"/>
  <c r="BR203" i="1" s="1"/>
  <c r="BQ260" i="1"/>
  <c r="BR260" i="1" s="1"/>
  <c r="BQ220" i="1"/>
  <c r="BR220" i="1" s="1"/>
  <c r="BQ186" i="1"/>
  <c r="BR186" i="1" s="1"/>
  <c r="BQ213" i="1"/>
  <c r="BR213" i="1" s="1"/>
  <c r="BQ235" i="1"/>
  <c r="BR235" i="1" s="1"/>
  <c r="BQ233" i="1"/>
  <c r="BR233" i="1" s="1"/>
  <c r="BQ252" i="1"/>
  <c r="BR252" i="1" s="1"/>
  <c r="BQ218" i="1"/>
  <c r="BR218" i="1" s="1"/>
  <c r="BQ197" i="1"/>
  <c r="BR197" i="1" s="1"/>
  <c r="BQ199" i="1"/>
  <c r="BR199" i="1" s="1"/>
  <c r="BQ223" i="1"/>
  <c r="BR223" i="1" s="1"/>
  <c r="BQ249" i="1"/>
  <c r="BR249" i="1" s="1"/>
  <c r="BQ205" i="1"/>
  <c r="BR205" i="1" s="1"/>
  <c r="BQ210" i="1"/>
  <c r="BR210" i="1" s="1"/>
  <c r="BQ256" i="1"/>
  <c r="BR256" i="1" s="1"/>
  <c r="BQ207" i="1"/>
  <c r="BR207" i="1" s="1"/>
  <c r="BQ245" i="1"/>
  <c r="BR245" i="1" s="1"/>
  <c r="BQ251" i="1"/>
  <c r="BR251" i="1" s="1"/>
  <c r="BQ253" i="1"/>
  <c r="BR253" i="1" s="1"/>
  <c r="BQ209" i="1"/>
  <c r="BR209" i="1" s="1"/>
  <c r="BQ188" i="1"/>
  <c r="BR188" i="1" s="1"/>
  <c r="BQ190" i="1"/>
  <c r="BR190" i="1" s="1"/>
  <c r="BQ226" i="1"/>
  <c r="BR226" i="1" s="1"/>
  <c r="BQ232" i="1"/>
  <c r="BR232" i="1" s="1"/>
  <c r="BQ246" i="1"/>
  <c r="BR246" i="1" s="1"/>
  <c r="BQ238" i="1"/>
  <c r="BR238" i="1" s="1"/>
  <c r="BQ231" i="1"/>
  <c r="BR231" i="1" s="1"/>
  <c r="BQ193" i="1"/>
  <c r="BR193" i="1" s="1"/>
  <c r="BQ189" i="1"/>
  <c r="BR189" i="1" s="1"/>
  <c r="BQ185" i="1"/>
  <c r="BR185" i="1" s="1"/>
  <c r="BQ214" i="1"/>
  <c r="BR214" i="1" s="1"/>
  <c r="BQ244" i="1"/>
  <c r="BR244" i="1" s="1"/>
  <c r="BQ229" i="1"/>
  <c r="BR229" i="1" s="1"/>
  <c r="BQ243" i="1"/>
  <c r="BR243" i="1" s="1"/>
  <c r="BQ219" i="1"/>
  <c r="BR219" i="1" s="1"/>
  <c r="BQ225" i="1"/>
  <c r="BR225" i="1" s="1"/>
  <c r="BQ228" i="1"/>
  <c r="BR228" i="1" s="1"/>
  <c r="BQ248" i="1"/>
  <c r="BR248" i="1" s="1"/>
  <c r="BQ198" i="1"/>
  <c r="BR198" i="1" s="1"/>
  <c r="BQ234" i="1"/>
  <c r="BR234" i="1" s="1"/>
  <c r="BQ240" i="1"/>
  <c r="BR240" i="1" s="1"/>
  <c r="BQ242" i="1"/>
  <c r="BR242" i="1" s="1"/>
  <c r="BQ257" i="1"/>
  <c r="BR257" i="1" s="1"/>
  <c r="BQ259" i="1"/>
  <c r="BR259" i="1" s="1"/>
  <c r="BQ202" i="1"/>
  <c r="BR202" i="1" s="1"/>
  <c r="BQ211" i="1"/>
  <c r="BR211" i="1" s="1"/>
  <c r="BQ212" i="1"/>
  <c r="BR212" i="1" s="1"/>
  <c r="BQ217" i="1"/>
  <c r="BR217" i="1" s="1"/>
  <c r="BQ195" i="1"/>
  <c r="BR195" i="1" s="1"/>
  <c r="BQ191" i="1"/>
  <c r="BR191" i="1" s="1"/>
  <c r="BN181" i="1"/>
  <c r="BO181" i="1"/>
  <c r="BP181" i="1"/>
  <c r="BP180" i="1"/>
  <c r="BO180" i="1"/>
  <c r="BN180" i="1"/>
  <c r="BP182" i="1"/>
  <c r="BO182" i="1"/>
  <c r="BN182" i="1"/>
  <c r="BN183" i="1"/>
  <c r="BO183" i="1"/>
  <c r="BP183" i="1"/>
  <c r="Z146" i="1"/>
  <c r="Z147" i="1"/>
  <c r="Z148" i="1"/>
  <c r="Z160" i="1"/>
  <c r="Z161" i="1"/>
  <c r="Z162" i="1"/>
  <c r="Z163" i="1"/>
  <c r="Z175" i="1"/>
  <c r="Z176" i="1"/>
  <c r="Z177" i="1"/>
  <c r="Z178" i="1"/>
  <c r="Z135" i="1"/>
  <c r="Z136" i="1"/>
  <c r="Z137" i="1"/>
  <c r="Z138" i="1"/>
  <c r="Z139" i="1"/>
  <c r="Z140" i="1"/>
  <c r="Z141" i="1"/>
  <c r="Z142" i="1"/>
  <c r="Z143" i="1"/>
  <c r="Z144" i="1"/>
  <c r="Z145" i="1"/>
  <c r="Z134" i="1"/>
  <c r="BQ182" i="1" l="1"/>
  <c r="BR182" i="1" s="1"/>
  <c r="BQ180" i="1"/>
  <c r="BR180" i="1" s="1"/>
  <c r="BQ181" i="1"/>
  <c r="BR181" i="1" s="1"/>
  <c r="BQ183" i="1"/>
  <c r="BR183" i="1" s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20" i="1"/>
  <c r="AH21" i="4" l="1"/>
  <c r="AH22" i="4"/>
  <c r="AH23" i="4"/>
  <c r="AH24" i="4"/>
  <c r="AH25" i="4"/>
  <c r="AH26" i="4"/>
  <c r="AH27" i="4"/>
  <c r="AH28" i="4"/>
  <c r="AH29" i="4"/>
  <c r="AH30" i="4"/>
  <c r="AH31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" i="4"/>
  <c r="AC117" i="1" l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C2" i="1"/>
  <c r="AB2" i="1"/>
  <c r="BM104" i="1" l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BC179" i="1" l="1"/>
  <c r="BC167" i="1"/>
  <c r="BC128" i="1"/>
  <c r="BC164" i="1"/>
  <c r="BC140" i="1"/>
  <c r="BC152" i="1"/>
  <c r="BC107" i="1"/>
  <c r="BC143" i="1"/>
  <c r="BC131" i="1"/>
  <c r="BC155" i="1"/>
  <c r="BC104" i="1"/>
  <c r="BE104" i="1" s="1"/>
  <c r="BP104" i="1" s="1"/>
  <c r="BC177" i="1"/>
  <c r="BC165" i="1"/>
  <c r="BC168" i="1"/>
  <c r="BC156" i="1"/>
  <c r="BC144" i="1"/>
  <c r="BC132" i="1"/>
  <c r="BC159" i="1"/>
  <c r="BC147" i="1"/>
  <c r="BC123" i="1"/>
  <c r="BC171" i="1"/>
  <c r="BC169" i="1"/>
  <c r="BC145" i="1"/>
  <c r="BC178" i="1"/>
  <c r="BC129" i="1"/>
  <c r="BC127" i="1"/>
  <c r="BC163" i="1"/>
  <c r="BC175" i="1"/>
  <c r="BC139" i="1"/>
  <c r="BC173" i="1"/>
  <c r="BC149" i="1"/>
  <c r="BC151" i="1"/>
  <c r="BC172" i="1"/>
  <c r="BC160" i="1"/>
  <c r="BC148" i="1"/>
  <c r="BC136" i="1"/>
  <c r="BC124" i="1"/>
  <c r="BC112" i="1"/>
  <c r="BE112" i="1" s="1"/>
  <c r="BO112" i="1" s="1"/>
  <c r="BC113" i="1"/>
  <c r="BE113" i="1" s="1"/>
  <c r="BC116" i="1"/>
  <c r="BE116" i="1" s="1"/>
  <c r="BP116" i="1" s="1"/>
  <c r="BC117" i="1"/>
  <c r="BE117" i="1" s="1"/>
  <c r="BC120" i="1"/>
  <c r="BC135" i="1"/>
  <c r="BC170" i="1"/>
  <c r="BC166" i="1"/>
  <c r="BC138" i="1"/>
  <c r="BC126" i="1"/>
  <c r="BN139" i="1"/>
  <c r="BC161" i="1"/>
  <c r="BC157" i="1"/>
  <c r="BC133" i="1"/>
  <c r="BC119" i="1"/>
  <c r="BE119" i="1" s="1"/>
  <c r="BC111" i="1"/>
  <c r="BE111" i="1" s="1"/>
  <c r="BO111" i="1" s="1"/>
  <c r="BC115" i="1"/>
  <c r="BE115" i="1" s="1"/>
  <c r="BN115" i="1" s="1"/>
  <c r="BN175" i="1"/>
  <c r="BP175" i="1"/>
  <c r="BO175" i="1"/>
  <c r="BP178" i="1"/>
  <c r="BN178" i="1"/>
  <c r="BO178" i="1"/>
  <c r="BO168" i="1"/>
  <c r="BP168" i="1"/>
  <c r="BN168" i="1"/>
  <c r="BN136" i="1"/>
  <c r="BO136" i="1"/>
  <c r="BP136" i="1"/>
  <c r="BN124" i="1"/>
  <c r="BP124" i="1"/>
  <c r="BO124" i="1"/>
  <c r="BO159" i="1"/>
  <c r="BP159" i="1"/>
  <c r="BN159" i="1"/>
  <c r="BN164" i="1"/>
  <c r="BP164" i="1"/>
  <c r="BP156" i="1"/>
  <c r="BN156" i="1"/>
  <c r="BO148" i="1"/>
  <c r="BP148" i="1"/>
  <c r="BN148" i="1"/>
  <c r="BO140" i="1"/>
  <c r="BP140" i="1"/>
  <c r="BN140" i="1"/>
  <c r="BN128" i="1"/>
  <c r="BO128" i="1"/>
  <c r="BP128" i="1"/>
  <c r="BN143" i="1"/>
  <c r="BO143" i="1"/>
  <c r="BP143" i="1"/>
  <c r="BO127" i="1"/>
  <c r="BP127" i="1"/>
  <c r="BN127" i="1"/>
  <c r="BO156" i="1"/>
  <c r="BN172" i="1"/>
  <c r="BO172" i="1"/>
  <c r="BP172" i="1"/>
  <c r="BO160" i="1"/>
  <c r="BP160" i="1"/>
  <c r="BN160" i="1"/>
  <c r="BN152" i="1"/>
  <c r="BO152" i="1"/>
  <c r="BN144" i="1"/>
  <c r="BO144" i="1"/>
  <c r="BP144" i="1"/>
  <c r="BO132" i="1"/>
  <c r="BP132" i="1"/>
  <c r="BN132" i="1"/>
  <c r="BP120" i="1"/>
  <c r="BN120" i="1"/>
  <c r="BO120" i="1"/>
  <c r="BP131" i="1"/>
  <c r="BO131" i="1"/>
  <c r="BN131" i="1"/>
  <c r="BP155" i="1"/>
  <c r="BO155" i="1"/>
  <c r="BP147" i="1"/>
  <c r="BO147" i="1"/>
  <c r="BN147" i="1"/>
  <c r="BC176" i="1"/>
  <c r="BC174" i="1"/>
  <c r="BC162" i="1"/>
  <c r="BC158" i="1"/>
  <c r="BC154" i="1"/>
  <c r="BC142" i="1"/>
  <c r="BC122" i="1"/>
  <c r="BC110" i="1"/>
  <c r="BE110" i="1" s="1"/>
  <c r="BO164" i="1"/>
  <c r="BN171" i="1"/>
  <c r="BO171" i="1"/>
  <c r="BP171" i="1"/>
  <c r="BP139" i="1"/>
  <c r="BO139" i="1"/>
  <c r="BN155" i="1"/>
  <c r="BP152" i="1"/>
  <c r="BC150" i="1"/>
  <c r="BC146" i="1"/>
  <c r="BC134" i="1"/>
  <c r="BC130" i="1"/>
  <c r="BC118" i="1"/>
  <c r="BE118" i="1" s="1"/>
  <c r="BC114" i="1"/>
  <c r="BE114" i="1" s="1"/>
  <c r="BC153" i="1"/>
  <c r="BC141" i="1"/>
  <c r="BC137" i="1"/>
  <c r="BC125" i="1"/>
  <c r="BC121" i="1"/>
  <c r="BC109" i="1"/>
  <c r="BE109" i="1" s="1"/>
  <c r="BC105" i="1"/>
  <c r="BE105" i="1" s="1"/>
  <c r="BC108" i="1"/>
  <c r="BE108" i="1" s="1"/>
  <c r="BP108" i="1" s="1"/>
  <c r="BE107" i="1"/>
  <c r="BN107" i="1" s="1"/>
  <c r="BC106" i="1"/>
  <c r="BE106" i="1" s="1"/>
  <c r="BO106" i="1" s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BO115" i="1" l="1"/>
  <c r="BP112" i="1"/>
  <c r="BN112" i="1"/>
  <c r="BN116" i="1"/>
  <c r="BO116" i="1"/>
  <c r="BN111" i="1"/>
  <c r="BP111" i="1"/>
  <c r="BQ131" i="1"/>
  <c r="BR131" i="1" s="1"/>
  <c r="BO104" i="1"/>
  <c r="BQ175" i="1"/>
  <c r="BR175" i="1" s="1"/>
  <c r="BO108" i="1"/>
  <c r="BQ164" i="1"/>
  <c r="BR164" i="1" s="1"/>
  <c r="BQ147" i="1"/>
  <c r="BR147" i="1" s="1"/>
  <c r="BQ127" i="1"/>
  <c r="BR127" i="1" s="1"/>
  <c r="BQ124" i="1"/>
  <c r="BR124" i="1" s="1"/>
  <c r="BQ155" i="1"/>
  <c r="BR155" i="1" s="1"/>
  <c r="BQ152" i="1"/>
  <c r="BR152" i="1" s="1"/>
  <c r="BQ143" i="1"/>
  <c r="BR143" i="1" s="1"/>
  <c r="BQ171" i="1"/>
  <c r="BR171" i="1" s="1"/>
  <c r="BQ132" i="1"/>
  <c r="BR132" i="1" s="1"/>
  <c r="BQ160" i="1"/>
  <c r="BR160" i="1" s="1"/>
  <c r="BQ128" i="1"/>
  <c r="BR128" i="1" s="1"/>
  <c r="BQ148" i="1"/>
  <c r="BR148" i="1" s="1"/>
  <c r="BQ156" i="1"/>
  <c r="BR156" i="1" s="1"/>
  <c r="BQ144" i="1"/>
  <c r="BR144" i="1" s="1"/>
  <c r="BQ172" i="1"/>
  <c r="BR172" i="1" s="1"/>
  <c r="BQ140" i="1"/>
  <c r="BR140" i="1" s="1"/>
  <c r="BQ159" i="1"/>
  <c r="BR159" i="1" s="1"/>
  <c r="BQ136" i="1"/>
  <c r="BR136" i="1" s="1"/>
  <c r="BQ168" i="1"/>
  <c r="BR168" i="1" s="1"/>
  <c r="BQ178" i="1"/>
  <c r="BR178" i="1" s="1"/>
  <c r="BQ139" i="1"/>
  <c r="BR139" i="1" s="1"/>
  <c r="BQ120" i="1"/>
  <c r="BR120" i="1" s="1"/>
  <c r="BN108" i="1"/>
  <c r="BC103" i="1"/>
  <c r="BE103" i="1" s="1"/>
  <c r="BP103" i="1" s="1"/>
  <c r="BC87" i="1"/>
  <c r="BE87" i="1" s="1"/>
  <c r="BN87" i="1" s="1"/>
  <c r="BC83" i="1"/>
  <c r="BE83" i="1" s="1"/>
  <c r="BP115" i="1"/>
  <c r="BN125" i="1"/>
  <c r="BO125" i="1"/>
  <c r="BP125" i="1"/>
  <c r="BO134" i="1"/>
  <c r="BP134" i="1"/>
  <c r="BN134" i="1"/>
  <c r="BN110" i="1"/>
  <c r="BO110" i="1"/>
  <c r="BP110" i="1"/>
  <c r="BO142" i="1"/>
  <c r="BP142" i="1"/>
  <c r="BN142" i="1"/>
  <c r="BO122" i="1"/>
  <c r="BP122" i="1"/>
  <c r="BN122" i="1"/>
  <c r="BO162" i="1"/>
  <c r="BP162" i="1"/>
  <c r="BN162" i="1"/>
  <c r="BN174" i="1"/>
  <c r="BO174" i="1"/>
  <c r="BP174" i="1"/>
  <c r="BN153" i="1"/>
  <c r="BO153" i="1"/>
  <c r="BP153" i="1"/>
  <c r="BN138" i="1"/>
  <c r="BO138" i="1"/>
  <c r="BP138" i="1"/>
  <c r="BP126" i="1"/>
  <c r="BO126" i="1"/>
  <c r="BN126" i="1"/>
  <c r="BP179" i="1"/>
  <c r="BN179" i="1"/>
  <c r="BO179" i="1"/>
  <c r="BC82" i="1"/>
  <c r="BE82" i="1" s="1"/>
  <c r="BO82" i="1" s="1"/>
  <c r="BC78" i="1"/>
  <c r="BE78" i="1" s="1"/>
  <c r="BN78" i="1" s="1"/>
  <c r="BC70" i="1"/>
  <c r="BE70" i="1" s="1"/>
  <c r="BP70" i="1" s="1"/>
  <c r="BC62" i="1"/>
  <c r="BE62" i="1" s="1"/>
  <c r="BO62" i="1" s="1"/>
  <c r="BN104" i="1"/>
  <c r="BP113" i="1"/>
  <c r="BN113" i="1"/>
  <c r="BO113" i="1"/>
  <c r="BN145" i="1"/>
  <c r="BP145" i="1"/>
  <c r="BO145" i="1"/>
  <c r="BN137" i="1"/>
  <c r="BP137" i="1"/>
  <c r="BO137" i="1"/>
  <c r="BN146" i="1"/>
  <c r="BO146" i="1"/>
  <c r="BP146" i="1"/>
  <c r="BO133" i="1"/>
  <c r="BP133" i="1"/>
  <c r="BN133" i="1"/>
  <c r="BO114" i="1"/>
  <c r="BP114" i="1"/>
  <c r="BN114" i="1"/>
  <c r="BN118" i="1"/>
  <c r="BP118" i="1"/>
  <c r="BO118" i="1"/>
  <c r="BO150" i="1"/>
  <c r="BP150" i="1"/>
  <c r="BN150" i="1"/>
  <c r="BN135" i="1"/>
  <c r="BO135" i="1"/>
  <c r="BP135" i="1"/>
  <c r="BN176" i="1"/>
  <c r="BO176" i="1"/>
  <c r="BP176" i="1"/>
  <c r="BP121" i="1"/>
  <c r="BN121" i="1"/>
  <c r="BO121" i="1"/>
  <c r="BN173" i="1"/>
  <c r="BO173" i="1"/>
  <c r="BP173" i="1"/>
  <c r="BN151" i="1"/>
  <c r="BO151" i="1"/>
  <c r="BP151" i="1"/>
  <c r="BO170" i="1"/>
  <c r="BP170" i="1"/>
  <c r="BN170" i="1"/>
  <c r="BN165" i="1"/>
  <c r="BO165" i="1"/>
  <c r="BP165" i="1"/>
  <c r="BN154" i="1"/>
  <c r="BO154" i="1"/>
  <c r="BP154" i="1"/>
  <c r="BO161" i="1"/>
  <c r="BP161" i="1"/>
  <c r="BN161" i="1"/>
  <c r="BP157" i="1"/>
  <c r="BO157" i="1"/>
  <c r="BN157" i="1"/>
  <c r="BP158" i="1"/>
  <c r="BN158" i="1"/>
  <c r="BO158" i="1"/>
  <c r="BN117" i="1"/>
  <c r="BO117" i="1"/>
  <c r="BP117" i="1"/>
  <c r="BN163" i="1"/>
  <c r="BO163" i="1"/>
  <c r="BP163" i="1"/>
  <c r="BN109" i="1"/>
  <c r="BO109" i="1"/>
  <c r="BP109" i="1"/>
  <c r="BO141" i="1"/>
  <c r="BP141" i="1"/>
  <c r="BN141" i="1"/>
  <c r="BN129" i="1"/>
  <c r="BO129" i="1"/>
  <c r="BP129" i="1"/>
  <c r="BN130" i="1"/>
  <c r="BO130" i="1"/>
  <c r="BP130" i="1"/>
  <c r="BO169" i="1"/>
  <c r="BP169" i="1"/>
  <c r="BN169" i="1"/>
  <c r="BN123" i="1"/>
  <c r="BO123" i="1"/>
  <c r="BP123" i="1"/>
  <c r="BN166" i="1"/>
  <c r="BO166" i="1"/>
  <c r="BP166" i="1"/>
  <c r="BN119" i="1"/>
  <c r="BO119" i="1"/>
  <c r="BP119" i="1"/>
  <c r="BP177" i="1"/>
  <c r="BO177" i="1"/>
  <c r="BN177" i="1"/>
  <c r="BP167" i="1"/>
  <c r="BN167" i="1"/>
  <c r="BO167" i="1"/>
  <c r="BO149" i="1"/>
  <c r="BP149" i="1"/>
  <c r="BN149" i="1"/>
  <c r="BO107" i="1"/>
  <c r="BP107" i="1"/>
  <c r="BP106" i="1"/>
  <c r="BN106" i="1"/>
  <c r="BP105" i="1"/>
  <c r="BN105" i="1"/>
  <c r="BO105" i="1"/>
  <c r="BC102" i="1"/>
  <c r="BE102" i="1" s="1"/>
  <c r="BO102" i="1" s="1"/>
  <c r="BC101" i="1"/>
  <c r="BE101" i="1" s="1"/>
  <c r="BN101" i="1" s="1"/>
  <c r="BC99" i="1"/>
  <c r="BE99" i="1" s="1"/>
  <c r="BP99" i="1" s="1"/>
  <c r="BC100" i="1"/>
  <c r="BE100" i="1" s="1"/>
  <c r="BP100" i="1" s="1"/>
  <c r="BC91" i="1"/>
  <c r="BE91" i="1" s="1"/>
  <c r="BO91" i="1" s="1"/>
  <c r="BC88" i="1"/>
  <c r="BE88" i="1" s="1"/>
  <c r="BP88" i="1" s="1"/>
  <c r="BC90" i="1"/>
  <c r="BE90" i="1" s="1"/>
  <c r="BO90" i="1" s="1"/>
  <c r="BC98" i="1"/>
  <c r="BE98" i="1" s="1"/>
  <c r="BO98" i="1" s="1"/>
  <c r="BC97" i="1"/>
  <c r="BE97" i="1" s="1"/>
  <c r="BN97" i="1" s="1"/>
  <c r="BC96" i="1"/>
  <c r="BE96" i="1" s="1"/>
  <c r="BP96" i="1" s="1"/>
  <c r="BC95" i="1"/>
  <c r="BE95" i="1" s="1"/>
  <c r="BP95" i="1" s="1"/>
  <c r="BC94" i="1"/>
  <c r="BE94" i="1" s="1"/>
  <c r="BO94" i="1" s="1"/>
  <c r="BC93" i="1"/>
  <c r="BE93" i="1" s="1"/>
  <c r="BN93" i="1" s="1"/>
  <c r="BC92" i="1"/>
  <c r="BE92" i="1" s="1"/>
  <c r="BP92" i="1" s="1"/>
  <c r="BC89" i="1"/>
  <c r="BE89" i="1" s="1"/>
  <c r="BO89" i="1" s="1"/>
  <c r="BC86" i="1"/>
  <c r="BE86" i="1" s="1"/>
  <c r="BP86" i="1" s="1"/>
  <c r="BC85" i="1"/>
  <c r="BE85" i="1" s="1"/>
  <c r="BN85" i="1" s="1"/>
  <c r="BC84" i="1"/>
  <c r="BE84" i="1" s="1"/>
  <c r="BP84" i="1" s="1"/>
  <c r="BC81" i="1"/>
  <c r="BE81" i="1" s="1"/>
  <c r="BN81" i="1" s="1"/>
  <c r="BC80" i="1"/>
  <c r="BE80" i="1" s="1"/>
  <c r="BN80" i="1" s="1"/>
  <c r="BC79" i="1"/>
  <c r="BE79" i="1" s="1"/>
  <c r="BP79" i="1" s="1"/>
  <c r="BC77" i="1"/>
  <c r="BE77" i="1" s="1"/>
  <c r="BP77" i="1" s="1"/>
  <c r="BC75" i="1"/>
  <c r="BE75" i="1" s="1"/>
  <c r="BP75" i="1" s="1"/>
  <c r="BC73" i="1"/>
  <c r="BE73" i="1" s="1"/>
  <c r="BP73" i="1" s="1"/>
  <c r="BC76" i="1"/>
  <c r="BE76" i="1" s="1"/>
  <c r="BP76" i="1" s="1"/>
  <c r="BC74" i="1"/>
  <c r="BE74" i="1" s="1"/>
  <c r="BP74" i="1" s="1"/>
  <c r="BC72" i="1"/>
  <c r="BE72" i="1" s="1"/>
  <c r="BP72" i="1" s="1"/>
  <c r="BC71" i="1"/>
  <c r="BE71" i="1" s="1"/>
  <c r="BN71" i="1" s="1"/>
  <c r="BC69" i="1"/>
  <c r="BE69" i="1" s="1"/>
  <c r="BN69" i="1" s="1"/>
  <c r="BC68" i="1"/>
  <c r="BE68" i="1" s="1"/>
  <c r="BP68" i="1" s="1"/>
  <c r="BC67" i="1"/>
  <c r="BE67" i="1" s="1"/>
  <c r="BP67" i="1" s="1"/>
  <c r="BC66" i="1"/>
  <c r="BE66" i="1" s="1"/>
  <c r="BO66" i="1" s="1"/>
  <c r="BC65" i="1"/>
  <c r="BE65" i="1" s="1"/>
  <c r="BP65" i="1" s="1"/>
  <c r="BC64" i="1"/>
  <c r="BE64" i="1" s="1"/>
  <c r="BP64" i="1" s="1"/>
  <c r="BC63" i="1"/>
  <c r="BE63" i="1" s="1"/>
  <c r="BP63" i="1" s="1"/>
  <c r="BC61" i="1"/>
  <c r="BE61" i="1" s="1"/>
  <c r="BO61" i="1" s="1"/>
  <c r="BI41" i="1"/>
  <c r="AP38" i="1"/>
  <c r="AV38" i="1"/>
  <c r="BB38" i="1"/>
  <c r="BI38" i="1"/>
  <c r="BM38" i="1"/>
  <c r="AP39" i="1"/>
  <c r="AV39" i="1"/>
  <c r="BB39" i="1"/>
  <c r="BI39" i="1"/>
  <c r="BM39" i="1"/>
  <c r="AP40" i="1"/>
  <c r="AV40" i="1"/>
  <c r="BB40" i="1"/>
  <c r="BI40" i="1"/>
  <c r="BM40" i="1"/>
  <c r="BM43" i="1"/>
  <c r="BI43" i="1"/>
  <c r="BB43" i="1"/>
  <c r="AV43" i="1"/>
  <c r="AP43" i="1"/>
  <c r="BM42" i="1"/>
  <c r="BI42" i="1"/>
  <c r="BB42" i="1"/>
  <c r="AV42" i="1"/>
  <c r="AP42" i="1"/>
  <c r="BM41" i="1"/>
  <c r="BB41" i="1"/>
  <c r="AV41" i="1"/>
  <c r="AP41" i="1"/>
  <c r="BM32" i="1"/>
  <c r="BM33" i="1"/>
  <c r="BM34" i="1"/>
  <c r="BM35" i="1"/>
  <c r="BM36" i="1"/>
  <c r="BM37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I32" i="1"/>
  <c r="BI33" i="1"/>
  <c r="BI34" i="1"/>
  <c r="BI35" i="1"/>
  <c r="BI36" i="1"/>
  <c r="BI37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B32" i="1"/>
  <c r="BB33" i="1"/>
  <c r="BB34" i="1"/>
  <c r="BB35" i="1"/>
  <c r="BB36" i="1"/>
  <c r="BB37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AV32" i="1"/>
  <c r="AV33" i="1"/>
  <c r="AV34" i="1"/>
  <c r="AV35" i="1"/>
  <c r="AV36" i="1"/>
  <c r="AV37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P32" i="1"/>
  <c r="AP33" i="1"/>
  <c r="AP34" i="1"/>
  <c r="AP35" i="1"/>
  <c r="AP36" i="1"/>
  <c r="AP37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BM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Q112" i="1" l="1"/>
  <c r="BR112" i="1" s="1"/>
  <c r="BQ116" i="1"/>
  <c r="BR116" i="1" s="1"/>
  <c r="BQ115" i="1"/>
  <c r="BR115" i="1" s="1"/>
  <c r="BQ108" i="1"/>
  <c r="BR108" i="1" s="1"/>
  <c r="BQ111" i="1"/>
  <c r="BR111" i="1" s="1"/>
  <c r="BN82" i="1"/>
  <c r="BP82" i="1"/>
  <c r="BQ104" i="1"/>
  <c r="BR104" i="1" s="1"/>
  <c r="BP87" i="1"/>
  <c r="BO87" i="1"/>
  <c r="BO77" i="1"/>
  <c r="BN100" i="1"/>
  <c r="BO83" i="1"/>
  <c r="BN83" i="1"/>
  <c r="BC43" i="1"/>
  <c r="BE43" i="1" s="1"/>
  <c r="BO80" i="1"/>
  <c r="BN96" i="1"/>
  <c r="BN103" i="1"/>
  <c r="BN62" i="1"/>
  <c r="BN73" i="1"/>
  <c r="BP80" i="1"/>
  <c r="BP85" i="1"/>
  <c r="BP89" i="1"/>
  <c r="BN94" i="1"/>
  <c r="BO96" i="1"/>
  <c r="BO101" i="1"/>
  <c r="BO103" i="1"/>
  <c r="BP62" i="1"/>
  <c r="BQ179" i="1"/>
  <c r="BR179" i="1" s="1"/>
  <c r="BN67" i="1"/>
  <c r="BO70" i="1"/>
  <c r="BO76" i="1"/>
  <c r="BO79" i="1"/>
  <c r="BP101" i="1"/>
  <c r="BQ163" i="1"/>
  <c r="BR163" i="1" s="1"/>
  <c r="BQ162" i="1"/>
  <c r="BR162" i="1" s="1"/>
  <c r="BQ153" i="1"/>
  <c r="BR153" i="1" s="1"/>
  <c r="BQ151" i="1"/>
  <c r="BR151" i="1" s="1"/>
  <c r="BQ135" i="1"/>
  <c r="BR135" i="1" s="1"/>
  <c r="BQ134" i="1"/>
  <c r="BR134" i="1" s="1"/>
  <c r="BQ141" i="1"/>
  <c r="BR141" i="1" s="1"/>
  <c r="BQ145" i="1"/>
  <c r="BR145" i="1" s="1"/>
  <c r="BQ130" i="1"/>
  <c r="BR130" i="1" s="1"/>
  <c r="BQ126" i="1"/>
  <c r="BR126" i="1" s="1"/>
  <c r="BQ149" i="1"/>
  <c r="BR149" i="1" s="1"/>
  <c r="BQ167" i="1"/>
  <c r="BR167" i="1" s="1"/>
  <c r="BQ158" i="1"/>
  <c r="BR158" i="1" s="1"/>
  <c r="BQ121" i="1"/>
  <c r="BR121" i="1" s="1"/>
  <c r="BQ176" i="1"/>
  <c r="BR176" i="1" s="1"/>
  <c r="BQ150" i="1"/>
  <c r="BR150" i="1" s="1"/>
  <c r="BQ133" i="1"/>
  <c r="BR133" i="1" s="1"/>
  <c r="BQ137" i="1"/>
  <c r="BR137" i="1" s="1"/>
  <c r="BQ138" i="1"/>
  <c r="BR138" i="1" s="1"/>
  <c r="BQ125" i="1"/>
  <c r="BR125" i="1" s="1"/>
  <c r="BQ123" i="1"/>
  <c r="BR123" i="1" s="1"/>
  <c r="BQ161" i="1"/>
  <c r="BR161" i="1" s="1"/>
  <c r="BQ165" i="1"/>
  <c r="BR165" i="1" s="1"/>
  <c r="BQ146" i="1"/>
  <c r="BR146" i="1" s="1"/>
  <c r="BQ142" i="1"/>
  <c r="BR142" i="1" s="1"/>
  <c r="BQ177" i="1"/>
  <c r="BR177" i="1" s="1"/>
  <c r="BQ166" i="1"/>
  <c r="BR166" i="1" s="1"/>
  <c r="BQ169" i="1"/>
  <c r="BR169" i="1" s="1"/>
  <c r="BQ129" i="1"/>
  <c r="BR129" i="1" s="1"/>
  <c r="BQ157" i="1"/>
  <c r="BR157" i="1" s="1"/>
  <c r="BQ154" i="1"/>
  <c r="BR154" i="1" s="1"/>
  <c r="BQ170" i="1"/>
  <c r="BR170" i="1" s="1"/>
  <c r="BQ173" i="1"/>
  <c r="BR173" i="1" s="1"/>
  <c r="BQ174" i="1"/>
  <c r="BR174" i="1" s="1"/>
  <c r="BQ122" i="1"/>
  <c r="BR122" i="1" s="1"/>
  <c r="BO71" i="1"/>
  <c r="BO74" i="1"/>
  <c r="BN76" i="1"/>
  <c r="BP83" i="1"/>
  <c r="BN66" i="1"/>
  <c r="BP71" i="1"/>
  <c r="BN74" i="1"/>
  <c r="BN75" i="1"/>
  <c r="BP78" i="1"/>
  <c r="BP81" i="1"/>
  <c r="BN84" i="1"/>
  <c r="BN102" i="1"/>
  <c r="BQ114" i="1"/>
  <c r="BR114" i="1" s="1"/>
  <c r="BN64" i="1"/>
  <c r="BO81" i="1"/>
  <c r="BO84" i="1"/>
  <c r="BP97" i="1"/>
  <c r="BP102" i="1"/>
  <c r="BQ119" i="1"/>
  <c r="BR119" i="1" s="1"/>
  <c r="BQ118" i="1"/>
  <c r="BR118" i="1" s="1"/>
  <c r="BQ117" i="1"/>
  <c r="BR117" i="1" s="1"/>
  <c r="BQ109" i="1"/>
  <c r="BR109" i="1" s="1"/>
  <c r="BQ113" i="1"/>
  <c r="BR113" i="1" s="1"/>
  <c r="BQ110" i="1"/>
  <c r="BR110" i="1" s="1"/>
  <c r="BC37" i="1"/>
  <c r="BE37" i="1" s="1"/>
  <c r="BN37" i="1" s="1"/>
  <c r="BC32" i="1"/>
  <c r="BE32" i="1" s="1"/>
  <c r="BO32" i="1" s="1"/>
  <c r="BC39" i="1"/>
  <c r="BE39" i="1" s="1"/>
  <c r="BO39" i="1" s="1"/>
  <c r="BO63" i="1"/>
  <c r="BN70" i="1"/>
  <c r="BO78" i="1"/>
  <c r="BN95" i="1"/>
  <c r="BN98" i="1"/>
  <c r="BN88" i="1"/>
  <c r="BC33" i="1"/>
  <c r="BE33" i="1" s="1"/>
  <c r="BN63" i="1"/>
  <c r="BC36" i="1"/>
  <c r="BE36" i="1" s="1"/>
  <c r="BN36" i="1" s="1"/>
  <c r="BC45" i="1"/>
  <c r="BE45" i="1" s="1"/>
  <c r="BC41" i="1"/>
  <c r="BE41" i="1" s="1"/>
  <c r="BC42" i="1"/>
  <c r="BE42" i="1" s="1"/>
  <c r="BC38" i="1"/>
  <c r="BE38" i="1" s="1"/>
  <c r="BO95" i="1"/>
  <c r="BP98" i="1"/>
  <c r="BO88" i="1"/>
  <c r="BN99" i="1"/>
  <c r="BQ107" i="1"/>
  <c r="BR107" i="1" s="1"/>
  <c r="BQ106" i="1"/>
  <c r="BR106" i="1" s="1"/>
  <c r="BQ105" i="1"/>
  <c r="BR105" i="1" s="1"/>
  <c r="BO99" i="1"/>
  <c r="BO100" i="1"/>
  <c r="BN91" i="1"/>
  <c r="BP91" i="1"/>
  <c r="BP90" i="1"/>
  <c r="BN90" i="1"/>
  <c r="BO97" i="1"/>
  <c r="BP94" i="1"/>
  <c r="BO93" i="1"/>
  <c r="BP93" i="1"/>
  <c r="BN92" i="1"/>
  <c r="BO92" i="1"/>
  <c r="BN89" i="1"/>
  <c r="BO86" i="1"/>
  <c r="BN86" i="1"/>
  <c r="BO85" i="1"/>
  <c r="BN79" i="1"/>
  <c r="BN77" i="1"/>
  <c r="BO75" i="1"/>
  <c r="BO73" i="1"/>
  <c r="BN72" i="1"/>
  <c r="BO72" i="1"/>
  <c r="BO69" i="1"/>
  <c r="BP69" i="1"/>
  <c r="BN68" i="1"/>
  <c r="BO68" i="1"/>
  <c r="BO67" i="1"/>
  <c r="BP66" i="1"/>
  <c r="BO65" i="1"/>
  <c r="BN65" i="1"/>
  <c r="BO64" i="1"/>
  <c r="BN61" i="1"/>
  <c r="BP61" i="1"/>
  <c r="BC59" i="1"/>
  <c r="BE59" i="1" s="1"/>
  <c r="BC58" i="1"/>
  <c r="BE58" i="1" s="1"/>
  <c r="BC40" i="1"/>
  <c r="BE40" i="1" s="1"/>
  <c r="BO40" i="1" s="1"/>
  <c r="BC57" i="1"/>
  <c r="BE57" i="1" s="1"/>
  <c r="BC53" i="1"/>
  <c r="BE53" i="1" s="1"/>
  <c r="BC49" i="1"/>
  <c r="BE49" i="1" s="1"/>
  <c r="BC35" i="1"/>
  <c r="BE35" i="1" s="1"/>
  <c r="BP35" i="1" s="1"/>
  <c r="BC60" i="1"/>
  <c r="BE60" i="1" s="1"/>
  <c r="BC44" i="1"/>
  <c r="BE44" i="1" s="1"/>
  <c r="BC34" i="1"/>
  <c r="BE34" i="1" s="1"/>
  <c r="BN34" i="1" s="1"/>
  <c r="BC56" i="1"/>
  <c r="BE56" i="1" s="1"/>
  <c r="BC55" i="1"/>
  <c r="BE55" i="1" s="1"/>
  <c r="BC54" i="1"/>
  <c r="BE54" i="1" s="1"/>
  <c r="BC52" i="1"/>
  <c r="BE52" i="1" s="1"/>
  <c r="BC51" i="1"/>
  <c r="BE51" i="1" s="1"/>
  <c r="BC50" i="1"/>
  <c r="BE50" i="1" s="1"/>
  <c r="BC48" i="1"/>
  <c r="BE48" i="1" s="1"/>
  <c r="BC47" i="1"/>
  <c r="BE47" i="1" s="1"/>
  <c r="BC46" i="1"/>
  <c r="BE46" i="1" s="1"/>
  <c r="BN2" i="4"/>
  <c r="BN3" i="4"/>
  <c r="BN4" i="4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J2" i="4"/>
  <c r="BJ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F2" i="4"/>
  <c r="BF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Q82" i="1" l="1"/>
  <c r="BR82" i="1" s="1"/>
  <c r="BQ101" i="1"/>
  <c r="BR101" i="1" s="1"/>
  <c r="BQ96" i="1"/>
  <c r="BR96" i="1" s="1"/>
  <c r="BQ89" i="1"/>
  <c r="BR89" i="1" s="1"/>
  <c r="BQ87" i="1"/>
  <c r="BR87" i="1" s="1"/>
  <c r="BQ75" i="1"/>
  <c r="BR75" i="1" s="1"/>
  <c r="BO36" i="1"/>
  <c r="BP32" i="1"/>
  <c r="BQ71" i="1"/>
  <c r="BR71" i="1" s="1"/>
  <c r="BQ77" i="1"/>
  <c r="BR77" i="1" s="1"/>
  <c r="BQ84" i="1"/>
  <c r="BR84" i="1" s="1"/>
  <c r="BQ62" i="1"/>
  <c r="BR62" i="1" s="1"/>
  <c r="BQ100" i="1"/>
  <c r="BR100" i="1" s="1"/>
  <c r="BQ78" i="1"/>
  <c r="BR78" i="1" s="1"/>
  <c r="BQ103" i="1"/>
  <c r="BR103" i="1" s="1"/>
  <c r="BP39" i="1"/>
  <c r="BQ97" i="1"/>
  <c r="BR97" i="1" s="1"/>
  <c r="BQ67" i="1"/>
  <c r="BR67" i="1" s="1"/>
  <c r="BQ83" i="1"/>
  <c r="BR83" i="1" s="1"/>
  <c r="BQ76" i="1"/>
  <c r="BR76" i="1" s="1"/>
  <c r="BQ80" i="1"/>
  <c r="BR80" i="1" s="1"/>
  <c r="BQ85" i="1"/>
  <c r="BR85" i="1" s="1"/>
  <c r="BQ70" i="1"/>
  <c r="BR70" i="1" s="1"/>
  <c r="BQ64" i="1"/>
  <c r="BR64" i="1" s="1"/>
  <c r="BQ102" i="1"/>
  <c r="BR102" i="1" s="1"/>
  <c r="BN35" i="1"/>
  <c r="BN32" i="1"/>
  <c r="BQ95" i="1"/>
  <c r="BR95" i="1" s="1"/>
  <c r="BO37" i="1"/>
  <c r="BQ73" i="1"/>
  <c r="BR73" i="1" s="1"/>
  <c r="BQ94" i="1"/>
  <c r="BR94" i="1" s="1"/>
  <c r="BQ81" i="1"/>
  <c r="BR81" i="1" s="1"/>
  <c r="BQ74" i="1"/>
  <c r="BR74" i="1" s="1"/>
  <c r="BN38" i="1"/>
  <c r="BO38" i="1"/>
  <c r="BP38" i="1"/>
  <c r="BN33" i="1"/>
  <c r="BO33" i="1"/>
  <c r="BN40" i="1"/>
  <c r="BP36" i="1"/>
  <c r="BN39" i="1"/>
  <c r="BQ99" i="1"/>
  <c r="BR99" i="1" s="1"/>
  <c r="BQ63" i="1"/>
  <c r="BR63" i="1" s="1"/>
  <c r="BP37" i="1"/>
  <c r="BQ66" i="1"/>
  <c r="BR66" i="1" s="1"/>
  <c r="BQ79" i="1"/>
  <c r="BR79" i="1" s="1"/>
  <c r="BO35" i="1"/>
  <c r="BQ90" i="1"/>
  <c r="BR90" i="1" s="1"/>
  <c r="BP40" i="1"/>
  <c r="BQ88" i="1"/>
  <c r="BR88" i="1" s="1"/>
  <c r="BO34" i="1"/>
  <c r="BQ98" i="1"/>
  <c r="BR98" i="1" s="1"/>
  <c r="BQ91" i="1"/>
  <c r="BR91" i="1" s="1"/>
  <c r="BQ93" i="1"/>
  <c r="BR93" i="1" s="1"/>
  <c r="BQ92" i="1"/>
  <c r="BR92" i="1" s="1"/>
  <c r="BQ86" i="1"/>
  <c r="BR86" i="1" s="1"/>
  <c r="BQ72" i="1"/>
  <c r="BR72" i="1" s="1"/>
  <c r="BQ65" i="1"/>
  <c r="BR65" i="1" s="1"/>
  <c r="BQ69" i="1"/>
  <c r="BR69" i="1" s="1"/>
  <c r="BQ68" i="1"/>
  <c r="BR68" i="1" s="1"/>
  <c r="BQ61" i="1"/>
  <c r="BR61" i="1" s="1"/>
  <c r="BP33" i="1"/>
  <c r="BP34" i="1"/>
  <c r="BP43" i="1"/>
  <c r="BO43" i="1"/>
  <c r="BN43" i="1"/>
  <c r="BP42" i="1"/>
  <c r="BO42" i="1"/>
  <c r="BN42" i="1"/>
  <c r="BP41" i="1"/>
  <c r="BO41" i="1"/>
  <c r="BN41" i="1"/>
  <c r="BP44" i="1"/>
  <c r="BO44" i="1"/>
  <c r="BN44" i="1"/>
  <c r="BP45" i="1"/>
  <c r="BO45" i="1"/>
  <c r="BN45" i="1"/>
  <c r="BP46" i="1"/>
  <c r="BO46" i="1"/>
  <c r="BN46" i="1"/>
  <c r="BP47" i="1"/>
  <c r="BO47" i="1"/>
  <c r="BN47" i="1"/>
  <c r="BP48" i="1"/>
  <c r="BO48" i="1"/>
  <c r="BN48" i="1"/>
  <c r="BP49" i="1"/>
  <c r="BO49" i="1"/>
  <c r="BN49" i="1"/>
  <c r="BP50" i="1"/>
  <c r="BO50" i="1"/>
  <c r="BN50" i="1"/>
  <c r="BP51" i="1"/>
  <c r="BO51" i="1"/>
  <c r="BN51" i="1"/>
  <c r="BP52" i="1"/>
  <c r="BO52" i="1"/>
  <c r="BN52" i="1"/>
  <c r="BP53" i="1"/>
  <c r="BO53" i="1"/>
  <c r="BN53" i="1"/>
  <c r="BP54" i="1"/>
  <c r="BO54" i="1"/>
  <c r="BN54" i="1"/>
  <c r="BP55" i="1"/>
  <c r="BO55" i="1"/>
  <c r="BN55" i="1"/>
  <c r="BP56" i="1"/>
  <c r="BO56" i="1"/>
  <c r="BN56" i="1"/>
  <c r="BP57" i="1"/>
  <c r="BO57" i="1"/>
  <c r="BN57" i="1"/>
  <c r="BP58" i="1"/>
  <c r="BO58" i="1"/>
  <c r="BN58" i="1"/>
  <c r="BP59" i="1"/>
  <c r="BO59" i="1"/>
  <c r="BN59" i="1"/>
  <c r="BP60" i="1"/>
  <c r="BO60" i="1"/>
  <c r="BN60" i="1"/>
  <c r="BI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BQ36" i="1" l="1"/>
  <c r="BR36" i="1" s="1"/>
  <c r="BQ32" i="1"/>
  <c r="BR32" i="1" s="1"/>
  <c r="BQ40" i="1"/>
  <c r="BR40" i="1" s="1"/>
  <c r="BQ39" i="1"/>
  <c r="BR39" i="1" s="1"/>
  <c r="BQ37" i="1"/>
  <c r="BR37" i="1" s="1"/>
  <c r="BQ35" i="1"/>
  <c r="BR35" i="1" s="1"/>
  <c r="BQ38" i="1"/>
  <c r="BR38" i="1" s="1"/>
  <c r="BC29" i="1"/>
  <c r="BE29" i="1" s="1"/>
  <c r="BC25" i="1"/>
  <c r="BE25" i="1" s="1"/>
  <c r="BC21" i="1"/>
  <c r="BE21" i="1" s="1"/>
  <c r="BC17" i="1"/>
  <c r="BE17" i="1" s="1"/>
  <c r="BC13" i="1"/>
  <c r="BE13" i="1" s="1"/>
  <c r="BC9" i="1"/>
  <c r="BE9" i="1" s="1"/>
  <c r="BC5" i="1"/>
  <c r="BE5" i="1" s="1"/>
  <c r="BQ33" i="1"/>
  <c r="BR33" i="1" s="1"/>
  <c r="BQ42" i="1"/>
  <c r="BR42" i="1" s="1"/>
  <c r="BQ34" i="1"/>
  <c r="BR34" i="1" s="1"/>
  <c r="BC30" i="1"/>
  <c r="BE30" i="1" s="1"/>
  <c r="BC26" i="1"/>
  <c r="BE26" i="1" s="1"/>
  <c r="BC22" i="1"/>
  <c r="BE22" i="1" s="1"/>
  <c r="BC18" i="1"/>
  <c r="BE18" i="1" s="1"/>
  <c r="BC14" i="1"/>
  <c r="BE14" i="1" s="1"/>
  <c r="BC10" i="1"/>
  <c r="BE10" i="1" s="1"/>
  <c r="BC6" i="1"/>
  <c r="BE6" i="1" s="1"/>
  <c r="BC2" i="1"/>
  <c r="BE2" i="1" s="1"/>
  <c r="BN2" i="1" s="1"/>
  <c r="BQ57" i="1"/>
  <c r="BR57" i="1" s="1"/>
  <c r="BQ49" i="1"/>
  <c r="BR49" i="1" s="1"/>
  <c r="BQ43" i="1"/>
  <c r="BR43" i="1" s="1"/>
  <c r="BQ60" i="1"/>
  <c r="BR60" i="1" s="1"/>
  <c r="BQ59" i="1"/>
  <c r="BR59" i="1" s="1"/>
  <c r="BQ58" i="1"/>
  <c r="BR58" i="1" s="1"/>
  <c r="BC20" i="1"/>
  <c r="BE20" i="1" s="1"/>
  <c r="BC8" i="1"/>
  <c r="BE8" i="1" s="1"/>
  <c r="BC28" i="1"/>
  <c r="BE28" i="1" s="1"/>
  <c r="BC24" i="1"/>
  <c r="BE24" i="1" s="1"/>
  <c r="BC16" i="1"/>
  <c r="BE16" i="1" s="1"/>
  <c r="BC12" i="1"/>
  <c r="BE12" i="1" s="1"/>
  <c r="BC4" i="1"/>
  <c r="BE4" i="1" s="1"/>
  <c r="BQ41" i="1"/>
  <c r="BR41" i="1" s="1"/>
  <c r="BC31" i="1"/>
  <c r="BE31" i="1" s="1"/>
  <c r="BC27" i="1"/>
  <c r="BE27" i="1" s="1"/>
  <c r="BC23" i="1"/>
  <c r="BE23" i="1" s="1"/>
  <c r="BC19" i="1"/>
  <c r="BE19" i="1" s="1"/>
  <c r="BC15" i="1"/>
  <c r="BE15" i="1" s="1"/>
  <c r="BC11" i="1"/>
  <c r="BE11" i="1" s="1"/>
  <c r="BC7" i="1"/>
  <c r="BE7" i="1" s="1"/>
  <c r="BC3" i="1"/>
  <c r="BE3" i="1" s="1"/>
  <c r="BN3" i="1" s="1"/>
  <c r="BQ56" i="1"/>
  <c r="BR56" i="1" s="1"/>
  <c r="BQ44" i="1"/>
  <c r="BR44" i="1" s="1"/>
  <c r="BQ55" i="1"/>
  <c r="BR55" i="1" s="1"/>
  <c r="BQ54" i="1"/>
  <c r="BR54" i="1" s="1"/>
  <c r="BQ53" i="1"/>
  <c r="BR53" i="1" s="1"/>
  <c r="BQ52" i="1"/>
  <c r="BR52" i="1" s="1"/>
  <c r="BQ51" i="1"/>
  <c r="BR51" i="1" s="1"/>
  <c r="BQ48" i="1"/>
  <c r="BR48" i="1" s="1"/>
  <c r="BQ50" i="1"/>
  <c r="BR50" i="1" s="1"/>
  <c r="BQ47" i="1"/>
  <c r="BR47" i="1" s="1"/>
  <c r="BQ46" i="1"/>
  <c r="BR46" i="1" s="1"/>
  <c r="BQ45" i="1"/>
  <c r="BR45" i="1" s="1"/>
  <c r="BO2" i="1" l="1"/>
  <c r="BP2" i="1"/>
  <c r="BO3" i="1"/>
  <c r="BP3" i="1"/>
  <c r="BP4" i="1"/>
  <c r="BO4" i="1"/>
  <c r="BN4" i="1"/>
  <c r="BP5" i="1"/>
  <c r="BO5" i="1"/>
  <c r="BN5" i="1"/>
  <c r="BP6" i="1"/>
  <c r="BO6" i="1"/>
  <c r="BN6" i="1"/>
  <c r="BO7" i="1"/>
  <c r="BP7" i="1"/>
  <c r="BN7" i="1"/>
  <c r="BP8" i="1"/>
  <c r="BO8" i="1"/>
  <c r="BN8" i="1"/>
  <c r="BP9" i="1"/>
  <c r="BO9" i="1"/>
  <c r="BN9" i="1"/>
  <c r="BP10" i="1"/>
  <c r="BO10" i="1"/>
  <c r="BN10" i="1"/>
  <c r="BP11" i="1"/>
  <c r="BO11" i="1"/>
  <c r="BN11" i="1"/>
  <c r="BP12" i="1"/>
  <c r="BO12" i="1"/>
  <c r="BN12" i="1"/>
  <c r="BP13" i="1"/>
  <c r="BO13" i="1"/>
  <c r="BN13" i="1"/>
  <c r="BP14" i="1"/>
  <c r="BO14" i="1"/>
  <c r="BN14" i="1"/>
  <c r="BP15" i="1"/>
  <c r="BO15" i="1"/>
  <c r="BN15" i="1"/>
  <c r="BP16" i="1"/>
  <c r="BO16" i="1"/>
  <c r="BN16" i="1"/>
  <c r="BP17" i="1"/>
  <c r="BO17" i="1"/>
  <c r="BN17" i="1"/>
  <c r="BP18" i="1"/>
  <c r="BO18" i="1"/>
  <c r="BN18" i="1"/>
  <c r="BP19" i="1"/>
  <c r="BO19" i="1"/>
  <c r="BN19" i="1"/>
  <c r="BP20" i="1"/>
  <c r="BO20" i="1"/>
  <c r="BN20" i="1"/>
  <c r="BP21" i="1"/>
  <c r="BO21" i="1"/>
  <c r="BN21" i="1"/>
  <c r="BP22" i="1"/>
  <c r="BO22" i="1"/>
  <c r="BN22" i="1"/>
  <c r="BP23" i="1"/>
  <c r="BO23" i="1"/>
  <c r="BN23" i="1"/>
  <c r="BP24" i="1"/>
  <c r="BO24" i="1"/>
  <c r="BN24" i="1"/>
  <c r="BP25" i="1"/>
  <c r="BO25" i="1"/>
  <c r="BN25" i="1"/>
  <c r="BP26" i="1"/>
  <c r="BO26" i="1"/>
  <c r="BN26" i="1"/>
  <c r="BP27" i="1"/>
  <c r="BO27" i="1"/>
  <c r="BN27" i="1"/>
  <c r="BP28" i="1"/>
  <c r="BO28" i="1"/>
  <c r="BN28" i="1"/>
  <c r="BP29" i="1"/>
  <c r="BO29" i="1"/>
  <c r="BN29" i="1"/>
  <c r="BP30" i="1"/>
  <c r="BO30" i="1"/>
  <c r="BN30" i="1"/>
  <c r="BP31" i="1"/>
  <c r="BO31" i="1"/>
  <c r="BN31" i="1"/>
  <c r="BQ2" i="1" l="1"/>
  <c r="BR2" i="1" s="1"/>
  <c r="BQ28" i="1"/>
  <c r="BR28" i="1" s="1"/>
  <c r="BQ24" i="1"/>
  <c r="BR24" i="1" s="1"/>
  <c r="BQ20" i="1"/>
  <c r="BR20" i="1" s="1"/>
  <c r="BQ16" i="1"/>
  <c r="BR16" i="1" s="1"/>
  <c r="BQ12" i="1"/>
  <c r="BR12" i="1" s="1"/>
  <c r="BQ8" i="1"/>
  <c r="BR8" i="1" s="1"/>
  <c r="BQ4" i="1"/>
  <c r="BR4" i="1" s="1"/>
  <c r="BQ31" i="1"/>
  <c r="BR31" i="1" s="1"/>
  <c r="BQ27" i="1"/>
  <c r="BR27" i="1" s="1"/>
  <c r="BQ23" i="1"/>
  <c r="BR23" i="1" s="1"/>
  <c r="BQ19" i="1"/>
  <c r="BR19" i="1" s="1"/>
  <c r="BQ15" i="1"/>
  <c r="BR15" i="1" s="1"/>
  <c r="BQ11" i="1"/>
  <c r="BR11" i="1" s="1"/>
  <c r="BQ7" i="1"/>
  <c r="BR7" i="1" s="1"/>
  <c r="BQ3" i="1"/>
  <c r="BR3" i="1" s="1"/>
  <c r="BQ29" i="1"/>
  <c r="BR29" i="1" s="1"/>
  <c r="BQ25" i="1"/>
  <c r="BR25" i="1" s="1"/>
  <c r="BQ21" i="1"/>
  <c r="BR21" i="1" s="1"/>
  <c r="BQ17" i="1"/>
  <c r="BR17" i="1" s="1"/>
  <c r="BQ13" i="1"/>
  <c r="BR13" i="1" s="1"/>
  <c r="BQ9" i="1"/>
  <c r="BR9" i="1" s="1"/>
  <c r="BQ5" i="1"/>
  <c r="BR5" i="1" s="1"/>
  <c r="BQ30" i="1"/>
  <c r="BR30" i="1" s="1"/>
  <c r="BQ26" i="1"/>
  <c r="BR26" i="1" s="1"/>
  <c r="BQ22" i="1"/>
  <c r="BR22" i="1" s="1"/>
  <c r="BQ18" i="1"/>
  <c r="BR18" i="1" s="1"/>
  <c r="BQ14" i="1"/>
  <c r="BR14" i="1" s="1"/>
  <c r="BQ10" i="1"/>
  <c r="BR10" i="1" s="1"/>
  <c r="BQ6" i="1"/>
  <c r="BR6" i="1" s="1"/>
</calcChain>
</file>

<file path=xl/sharedStrings.xml><?xml version="1.0" encoding="utf-8"?>
<sst xmlns="http://schemas.openxmlformats.org/spreadsheetml/2006/main" count="10084" uniqueCount="1914">
  <si>
    <t xml:space="preserve">Código Montana </t>
  </si>
  <si>
    <t>Código UFV</t>
  </si>
  <si>
    <t>Situação</t>
  </si>
  <si>
    <t>CNPJ</t>
  </si>
  <si>
    <t>Localização</t>
  </si>
  <si>
    <t>Data de entrada</t>
  </si>
  <si>
    <t>Início da análise</t>
  </si>
  <si>
    <t>Fim da análise</t>
  </si>
  <si>
    <t xml:space="preserve">Nome do Cliente </t>
  </si>
  <si>
    <t>Cidade</t>
  </si>
  <si>
    <t>Estado</t>
  </si>
  <si>
    <t>Tipo de Amostra</t>
  </si>
  <si>
    <t>E-mail</t>
  </si>
  <si>
    <t>Produto utilizado</t>
  </si>
  <si>
    <t>Formato da amostra</t>
  </si>
  <si>
    <t>Madeira</t>
  </si>
  <si>
    <t>Indentificação de Amostra do cliente</t>
  </si>
  <si>
    <t>Motivo do Cancelamento</t>
  </si>
  <si>
    <t>Contato MOQ</t>
  </si>
  <si>
    <t>E-mail MOQ</t>
  </si>
  <si>
    <t>Montana avisou cliente</t>
  </si>
  <si>
    <t>Verificação Biológica</t>
  </si>
  <si>
    <t>Resultado</t>
  </si>
  <si>
    <t>Aplicação</t>
  </si>
  <si>
    <t>Retenção</t>
  </si>
  <si>
    <t>Norma ABNT</t>
  </si>
  <si>
    <t>Grau penetração</t>
  </si>
  <si>
    <t xml:space="preserve">Descrição Grau </t>
  </si>
  <si>
    <t xml:space="preserve">Descrição Penetração </t>
  </si>
  <si>
    <t>pH da solução</t>
  </si>
  <si>
    <t>Densidade  solução (g/cm³)</t>
  </si>
  <si>
    <t>Temperatura</t>
  </si>
  <si>
    <t>Concentração pelo termo</t>
  </si>
  <si>
    <t>Grau do aspecto</t>
  </si>
  <si>
    <t>Aspecto</t>
  </si>
  <si>
    <t>Descrição do aspecto</t>
  </si>
  <si>
    <t>Diâmetro 1 (mm)</t>
  </si>
  <si>
    <t xml:space="preserve">Diâmetro 2 (mm) </t>
  </si>
  <si>
    <t>Diâmetro 3 (mm)</t>
  </si>
  <si>
    <t>Diâmetro 4 (mm)</t>
  </si>
  <si>
    <t>Diâmetro 5 (mm)</t>
  </si>
  <si>
    <t>Diâmetro médio (cm)</t>
  </si>
  <si>
    <t>Comprim. 1 (mm)</t>
  </si>
  <si>
    <t>Comprim. 2 (mm)</t>
  </si>
  <si>
    <t>Comprim. 3 (mm)</t>
  </si>
  <si>
    <t>Comprim. 4 (mm)</t>
  </si>
  <si>
    <t>Comprim. 5 (mm)</t>
  </si>
  <si>
    <t>Comprim. Médio (cm)</t>
  </si>
  <si>
    <t>Massa 1 (g)</t>
  </si>
  <si>
    <t>Massa 2 (g)</t>
  </si>
  <si>
    <t>Massa 3 (g)</t>
  </si>
  <si>
    <t>Massa 4 (g)</t>
  </si>
  <si>
    <t>Massa 5 (g)</t>
  </si>
  <si>
    <t>Massa média (g)</t>
  </si>
  <si>
    <t>Volume (cm³)</t>
  </si>
  <si>
    <t>Densidade (g/cm³)</t>
  </si>
  <si>
    <t>Densidade (Kg/m³)</t>
  </si>
  <si>
    <t>Cromo (%)</t>
  </si>
  <si>
    <t>Cobre (%)</t>
  </si>
  <si>
    <t xml:space="preserve"> Arsênio (%)</t>
  </si>
  <si>
    <t>Balanço Total</t>
  </si>
  <si>
    <t>Balanço Cromo %</t>
  </si>
  <si>
    <t>Balanço Cobre %</t>
  </si>
  <si>
    <t>Balanço Arsênio %</t>
  </si>
  <si>
    <t>Balanço Total %</t>
  </si>
  <si>
    <t>Retenção Cromo (Kg/m³)</t>
  </si>
  <si>
    <t>Retenção Cobre (Kg/m³)</t>
  </si>
  <si>
    <t>Retenção Arsênio (Kg/m³)</t>
  </si>
  <si>
    <t>Retenção/concentração</t>
  </si>
  <si>
    <t>Observação</t>
  </si>
  <si>
    <t>UFV-M-01</t>
  </si>
  <si>
    <t>Finalizada</t>
  </si>
  <si>
    <t>Lua Madeira Imunizada</t>
  </si>
  <si>
    <t>Nova União</t>
  </si>
  <si>
    <t>MG</t>
  </si>
  <si>
    <t>CCA - C</t>
  </si>
  <si>
    <t>Torete</t>
  </si>
  <si>
    <t>Eucalyptus</t>
  </si>
  <si>
    <t>-</t>
  </si>
  <si>
    <t>Mourões</t>
  </si>
  <si>
    <t>NBR 16143</t>
  </si>
  <si>
    <t>UFV-M-02</t>
  </si>
  <si>
    <t>Turmalina</t>
  </si>
  <si>
    <t>Amostra 1</t>
  </si>
  <si>
    <t>UFV-M-03</t>
  </si>
  <si>
    <t>Amostra 2</t>
  </si>
  <si>
    <t>UFV-M-04</t>
  </si>
  <si>
    <t>Amostra 3</t>
  </si>
  <si>
    <t>UFV-M-05</t>
  </si>
  <si>
    <t>03.676.002/0001-93</t>
  </si>
  <si>
    <t>Madtrat</t>
  </si>
  <si>
    <t>Santa Cruz do Rio Pardo</t>
  </si>
  <si>
    <t>SP</t>
  </si>
  <si>
    <t>qualidade@madtrat.com.br</t>
  </si>
  <si>
    <t>Bagueta</t>
  </si>
  <si>
    <t>Mourão</t>
  </si>
  <si>
    <t>UFV-M-06</t>
  </si>
  <si>
    <t>Poste Lote 16</t>
  </si>
  <si>
    <t>Postes</t>
  </si>
  <si>
    <t>UFV-M-07</t>
  </si>
  <si>
    <t>VCS0001</t>
  </si>
  <si>
    <t>Outros - Solo</t>
  </si>
  <si>
    <t>UFV-M-08</t>
  </si>
  <si>
    <t>producao@luamadeira.com.br</t>
  </si>
  <si>
    <t>Serrado 15 cm</t>
  </si>
  <si>
    <t>I1</t>
  </si>
  <si>
    <t>UFV-M-09</t>
  </si>
  <si>
    <t>LiptosFlora</t>
  </si>
  <si>
    <t>Tangará da Serra</t>
  </si>
  <si>
    <t>MT</t>
  </si>
  <si>
    <t>Amostra 01 (8x10)</t>
  </si>
  <si>
    <t>UFV-M-10</t>
  </si>
  <si>
    <t>Amostra 02 (8X10)</t>
  </si>
  <si>
    <t>UFV-M-11</t>
  </si>
  <si>
    <t>Amostra 03 (10x12)</t>
  </si>
  <si>
    <t>UFV-M-12</t>
  </si>
  <si>
    <t>Amostra 04 (12x14)</t>
  </si>
  <si>
    <t>UFV-M-13</t>
  </si>
  <si>
    <t>Amostra 05 (10x12)</t>
  </si>
  <si>
    <t>UFV-M-14</t>
  </si>
  <si>
    <t>Amostra 06 (15x18)</t>
  </si>
  <si>
    <t>UFV-M-15</t>
  </si>
  <si>
    <t>Amostra 07 (13x15)</t>
  </si>
  <si>
    <t>UFV-M-16</t>
  </si>
  <si>
    <t>Corymbia</t>
  </si>
  <si>
    <t>Amostra 08 (Citriodoro)</t>
  </si>
  <si>
    <t>UFV-M-17</t>
  </si>
  <si>
    <t>Amostra 09  (Citriodoro)</t>
  </si>
  <si>
    <t>UFV-M-18</t>
  </si>
  <si>
    <t>39.861.262/0001-86</t>
  </si>
  <si>
    <t>SC Madeiras LTDA</t>
  </si>
  <si>
    <t>Olhos D'Água</t>
  </si>
  <si>
    <t>scmadeira21@gmail.com</t>
  </si>
  <si>
    <t>Amostra 2 - 14x16 - 4,0</t>
  </si>
  <si>
    <t>UFV-M-19</t>
  </si>
  <si>
    <t>Amostra 3 - 08x10 - 3,0m</t>
  </si>
  <si>
    <t>UFV-M-20</t>
  </si>
  <si>
    <t>Amostra 4 - 12x14 - 8,0m</t>
  </si>
  <si>
    <t>UFV-M-21</t>
  </si>
  <si>
    <t>E. urophylla</t>
  </si>
  <si>
    <t>VCS0002</t>
  </si>
  <si>
    <t>UFV-M-22</t>
  </si>
  <si>
    <t>Lagoão Tratamento de Madeira Eirelli</t>
  </si>
  <si>
    <t>Araranguá</t>
  </si>
  <si>
    <t>SC</t>
  </si>
  <si>
    <t>tratasul@yahoo.com.br</t>
  </si>
  <si>
    <t>Sem identificação</t>
  </si>
  <si>
    <t>Amostra 01 - 4x6</t>
  </si>
  <si>
    <t>UFV-M-23</t>
  </si>
  <si>
    <t>Amostra 02 - 8x10</t>
  </si>
  <si>
    <t>UFV-M-24</t>
  </si>
  <si>
    <t>Amostra 03 - 10x12</t>
  </si>
  <si>
    <t>UFV-M-25</t>
  </si>
  <si>
    <t>Amostra 04 - 10x12</t>
  </si>
  <si>
    <t>UFV-M-26</t>
  </si>
  <si>
    <t>Amostra 05 - 10x12</t>
  </si>
  <si>
    <t>UFV-M-27</t>
  </si>
  <si>
    <t>Amostra 06 - 10x12</t>
  </si>
  <si>
    <t>UFV-M-28</t>
  </si>
  <si>
    <t>luamadeira@luamadeira.com.br</t>
  </si>
  <si>
    <t>Madeira nativa</t>
  </si>
  <si>
    <t>I2 - 06 a 08</t>
  </si>
  <si>
    <t>Dormentes</t>
  </si>
  <si>
    <t>UFV-M-29</t>
  </si>
  <si>
    <t>I3 - 08 a 10</t>
  </si>
  <si>
    <t>UFV-M-30</t>
  </si>
  <si>
    <t>I4 - 12 a 14</t>
  </si>
  <si>
    <t>UFV-M-31</t>
  </si>
  <si>
    <t>Amostra 02 - 10x12 3,0m</t>
  </si>
  <si>
    <t>UFV-M-32</t>
  </si>
  <si>
    <t>Amostra 03 - 08x10 2,2m</t>
  </si>
  <si>
    <t>UFV-M-33</t>
  </si>
  <si>
    <t>Casq.1</t>
  </si>
  <si>
    <t>UFV-M-34</t>
  </si>
  <si>
    <t>Citriodora</t>
  </si>
  <si>
    <t>VCS0003</t>
  </si>
  <si>
    <t>UFV-M-35</t>
  </si>
  <si>
    <t>Comércio de Madeiras Tratadas</t>
  </si>
  <si>
    <t>Bilac</t>
  </si>
  <si>
    <t>serrarialoureiro@hotmail.com</t>
  </si>
  <si>
    <t>Estacas - Solo</t>
  </si>
  <si>
    <t>UFV-M-36</t>
  </si>
  <si>
    <t>2016</t>
  </si>
  <si>
    <t>UFV-M-37</t>
  </si>
  <si>
    <t>VCS0004</t>
  </si>
  <si>
    <t>UFV-M-38</t>
  </si>
  <si>
    <t>12.596.339/0001-81</t>
  </si>
  <si>
    <t xml:space="preserve">Madimune </t>
  </si>
  <si>
    <t>Coxim</t>
  </si>
  <si>
    <t>MS</t>
  </si>
  <si>
    <t>madimunecoxim@gmail.com</t>
  </si>
  <si>
    <t>15/SB</t>
  </si>
  <si>
    <t>UFV-M-39</t>
  </si>
  <si>
    <t>17/24</t>
  </si>
  <si>
    <t>UFV-M-40</t>
  </si>
  <si>
    <t>18/24</t>
  </si>
  <si>
    <t>UFV-M-41</t>
  </si>
  <si>
    <t>VCS0005</t>
  </si>
  <si>
    <t>UFV-M-42</t>
  </si>
  <si>
    <t>94.789.468/0001-50</t>
  </si>
  <si>
    <t>Rasip Alimentos LTDA</t>
  </si>
  <si>
    <t>Vacaria</t>
  </si>
  <si>
    <t>RS</t>
  </si>
  <si>
    <t>julio.andrighetti@rar.ind.br</t>
  </si>
  <si>
    <t>Palanque cabeceira</t>
  </si>
  <si>
    <t>UFV-M-43</t>
  </si>
  <si>
    <t>Palanque meio</t>
  </si>
  <si>
    <t>UFV-M-44</t>
  </si>
  <si>
    <t>19/24</t>
  </si>
  <si>
    <t>UFV-M-45</t>
  </si>
  <si>
    <t>20/24</t>
  </si>
  <si>
    <t>UFV-M-46</t>
  </si>
  <si>
    <t>Utramad Madeiras LTDA</t>
  </si>
  <si>
    <t>Capelinha</t>
  </si>
  <si>
    <t>secretaria@utramadmg.com</t>
  </si>
  <si>
    <t>Cloeziana</t>
  </si>
  <si>
    <t>06/08</t>
  </si>
  <si>
    <t>UFV-M-47</t>
  </si>
  <si>
    <t>10/12</t>
  </si>
  <si>
    <t>UFV-M-48</t>
  </si>
  <si>
    <t>12/14</t>
  </si>
  <si>
    <t>UFV-M-49</t>
  </si>
  <si>
    <t>14/16</t>
  </si>
  <si>
    <t>UFV-M-50</t>
  </si>
  <si>
    <t>VCS0006</t>
  </si>
  <si>
    <t>UFV-M-51</t>
  </si>
  <si>
    <t>23/24</t>
  </si>
  <si>
    <t>UFV-M-52</t>
  </si>
  <si>
    <t>I 2</t>
  </si>
  <si>
    <t>UFV-M-53</t>
  </si>
  <si>
    <t>I 3</t>
  </si>
  <si>
    <t>UFV-M-54</t>
  </si>
  <si>
    <t>24/24</t>
  </si>
  <si>
    <t>UFV-M-55</t>
  </si>
  <si>
    <t>06x08</t>
  </si>
  <si>
    <t>UFV-M-56</t>
  </si>
  <si>
    <t>08x10</t>
  </si>
  <si>
    <t>UFV-M-57</t>
  </si>
  <si>
    <t>VCS0007</t>
  </si>
  <si>
    <t>UFV-M-58</t>
  </si>
  <si>
    <t>39.957.452/0001-00</t>
  </si>
  <si>
    <t>Bital Agro</t>
  </si>
  <si>
    <t>Urbano Santos</t>
  </si>
  <si>
    <t>MA</t>
  </si>
  <si>
    <t>T23 - 14/10</t>
  </si>
  <si>
    <t>UFV-M-59</t>
  </si>
  <si>
    <t>T29 - 17/10</t>
  </si>
  <si>
    <t>UFV-M-60</t>
  </si>
  <si>
    <t>T31- 18/10</t>
  </si>
  <si>
    <t>UFV-M-61</t>
  </si>
  <si>
    <t>T34 - 19/10</t>
  </si>
  <si>
    <t>UFV-M-62</t>
  </si>
  <si>
    <t>T35 - 20/10</t>
  </si>
  <si>
    <t>UFV-M-63</t>
  </si>
  <si>
    <t>T27- 16/10</t>
  </si>
  <si>
    <t>UFV-M-64</t>
  </si>
  <si>
    <t>T26 - 15/10</t>
  </si>
  <si>
    <t>UFV-M-65</t>
  </si>
  <si>
    <t>T37 - 22/10</t>
  </si>
  <si>
    <t>UFV-M-66</t>
  </si>
  <si>
    <t>T40 - 23/10</t>
  </si>
  <si>
    <t>UFV-M-67</t>
  </si>
  <si>
    <t>T42 - 24/10</t>
  </si>
  <si>
    <t>UFV-M-68</t>
  </si>
  <si>
    <t>T36 - 21/10</t>
  </si>
  <si>
    <t>UFV-M-69</t>
  </si>
  <si>
    <t>26/24</t>
  </si>
  <si>
    <t>UFV-M-70</t>
  </si>
  <si>
    <t>27/24</t>
  </si>
  <si>
    <t>UFV-M-71</t>
  </si>
  <si>
    <t>28/24</t>
  </si>
  <si>
    <t>UFV-M-72</t>
  </si>
  <si>
    <t>T46 - 29/10</t>
  </si>
  <si>
    <t>UFV-M-73</t>
  </si>
  <si>
    <t>T43 - 28/10</t>
  </si>
  <si>
    <t>UFV-M-74</t>
  </si>
  <si>
    <t>T52 - 02/11</t>
  </si>
  <si>
    <t>UFV-M-75</t>
  </si>
  <si>
    <t>T48 - 30/10</t>
  </si>
  <si>
    <t>UFV-M-76</t>
  </si>
  <si>
    <t>29/24</t>
  </si>
  <si>
    <t>UFV-M-77</t>
  </si>
  <si>
    <t>T62 - 11/11 - 8x10</t>
  </si>
  <si>
    <t>UFV-M-78</t>
  </si>
  <si>
    <t>T57 - 7/11</t>
  </si>
  <si>
    <t>UFV-M-79</t>
  </si>
  <si>
    <t>T54 - 4/11 - U-15</t>
  </si>
  <si>
    <t>UFV-M-80</t>
  </si>
  <si>
    <t>T62 - 11/11 - 6x8</t>
  </si>
  <si>
    <t>UFV-M-81</t>
  </si>
  <si>
    <t>T54 - 4/11 - U-24</t>
  </si>
  <si>
    <t>UFV-M-82</t>
  </si>
  <si>
    <t>VCS0009</t>
  </si>
  <si>
    <t>UFV-M-83</t>
  </si>
  <si>
    <t>UFV-M-84</t>
  </si>
  <si>
    <t>08/10</t>
  </si>
  <si>
    <t>UFV-M-85</t>
  </si>
  <si>
    <t>VCS0008</t>
  </si>
  <si>
    <t>UFV-M-86</t>
  </si>
  <si>
    <t>I5</t>
  </si>
  <si>
    <t>UFV-M-87</t>
  </si>
  <si>
    <t>I6</t>
  </si>
  <si>
    <t>UFV-M-88</t>
  </si>
  <si>
    <t>I7</t>
  </si>
  <si>
    <t>UFV-M-89</t>
  </si>
  <si>
    <t>I8</t>
  </si>
  <si>
    <t>UFV-M-90</t>
  </si>
  <si>
    <t>I9</t>
  </si>
  <si>
    <t>UFV-M-91</t>
  </si>
  <si>
    <t>T99 - 6/12</t>
  </si>
  <si>
    <t>UFV-M-92</t>
  </si>
  <si>
    <t>T104 - 9/12</t>
  </si>
  <si>
    <t>UFV-M-93</t>
  </si>
  <si>
    <t>T109 - 13/12 - 6x8</t>
  </si>
  <si>
    <t>UFV-M-94</t>
  </si>
  <si>
    <t>T109 - 13/12 - 4x6</t>
  </si>
  <si>
    <t>UFV-M-95</t>
  </si>
  <si>
    <t xml:space="preserve">T107 - 12/12 </t>
  </si>
  <si>
    <t>UFV-M-96</t>
  </si>
  <si>
    <t>T100 - 6/12</t>
  </si>
  <si>
    <t>UFV-M-97</t>
  </si>
  <si>
    <t>30/24</t>
  </si>
  <si>
    <t>UFV-M-98</t>
  </si>
  <si>
    <t>Pedra Preta</t>
  </si>
  <si>
    <t>madimunemt@gmail.com</t>
  </si>
  <si>
    <t>Tratamento 24 - 31/10/24</t>
  </si>
  <si>
    <t>UFV-M-99</t>
  </si>
  <si>
    <t>Tratamento 12 - dia 20</t>
  </si>
  <si>
    <t>UFV-M-100</t>
  </si>
  <si>
    <t>T133 - 16/01 - 8x10</t>
  </si>
  <si>
    <t>UFV-M-101</t>
  </si>
  <si>
    <t>T133 - 16/01 - 6x8</t>
  </si>
  <si>
    <t>UFV-M-102</t>
  </si>
  <si>
    <t>T135 - 18/01 - 10x12</t>
  </si>
  <si>
    <t>UFV-M-103</t>
  </si>
  <si>
    <t>T135 - 18/01 - 12x14</t>
  </si>
  <si>
    <t>UFV-M-104</t>
  </si>
  <si>
    <t>T134 - 17/01 - 8x10</t>
  </si>
  <si>
    <t>UFV-M-105</t>
  </si>
  <si>
    <t>T134 - 17/01 - 12x14</t>
  </si>
  <si>
    <t>UFV-M-106</t>
  </si>
  <si>
    <t>T131 - 15/01 - U27</t>
  </si>
  <si>
    <t>UFV-M-107</t>
  </si>
  <si>
    <t>T131 - 15/01 - U23</t>
  </si>
  <si>
    <t>UFV-M-108</t>
  </si>
  <si>
    <t>T142 - 24/01 - U23</t>
  </si>
  <si>
    <t>UFV-M-109</t>
  </si>
  <si>
    <t>T142 - 24/01 - U29</t>
  </si>
  <si>
    <t>UFV-M-110</t>
  </si>
  <si>
    <t>T143 - 27/01 - 10x12</t>
  </si>
  <si>
    <t>UFV-M-111</t>
  </si>
  <si>
    <t>T143 - 27/01 - 12x14</t>
  </si>
  <si>
    <t>UFV-M-112</t>
  </si>
  <si>
    <t>T145 - 29/01 - U27</t>
  </si>
  <si>
    <t>UFV-M-113</t>
  </si>
  <si>
    <t>T145 - 29/01 - U35</t>
  </si>
  <si>
    <t>UFV-M-114</t>
  </si>
  <si>
    <t xml:space="preserve">T146 - 30/01 </t>
  </si>
  <si>
    <t>UFV-M-115</t>
  </si>
  <si>
    <t>T147 - 30/01</t>
  </si>
  <si>
    <t>UFV-M-116</t>
  </si>
  <si>
    <t>adm@bitalagro.com.br</t>
  </si>
  <si>
    <t>10x12 (T154)</t>
  </si>
  <si>
    <t>UFV-M-117</t>
  </si>
  <si>
    <t>8x10 (T154)</t>
  </si>
  <si>
    <t>UFV-M-118</t>
  </si>
  <si>
    <t>10x12 (T149)</t>
  </si>
  <si>
    <t>UFV-M-119</t>
  </si>
  <si>
    <t>10x12 (T159) (1)</t>
  </si>
  <si>
    <t>UFV-M-120</t>
  </si>
  <si>
    <t>8x10 (T156)</t>
  </si>
  <si>
    <t>UFV-M-121</t>
  </si>
  <si>
    <t>8x10 (T155)</t>
  </si>
  <si>
    <t>UFV-M-122</t>
  </si>
  <si>
    <t>10x12 (T160)</t>
  </si>
  <si>
    <t>UFV-M-123</t>
  </si>
  <si>
    <t>8x10 (T160)</t>
  </si>
  <si>
    <t>UFV-M-124</t>
  </si>
  <si>
    <t>10x12 (T159) (2)</t>
  </si>
  <si>
    <t>UFV-M-125</t>
  </si>
  <si>
    <t>T164 (8x10)</t>
  </si>
  <si>
    <t>UFV-M-126</t>
  </si>
  <si>
    <t>T164 (8x10) (2)</t>
  </si>
  <si>
    <t>UFV-M-127</t>
  </si>
  <si>
    <t>T163 (10x12)</t>
  </si>
  <si>
    <t>UFV-M-128</t>
  </si>
  <si>
    <t>T163 (10x12) (2)</t>
  </si>
  <si>
    <t>UFV-M-129</t>
  </si>
  <si>
    <t>I11</t>
  </si>
  <si>
    <t>UFV-M-130</t>
  </si>
  <si>
    <t>It12</t>
  </si>
  <si>
    <t>UFV-M-131</t>
  </si>
  <si>
    <t>Tratamento 9</t>
  </si>
  <si>
    <t>UFV-M-132</t>
  </si>
  <si>
    <t>Tratamento 18</t>
  </si>
  <si>
    <t>UFV-M-133</t>
  </si>
  <si>
    <t>T186 (10x12)</t>
  </si>
  <si>
    <t>UFV-M-134</t>
  </si>
  <si>
    <t>T178 (8x10)</t>
  </si>
  <si>
    <t>UFV-M-135</t>
  </si>
  <si>
    <t>T178 (8x10) (2)</t>
  </si>
  <si>
    <t>UFV-M-136</t>
  </si>
  <si>
    <t>T178 (8x10) (3)</t>
  </si>
  <si>
    <t>UFV-M-137</t>
  </si>
  <si>
    <t>T183 (8x10)</t>
  </si>
  <si>
    <t>UFV-M-138</t>
  </si>
  <si>
    <t>T177 (8x10)</t>
  </si>
  <si>
    <t>UFV-M-139</t>
  </si>
  <si>
    <t>T190 (6x8)</t>
  </si>
  <si>
    <t>UFV-M-140</t>
  </si>
  <si>
    <t>T182 (8x10)</t>
  </si>
  <si>
    <t>UFV-M-141</t>
  </si>
  <si>
    <t>T181 (10x12)</t>
  </si>
  <si>
    <t>UFV-M-142</t>
  </si>
  <si>
    <t>T186 (10x12) (2)</t>
  </si>
  <si>
    <t>UFV-M-143</t>
  </si>
  <si>
    <t>T190 (6x8) (2)</t>
  </si>
  <si>
    <t>UFV-M-144</t>
  </si>
  <si>
    <t>T182 (8x10) (2)</t>
  </si>
  <si>
    <t>UFV-M-145</t>
  </si>
  <si>
    <t>Amostra 01 - 06x08 - 2,2</t>
  </si>
  <si>
    <t>UFV-M-146</t>
  </si>
  <si>
    <t>Amostra 02 - 08x10 - 3,0</t>
  </si>
  <si>
    <t>UFV-M-147</t>
  </si>
  <si>
    <t>Amostra 03 - 10x12 - 2,2</t>
  </si>
  <si>
    <t>UFV-M-148</t>
  </si>
  <si>
    <t>T197 (10x12)</t>
  </si>
  <si>
    <t>UFV-M-149</t>
  </si>
  <si>
    <t>T197 (10x12) (2)</t>
  </si>
  <si>
    <t>UFV-M-150</t>
  </si>
  <si>
    <t>T201 (8x10)</t>
  </si>
  <si>
    <t>UFV-M-151</t>
  </si>
  <si>
    <t>T196 (12x14)</t>
  </si>
  <si>
    <t>UFV-M-152</t>
  </si>
  <si>
    <t>T196 (10x12)</t>
  </si>
  <si>
    <t>UFV-M-153</t>
  </si>
  <si>
    <t>T201 (8x10) (2)</t>
  </si>
  <si>
    <t>UFV-M-154</t>
  </si>
  <si>
    <t>T204 (10x12)</t>
  </si>
  <si>
    <t>UFV-M-155</t>
  </si>
  <si>
    <t>T204 (10x12)(2)</t>
  </si>
  <si>
    <t>UFV-M-156</t>
  </si>
  <si>
    <t>T209(10x12)</t>
  </si>
  <si>
    <t>UFV-M-157</t>
  </si>
  <si>
    <t>T209(10x12)(2)</t>
  </si>
  <si>
    <t>UFV-M-158</t>
  </si>
  <si>
    <t>T211(12x14)</t>
  </si>
  <si>
    <t>UFV-M-159</t>
  </si>
  <si>
    <t>Tratamento 4</t>
  </si>
  <si>
    <t>UFV-M-160</t>
  </si>
  <si>
    <t>Tratamento 1</t>
  </si>
  <si>
    <t>UFV-M-161</t>
  </si>
  <si>
    <t>Tratamento 17</t>
  </si>
  <si>
    <t>UFV-M-162</t>
  </si>
  <si>
    <t>Tratamento 31</t>
  </si>
  <si>
    <t>UFV-M-163</t>
  </si>
  <si>
    <t>T219 (10x12)</t>
  </si>
  <si>
    <t>UFV-M-164</t>
  </si>
  <si>
    <t>T217 (10x12)</t>
  </si>
  <si>
    <t>UFV-M-165</t>
  </si>
  <si>
    <t>T219 (10x12)2*</t>
  </si>
  <si>
    <t>UFV-M-166</t>
  </si>
  <si>
    <t>T221 (10x12)2*</t>
  </si>
  <si>
    <t>UFV-M-167</t>
  </si>
  <si>
    <t>T221 (8x10)</t>
  </si>
  <si>
    <t>UFV-M-168</t>
  </si>
  <si>
    <t>Voltolini Madeiras Tratadas</t>
  </si>
  <si>
    <t>Navegantes</t>
  </si>
  <si>
    <t>contato@voltolinisc.com.br</t>
  </si>
  <si>
    <t>Amostra 100415/27/06/2025</t>
  </si>
  <si>
    <t>UFV-M-169</t>
  </si>
  <si>
    <t>Pinus</t>
  </si>
  <si>
    <t>Amostra 100414/27/06/25</t>
  </si>
  <si>
    <t>Outros - Suspenso</t>
  </si>
  <si>
    <t>UFV-M-170</t>
  </si>
  <si>
    <t>T227 (10x12) - Umidade 30</t>
  </si>
  <si>
    <t>UFV-M-171</t>
  </si>
  <si>
    <t>T229 (10x12)</t>
  </si>
  <si>
    <t>UFV-M-172</t>
  </si>
  <si>
    <t>T227 (10x12) - Umidade 24</t>
  </si>
  <si>
    <t>UFV-M-173</t>
  </si>
  <si>
    <t>T229 (08x10)</t>
  </si>
  <si>
    <t>UFV-M-174</t>
  </si>
  <si>
    <t>Serraria Capela Nova LTDA</t>
  </si>
  <si>
    <t>Capela Nova</t>
  </si>
  <si>
    <t>serrariacapelanova@outlook.com</t>
  </si>
  <si>
    <t>Amostra 1, 2 e 3</t>
  </si>
  <si>
    <t>UFV-M-175</t>
  </si>
  <si>
    <t>Amostra 02 - 8x10 - 2,2</t>
  </si>
  <si>
    <t>UFV-M-176</t>
  </si>
  <si>
    <t>UFV-M-177</t>
  </si>
  <si>
    <t>Amostra 04 - 12x14 - 2,2</t>
  </si>
  <si>
    <t>UFV-M-178</t>
  </si>
  <si>
    <t>T255 (8x10)</t>
  </si>
  <si>
    <t>UFV-M-179</t>
  </si>
  <si>
    <t>T256 (10x12)</t>
  </si>
  <si>
    <t>UFV-M-180</t>
  </si>
  <si>
    <t>T258 (10x12)</t>
  </si>
  <si>
    <t>UFV-M-181</t>
  </si>
  <si>
    <t>T259 (8x10)</t>
  </si>
  <si>
    <t>UFV-M-182</t>
  </si>
  <si>
    <t>T259 (10x12)</t>
  </si>
  <si>
    <t>UFV-M-183</t>
  </si>
  <si>
    <t xml:space="preserve">Marcos Souza - STWOOD </t>
  </si>
  <si>
    <t>Guararema</t>
  </si>
  <si>
    <t>Amostra 1 - Clone</t>
  </si>
  <si>
    <t>UFV-M-184</t>
  </si>
  <si>
    <t>Amostra 2 - Citriodora</t>
  </si>
  <si>
    <t>UFV-M-185</t>
  </si>
  <si>
    <t>Reforço Drywall</t>
  </si>
  <si>
    <t>UFV-M-186</t>
  </si>
  <si>
    <t>06-06-25</t>
  </si>
  <si>
    <t>UFV-M-187</t>
  </si>
  <si>
    <t>07-06-25</t>
  </si>
  <si>
    <t>UFV-M-188</t>
  </si>
  <si>
    <t>08-06-25</t>
  </si>
  <si>
    <t>UFV-M-189</t>
  </si>
  <si>
    <t>09-06-25</t>
  </si>
  <si>
    <t>UFV-M-190</t>
  </si>
  <si>
    <t>10-06-25</t>
  </si>
  <si>
    <t>UFV-M-191</t>
  </si>
  <si>
    <t>Zomer Tratamento de Madeiras LTDA</t>
  </si>
  <si>
    <t>Vilhena</t>
  </si>
  <si>
    <t>RO</t>
  </si>
  <si>
    <t>usina@tratanorte.com</t>
  </si>
  <si>
    <t>AME - 01</t>
  </si>
  <si>
    <t>UFV-M-192</t>
  </si>
  <si>
    <t>AME - 04</t>
  </si>
  <si>
    <t>UFV-M-193</t>
  </si>
  <si>
    <t>AME - 02</t>
  </si>
  <si>
    <t>UFV-M-194</t>
  </si>
  <si>
    <t>AME - 03</t>
  </si>
  <si>
    <t>UFV-M-195</t>
  </si>
  <si>
    <t>CR Madeiras Tratadas LTDA</t>
  </si>
  <si>
    <t>Iguatemi</t>
  </si>
  <si>
    <t>crmadeiratratada@hotmail.com</t>
  </si>
  <si>
    <t>Trat 1113</t>
  </si>
  <si>
    <t>UFV-M-196</t>
  </si>
  <si>
    <t>Trat 1114</t>
  </si>
  <si>
    <t>UFV-M-197</t>
  </si>
  <si>
    <t>Trat 1109</t>
  </si>
  <si>
    <t>UFV-M-198</t>
  </si>
  <si>
    <t>Soier Madeiras</t>
  </si>
  <si>
    <t>Araguari</t>
  </si>
  <si>
    <t>atendimento@soiermadeiras.com.br</t>
  </si>
  <si>
    <t>Disco</t>
  </si>
  <si>
    <t>A29</t>
  </si>
  <si>
    <t>UFV-M-199</t>
  </si>
  <si>
    <t>Tratamento 8 - Dia 6/6</t>
  </si>
  <si>
    <t>UFV-M-200</t>
  </si>
  <si>
    <t>Tratamento 30 - Dia 28/6</t>
  </si>
  <si>
    <t>UFV-M-201</t>
  </si>
  <si>
    <t>Altivo Pedras</t>
  </si>
  <si>
    <t>Papagaios</t>
  </si>
  <si>
    <t>Amostra AG - 14 - Material n°24</t>
  </si>
  <si>
    <t>UFV-M-202</t>
  </si>
  <si>
    <t>AME - 03 - 16018 6F</t>
  </si>
  <si>
    <t>UFV-M-203</t>
  </si>
  <si>
    <t>AME - 04 - 12x14</t>
  </si>
  <si>
    <t>UFV-M-204</t>
  </si>
  <si>
    <t>AME - 02 - 8010 6F</t>
  </si>
  <si>
    <t>UFV-M-205</t>
  </si>
  <si>
    <t>AME - 01 - 14016</t>
  </si>
  <si>
    <t>UFV-M-206</t>
  </si>
  <si>
    <t>Campo Alegre</t>
  </si>
  <si>
    <t>Amostra 10x12 - Talhão 21 - C.I - 14609</t>
  </si>
  <si>
    <t>UFV-M-207</t>
  </si>
  <si>
    <t>LLM Reflorestamento</t>
  </si>
  <si>
    <t>Costa Rica</t>
  </si>
  <si>
    <t>mcostarica@gmail.com</t>
  </si>
  <si>
    <t>UFV-M-208</t>
  </si>
  <si>
    <t>Amostra AG - 16 - Material n°26</t>
  </si>
  <si>
    <t>UFV-M-209</t>
  </si>
  <si>
    <t>Amostra AG - 15 - Material n°25</t>
  </si>
  <si>
    <t>UFV-M-210</t>
  </si>
  <si>
    <t>Maciel Milmersted</t>
  </si>
  <si>
    <t>Vidal Ramos</t>
  </si>
  <si>
    <t>UFV-M-211</t>
  </si>
  <si>
    <t>25/25</t>
  </si>
  <si>
    <t>UFV-M-212</t>
  </si>
  <si>
    <t>n° 23/25</t>
  </si>
  <si>
    <t>UFV-M-213</t>
  </si>
  <si>
    <t>24/25</t>
  </si>
  <si>
    <t>UFV-M-214</t>
  </si>
  <si>
    <t>Florestal Tratamento de Madeira</t>
  </si>
  <si>
    <t>pires@florestaltratamadeira.com.br</t>
  </si>
  <si>
    <t>010</t>
  </si>
  <si>
    <t>UFV-M-215</t>
  </si>
  <si>
    <t>008</t>
  </si>
  <si>
    <t>UFV-M-216</t>
  </si>
  <si>
    <t>009</t>
  </si>
  <si>
    <t>UFV-M-217</t>
  </si>
  <si>
    <t>012</t>
  </si>
  <si>
    <t>UFV-M-218</t>
  </si>
  <si>
    <t>011</t>
  </si>
  <si>
    <t>UFV-M-219</t>
  </si>
  <si>
    <t>JL Fernandes Madeiras Tratadas LTDA</t>
  </si>
  <si>
    <t>Santa Rita do Pardo</t>
  </si>
  <si>
    <t>escritorio@mt4irmaos.com.br</t>
  </si>
  <si>
    <t>Lascas 2,20 - 14x16</t>
  </si>
  <si>
    <t>UFV-M-220</t>
  </si>
  <si>
    <t>Lascas 2,20 - 11x14</t>
  </si>
  <si>
    <t>UFV-M-221</t>
  </si>
  <si>
    <t>Lascas 2,20 - 08x11</t>
  </si>
  <si>
    <t>UFV-M-222</t>
  </si>
  <si>
    <t>Palanque 3,20 - 20x25</t>
  </si>
  <si>
    <t>UFV-M-223</t>
  </si>
  <si>
    <t>Palanque 3,20 - 16x20</t>
  </si>
  <si>
    <t>UFV-M-224</t>
  </si>
  <si>
    <t>Palanque 3,20 - 13x15</t>
  </si>
  <si>
    <t>UFV-M-225</t>
  </si>
  <si>
    <t>Vinicius Aguiar de Azevedo</t>
  </si>
  <si>
    <t>Teresópolis</t>
  </si>
  <si>
    <t>RJ</t>
  </si>
  <si>
    <t>UFV-M-226</t>
  </si>
  <si>
    <t>Amostra AG - 13 - Material n°23</t>
  </si>
  <si>
    <t>UFV-M-227</t>
  </si>
  <si>
    <t>Ecoline Produtos e Serviços Florestais LTDA</t>
  </si>
  <si>
    <t>Ponta Grossa</t>
  </si>
  <si>
    <t>PR</t>
  </si>
  <si>
    <t>Amostra 01</t>
  </si>
  <si>
    <t>UFV-M-228</t>
  </si>
  <si>
    <t>Amostra 02</t>
  </si>
  <si>
    <t>UFV-M-229</t>
  </si>
  <si>
    <t>Amostra 03</t>
  </si>
  <si>
    <t>UFV-M-230</t>
  </si>
  <si>
    <t>Amostra 04</t>
  </si>
  <si>
    <t>UFV-M-231</t>
  </si>
  <si>
    <t>Amostra 05</t>
  </si>
  <si>
    <t>UFV-M-232</t>
  </si>
  <si>
    <t>Eucanorte Madeiras e Serviços LTDA</t>
  </si>
  <si>
    <t>Salinas</t>
  </si>
  <si>
    <t>eucanortemadeiras2012@gmail.com</t>
  </si>
  <si>
    <t>06x08 - 2,20 mts - 22,7% umidade</t>
  </si>
  <si>
    <t>UFV-M-233</t>
  </si>
  <si>
    <t>08x10 - 2,20 mts - 23,6% umidade</t>
  </si>
  <si>
    <t>UFV-M-234</t>
  </si>
  <si>
    <t>10x12 - 2,20 mts - 21,4% umidade</t>
  </si>
  <si>
    <t>UFV-M-235</t>
  </si>
  <si>
    <t>Clone</t>
  </si>
  <si>
    <t>Amostra 01 - Clone - Madeira roliça</t>
  </si>
  <si>
    <t>UFV-M-236</t>
  </si>
  <si>
    <t>Amostra 02 - Cloeziana - Madeira roliça</t>
  </si>
  <si>
    <t>UFV-M-237</t>
  </si>
  <si>
    <t>Amostra - 03 - Cloeziana - Madeira roliça</t>
  </si>
  <si>
    <t>UFV-M-238</t>
  </si>
  <si>
    <t>01-07-25</t>
  </si>
  <si>
    <t>UFV-M-239</t>
  </si>
  <si>
    <t>02-07-25</t>
  </si>
  <si>
    <t>UFV-M-240</t>
  </si>
  <si>
    <t>03-07-25</t>
  </si>
  <si>
    <t>UFV-M-241</t>
  </si>
  <si>
    <t>04-07-25</t>
  </si>
  <si>
    <t>UFV-M-242</t>
  </si>
  <si>
    <t>05-07-25</t>
  </si>
  <si>
    <t>UFV-M-243</t>
  </si>
  <si>
    <t>R M Tratamento de Madeiras</t>
  </si>
  <si>
    <t>Presidente Getúlio</t>
  </si>
  <si>
    <t>rmtratamentodemadeiras@gmail.com</t>
  </si>
  <si>
    <t>UFV-M-244</t>
  </si>
  <si>
    <t>Petras Agroindústria</t>
  </si>
  <si>
    <t>Ivaté</t>
  </si>
  <si>
    <t>usina@petras.ind.br</t>
  </si>
  <si>
    <t>P.R.R.S-6</t>
  </si>
  <si>
    <t>UFV-M-245</t>
  </si>
  <si>
    <t>P.R.R.S-10</t>
  </si>
  <si>
    <t>UFV-M-246</t>
  </si>
  <si>
    <t>P.R.R.S-4</t>
  </si>
  <si>
    <t>UFV-M-247</t>
  </si>
  <si>
    <t>P.R.R.S-9</t>
  </si>
  <si>
    <t>UFV-M-248</t>
  </si>
  <si>
    <t>P.R.R.S-7</t>
  </si>
  <si>
    <t>UFV-M-249</t>
  </si>
  <si>
    <t>P.R.R.S-8</t>
  </si>
  <si>
    <t>UFV-M-250</t>
  </si>
  <si>
    <t>P.R.R.S-2</t>
  </si>
  <si>
    <t>UFV-M-251</t>
  </si>
  <si>
    <t>P.R.R.S-5</t>
  </si>
  <si>
    <t>UFV-M-252</t>
  </si>
  <si>
    <t>P.R.R.S-3</t>
  </si>
  <si>
    <t>UFV-M-253</t>
  </si>
  <si>
    <t>P.R.R.S-1</t>
  </si>
  <si>
    <t>UFV-M-254</t>
  </si>
  <si>
    <t>12.257</t>
  </si>
  <si>
    <t>UFV-M-255</t>
  </si>
  <si>
    <t>Aroeira Tratamento de Madeiras LTDA</t>
  </si>
  <si>
    <t>Araraquara</t>
  </si>
  <si>
    <t>aroeira.horlando@gmail.com</t>
  </si>
  <si>
    <t>Cobertura/Sanduíche</t>
  </si>
  <si>
    <t>UFV-M-256</t>
  </si>
  <si>
    <t>Escora</t>
  </si>
  <si>
    <t>UFV-M-257</t>
  </si>
  <si>
    <t>1 - Coluna</t>
  </si>
  <si>
    <t>UFV-M-258</t>
  </si>
  <si>
    <t>2 - Coluna</t>
  </si>
  <si>
    <t>UFV-M-259</t>
  </si>
  <si>
    <t>Madeiras Status LTDA</t>
  </si>
  <si>
    <t>Igrejinha</t>
  </si>
  <si>
    <t>Lote 6179 - 1</t>
  </si>
  <si>
    <t>Deck</t>
  </si>
  <si>
    <t>UFV-M-260</t>
  </si>
  <si>
    <t>Lote 6179 - 2</t>
  </si>
  <si>
    <t>UFV-M-261</t>
  </si>
  <si>
    <t>Lote 6179 - 3</t>
  </si>
  <si>
    <t>UFV-M-262</t>
  </si>
  <si>
    <t>Lote 6179 - 4</t>
  </si>
  <si>
    <t>UFV-M-263</t>
  </si>
  <si>
    <t>Lote 6179 - 5</t>
  </si>
  <si>
    <t>UFV-M-264</t>
  </si>
  <si>
    <t>Lote 6179 - 6</t>
  </si>
  <si>
    <t>UFV-M-265</t>
  </si>
  <si>
    <t>Lote 6179 - 7</t>
  </si>
  <si>
    <t>UFV-M-266</t>
  </si>
  <si>
    <t>Lote 6179 - 8</t>
  </si>
  <si>
    <t>UFV-M-267</t>
  </si>
  <si>
    <t>Lote 6179 - 9</t>
  </si>
  <si>
    <t>UFV-M-268</t>
  </si>
  <si>
    <t>Lote 6179 - 10</t>
  </si>
  <si>
    <t>UFV-M-269</t>
  </si>
  <si>
    <t>MTN0019</t>
  </si>
  <si>
    <t>UFV-M-270</t>
  </si>
  <si>
    <t>Lote 6184 - 1</t>
  </si>
  <si>
    <t>UFV-M-271</t>
  </si>
  <si>
    <t>Lote 6184 - 2</t>
  </si>
  <si>
    <t>UFV-M-272</t>
  </si>
  <si>
    <t>Lote 6184 - 3</t>
  </si>
  <si>
    <t>UFV-M-273</t>
  </si>
  <si>
    <t>Lote 6184 - 4</t>
  </si>
  <si>
    <t>UFV-M-274</t>
  </si>
  <si>
    <t>Lote 6184 - 5</t>
  </si>
  <si>
    <t>UFV-M-275</t>
  </si>
  <si>
    <t>Lote 6184 - 6</t>
  </si>
  <si>
    <t>UFV-M-276</t>
  </si>
  <si>
    <t>Lote 6184 - 7</t>
  </si>
  <si>
    <t>UFV-M-277</t>
  </si>
  <si>
    <t>Lote 6184 - 8</t>
  </si>
  <si>
    <t>UFV-M-278</t>
  </si>
  <si>
    <t>Lote 6184 - 9</t>
  </si>
  <si>
    <t>UFV-M-279</t>
  </si>
  <si>
    <t>Lote 6184 - 10</t>
  </si>
  <si>
    <t>UFV-M-280</t>
  </si>
  <si>
    <t>Amostra AG - 17 - Material n°27</t>
  </si>
  <si>
    <t>UFV-M-281</t>
  </si>
  <si>
    <t>T17 - 6x8</t>
  </si>
  <si>
    <t>UFV-M-282</t>
  </si>
  <si>
    <t>T17 - 8x10</t>
  </si>
  <si>
    <t>UFV-M-283</t>
  </si>
  <si>
    <t>T02 - Umidade 26</t>
  </si>
  <si>
    <t>UFV-M-284</t>
  </si>
  <si>
    <t>T02 - Umidade 19</t>
  </si>
  <si>
    <t>UFV-M-285</t>
  </si>
  <si>
    <t>T07</t>
  </si>
  <si>
    <t>UFV-M-286</t>
  </si>
  <si>
    <t>26/25</t>
  </si>
  <si>
    <t>UFV-M-287</t>
  </si>
  <si>
    <t>Eucalider Tratados de Madeira LTDA</t>
  </si>
  <si>
    <t>Sabinópolis</t>
  </si>
  <si>
    <t>eucalidertdm@gmail.com</t>
  </si>
  <si>
    <t>03 - 10 a 12 (2,20m) - Lote 7044</t>
  </si>
  <si>
    <t>UFV-M-288</t>
  </si>
  <si>
    <t>01 - 6 a 8 (2,20m) Lote 7043</t>
  </si>
  <si>
    <t>UFV-M-289</t>
  </si>
  <si>
    <t>05 - 14 a 16 (2,20m) - Lote 7044</t>
  </si>
  <si>
    <t>UFV-M-290</t>
  </si>
  <si>
    <t>8x10 (2,20m) - Lote 7044</t>
  </si>
  <si>
    <t>UFV-M-291</t>
  </si>
  <si>
    <t>04 - 12 a 14 (2,20m) - Lote 7044</t>
  </si>
  <si>
    <t>UFV-M-292</t>
  </si>
  <si>
    <t>Serraria Caete LTDA - ME</t>
  </si>
  <si>
    <t>Curiúva</t>
  </si>
  <si>
    <t>UFV-M-293</t>
  </si>
  <si>
    <t>01-08-25</t>
  </si>
  <si>
    <t>UFV-M-294</t>
  </si>
  <si>
    <t>02-08-25</t>
  </si>
  <si>
    <t>UFV-M-295</t>
  </si>
  <si>
    <t>03-08-25</t>
  </si>
  <si>
    <t>UFV-M-296</t>
  </si>
  <si>
    <t>04-08-25</t>
  </si>
  <si>
    <t>UFV-M-297</t>
  </si>
  <si>
    <t>05-08-25</t>
  </si>
  <si>
    <t>UFV-M-298</t>
  </si>
  <si>
    <t>Qualitrat Madeira LTDA</t>
  </si>
  <si>
    <t>Sapucaia</t>
  </si>
  <si>
    <t>violho@gmail.com</t>
  </si>
  <si>
    <t>UFV-M-299</t>
  </si>
  <si>
    <t>MS 01</t>
  </si>
  <si>
    <t>UFV-M-300</t>
  </si>
  <si>
    <t>MS 02</t>
  </si>
  <si>
    <t>UFV-M-301</t>
  </si>
  <si>
    <t>MS 03</t>
  </si>
  <si>
    <t>UFV-M-302</t>
  </si>
  <si>
    <t>MS 04</t>
  </si>
  <si>
    <t>UFV-M-303</t>
  </si>
  <si>
    <t>MS 05</t>
  </si>
  <si>
    <t>UFV-M-304</t>
  </si>
  <si>
    <t>MS 06</t>
  </si>
  <si>
    <t>UFV-M-305</t>
  </si>
  <si>
    <t>MS 07</t>
  </si>
  <si>
    <t>UFV-M-306</t>
  </si>
  <si>
    <t>MS 08</t>
  </si>
  <si>
    <t>UFV-M-307</t>
  </si>
  <si>
    <t>MS 09</t>
  </si>
  <si>
    <t>UFV-M-308</t>
  </si>
  <si>
    <t>MS 10</t>
  </si>
  <si>
    <t>UFV-M-309</t>
  </si>
  <si>
    <t>José Arlindo Prime ME</t>
  </si>
  <si>
    <t>Águas Mornas</t>
  </si>
  <si>
    <t>UFV-M-310</t>
  </si>
  <si>
    <t>Trataplan Madeiras Tratadas</t>
  </si>
  <si>
    <t>Planalto Alegre</t>
  </si>
  <si>
    <t>UFV-M-311</t>
  </si>
  <si>
    <t>Vida Longa Madeiras Tratadas</t>
  </si>
  <si>
    <t>Taió</t>
  </si>
  <si>
    <t>UFV-M-312</t>
  </si>
  <si>
    <t>UFV-M-313</t>
  </si>
  <si>
    <t>Agroflorestal Hilebrand LTDA ME</t>
  </si>
  <si>
    <t>Monte Carmelo</t>
  </si>
  <si>
    <t>fazendacachoeira2014@gmail.com</t>
  </si>
  <si>
    <t>Amostra 01 - 06 a 08</t>
  </si>
  <si>
    <t>UFV-M-314</t>
  </si>
  <si>
    <t>Amostra 2 - 08 - 10</t>
  </si>
  <si>
    <t>UFV-M-315</t>
  </si>
  <si>
    <t>Amostra 03 - 10 a 12</t>
  </si>
  <si>
    <t>UFV-M-316</t>
  </si>
  <si>
    <t>Campos &amp; Batista Madereira</t>
  </si>
  <si>
    <t>Lagoinha</t>
  </si>
  <si>
    <t>fhsmadeiras@hotmail.com</t>
  </si>
  <si>
    <t>Código 44307 - Amostra 1 - Mourão 8 a 10</t>
  </si>
  <si>
    <t>UFV-M-317</t>
  </si>
  <si>
    <t>Código 44307 - Amostra 2 - Mourão 10 a 13</t>
  </si>
  <si>
    <t>UFV-M-318</t>
  </si>
  <si>
    <t>Rogerio Guedes de Almeida</t>
  </si>
  <si>
    <t>Silveiras</t>
  </si>
  <si>
    <t>madeireiraaltodaserra10@gmail.com</t>
  </si>
  <si>
    <t>Código 60327 - Amostra 4 - Mourão 10 a 12</t>
  </si>
  <si>
    <t>UFV-M-319</t>
  </si>
  <si>
    <t>Código 60327 - Amostra 5 - Mourão 13 a 15</t>
  </si>
  <si>
    <t>UFV-M-320</t>
  </si>
  <si>
    <t>Código 60327 - Amostra 2 - Mourão 8 a 10</t>
  </si>
  <si>
    <t>UFV-M-321</t>
  </si>
  <si>
    <t>Código 60327 - Amostra 3 - Mourão 8 a 10</t>
  </si>
  <si>
    <t>UFV-M-322</t>
  </si>
  <si>
    <t>Código 60327 - Amostra 1 - Mourão 6 a 8</t>
  </si>
  <si>
    <t>UFV-M-323</t>
  </si>
  <si>
    <t>W Pinto da Silva</t>
  </si>
  <si>
    <t>Guaratingueta</t>
  </si>
  <si>
    <t>wellington@madeireiramantiqueira.com.br</t>
  </si>
  <si>
    <t>Código 50408 - Amostra 1 - Mourão 10 a 13</t>
  </si>
  <si>
    <t>UFV-M-324</t>
  </si>
  <si>
    <t>Código 50408 - Amostra 2 - Mourão 8 a 10</t>
  </si>
  <si>
    <t>UFV-M-325</t>
  </si>
  <si>
    <t>Tora &amp; Tora LTDA</t>
  </si>
  <si>
    <t>São João Del Rei</t>
  </si>
  <si>
    <t>madeirastoratora@gmail.com</t>
  </si>
  <si>
    <t>1</t>
  </si>
  <si>
    <t>UFV-M-326</t>
  </si>
  <si>
    <t>2</t>
  </si>
  <si>
    <t>UFV-M-327</t>
  </si>
  <si>
    <t>11m - Leve</t>
  </si>
  <si>
    <t>UFV-M-328</t>
  </si>
  <si>
    <t>14m - Médio</t>
  </si>
  <si>
    <t>UFV-M-329</t>
  </si>
  <si>
    <t>12/14 - 3m</t>
  </si>
  <si>
    <t>UFV-M-330</t>
  </si>
  <si>
    <t>11m - Pesado</t>
  </si>
  <si>
    <t>UFV-M-331</t>
  </si>
  <si>
    <t>13m - Médio</t>
  </si>
  <si>
    <t>UFV-M-332</t>
  </si>
  <si>
    <t>11m - Médio</t>
  </si>
  <si>
    <t>UFV-M-333</t>
  </si>
  <si>
    <t>8/10 - 4m</t>
  </si>
  <si>
    <t>UFV-M-334</t>
  </si>
  <si>
    <t>aux8@camadeiras.com.br</t>
  </si>
  <si>
    <t>Amostra 08x10 - 2,20 - C.I 14657</t>
  </si>
  <si>
    <t>UFV-M-335</t>
  </si>
  <si>
    <t>Tratama Tratamento de Madeiras</t>
  </si>
  <si>
    <t>Itapetininga</t>
  </si>
  <si>
    <t>aoliveira@montana.com.br</t>
  </si>
  <si>
    <t>Amostra bagueta Tratama</t>
  </si>
  <si>
    <t>UFV-M-336</t>
  </si>
  <si>
    <t>Amostra madeira com podridão</t>
  </si>
  <si>
    <t>UFV-M-337</t>
  </si>
  <si>
    <t>MTN0020</t>
  </si>
  <si>
    <t>UFV-M-338</t>
  </si>
  <si>
    <t>Clave Madeiras Tratadas</t>
  </si>
  <si>
    <t>eucatrat@eucatrat.com.br</t>
  </si>
  <si>
    <t>Eucalyptus grandis</t>
  </si>
  <si>
    <t>Amostra Canaã da Fé</t>
  </si>
  <si>
    <t>UFV-M-339</t>
  </si>
  <si>
    <t>Amostra Eucatrat 01</t>
  </si>
  <si>
    <t>UFV-M-340</t>
  </si>
  <si>
    <t>stwood@stwood.com.br</t>
  </si>
  <si>
    <t>UFV-M-341</t>
  </si>
  <si>
    <t>UFV-M-342</t>
  </si>
  <si>
    <t>Amostra 3 - Eucalipto</t>
  </si>
  <si>
    <t>UFV-M-343</t>
  </si>
  <si>
    <t>Immergrun Construções Inteligentes</t>
  </si>
  <si>
    <t>Araucaria</t>
  </si>
  <si>
    <t>cleriston@immergrun.com.br</t>
  </si>
  <si>
    <t>LC-51801-C</t>
  </si>
  <si>
    <t>UFV-M-344</t>
  </si>
  <si>
    <t>LC-51801-A/199934-G/51799-A</t>
  </si>
  <si>
    <t>UFV-M-345</t>
  </si>
  <si>
    <t>LC-51801-B</t>
  </si>
  <si>
    <t>UFV-M-346</t>
  </si>
  <si>
    <t>LC-199934-D 38x90x3050</t>
  </si>
  <si>
    <t>UFV-M-347</t>
  </si>
  <si>
    <t>LC-199934-B 38x90x3050</t>
  </si>
  <si>
    <t>UFV-M-348</t>
  </si>
  <si>
    <t>LC-199934-F 38x90x3050</t>
  </si>
  <si>
    <t>UFV-M-349</t>
  </si>
  <si>
    <t>LC-199934-C 38x90x3050</t>
  </si>
  <si>
    <t>UFV-M-350</t>
  </si>
  <si>
    <t>LC-199934-A 38x90x3050</t>
  </si>
  <si>
    <t>UFV-M-351</t>
  </si>
  <si>
    <t>LC-199934-E 38x90x3050</t>
  </si>
  <si>
    <t>UFV-M-352</t>
  </si>
  <si>
    <t>ST-Wood Tratamento de Madeira</t>
  </si>
  <si>
    <t>Amostra 01 8x10</t>
  </si>
  <si>
    <t>UFV-M-353</t>
  </si>
  <si>
    <t>Amostra 01 8x10 V.B</t>
  </si>
  <si>
    <t>UFV-M-354</t>
  </si>
  <si>
    <t>Amostra 02 8x10</t>
  </si>
  <si>
    <t>UFV-M-355</t>
  </si>
  <si>
    <t>Amostra 02 8x10 V.B</t>
  </si>
  <si>
    <t>UFV-M-356</t>
  </si>
  <si>
    <t>Ind. E Comércio de Madeiras FJF</t>
  </si>
  <si>
    <t>Siderópolis</t>
  </si>
  <si>
    <t xml:space="preserve">Sem identificação - Vara  </t>
  </si>
  <si>
    <t>UFV-M-357</t>
  </si>
  <si>
    <t>Sem identificação - Pinus</t>
  </si>
  <si>
    <t>UFV-M-358</t>
  </si>
  <si>
    <t>Sem identificação - Vara II</t>
  </si>
  <si>
    <t>UFV-M-359</t>
  </si>
  <si>
    <t>6243</t>
  </si>
  <si>
    <t>UFV-M-360</t>
  </si>
  <si>
    <t>Farias Tratamento de Madeira Eirelli</t>
  </si>
  <si>
    <t>fariastratamentodemadeiras@hotmail.com</t>
  </si>
  <si>
    <t>Torete 01</t>
  </si>
  <si>
    <t>UFV-M-361</t>
  </si>
  <si>
    <t>Torete 02</t>
  </si>
  <si>
    <t>UFV-M-362</t>
  </si>
  <si>
    <t>Torete 03</t>
  </si>
  <si>
    <t>UFV-M-363</t>
  </si>
  <si>
    <t>Torete 04</t>
  </si>
  <si>
    <t>UFV-M-364</t>
  </si>
  <si>
    <t>T23 8x10 (1)</t>
  </si>
  <si>
    <t>UFV-M-365</t>
  </si>
  <si>
    <t>T23 8x10 (2)</t>
  </si>
  <si>
    <t>UFV-M-366</t>
  </si>
  <si>
    <t>T29 6x8 (1)</t>
  </si>
  <si>
    <t>UFV-M-367</t>
  </si>
  <si>
    <t>T35 8x10 (1)</t>
  </si>
  <si>
    <t>UFV-M-368</t>
  </si>
  <si>
    <t>T35 8x10 (2)</t>
  </si>
  <si>
    <t>UFV-M-369</t>
  </si>
  <si>
    <t>Amostra torete 7cm x 16cm</t>
  </si>
  <si>
    <t>UFV-M-370</t>
  </si>
  <si>
    <t>Amostra torete 7,5cm x 15cm</t>
  </si>
  <si>
    <t>UFV-M-371</t>
  </si>
  <si>
    <t>Tratap - Madeiras Tratadas</t>
  </si>
  <si>
    <t>Lote 500803</t>
  </si>
  <si>
    <t>UFV-M-372</t>
  </si>
  <si>
    <t>Nova Erechim</t>
  </si>
  <si>
    <t>Vanderlei Frigo - SMO</t>
  </si>
  <si>
    <t>UFV-M-373</t>
  </si>
  <si>
    <t>Comércio de Madeiras Tratadas Taiozinho LTDA</t>
  </si>
  <si>
    <t>Rio do Campo</t>
  </si>
  <si>
    <t>vendas@preservale.ind.br</t>
  </si>
  <si>
    <t>2.2%</t>
  </si>
  <si>
    <t>UFV-M-374</t>
  </si>
  <si>
    <t>Madeireira Forquilhinha Eireli</t>
  </si>
  <si>
    <t>Forquilhinha</t>
  </si>
  <si>
    <t>madeireiraforquilhinha@gmail.com</t>
  </si>
  <si>
    <t>Amostra torete 9 cm x 19,5 cm</t>
  </si>
  <si>
    <t>UFV-M-375</t>
  </si>
  <si>
    <t>Amostra torete 8,5 cm x 11,5 cm</t>
  </si>
  <si>
    <t>UFV-M-376</t>
  </si>
  <si>
    <t>Amostra torete 9,5 cm x 11,8 cm</t>
  </si>
  <si>
    <t>UFV-M-377</t>
  </si>
  <si>
    <t xml:space="preserve">Neylo Junior Arantes Silverio </t>
  </si>
  <si>
    <t>Itapecerica</t>
  </si>
  <si>
    <t>eucaliptosigma@gmail.com</t>
  </si>
  <si>
    <t>Trat 380</t>
  </si>
  <si>
    <t>UFV-M-378</t>
  </si>
  <si>
    <t>UFV-M-379</t>
  </si>
  <si>
    <t xml:space="preserve">Madasc Madeiras </t>
  </si>
  <si>
    <t>Ascurra</t>
  </si>
  <si>
    <t>madasc@tpa.com.br</t>
  </si>
  <si>
    <t>07/2025</t>
  </si>
  <si>
    <t>UFV-M-380</t>
  </si>
  <si>
    <t>08/2025</t>
  </si>
  <si>
    <t>UFV-M-381</t>
  </si>
  <si>
    <t>T45 10x12 (2) TESTE</t>
  </si>
  <si>
    <t>Estacas - Suspenso</t>
  </si>
  <si>
    <t>UFV-M-382</t>
  </si>
  <si>
    <t>T45 4/9 (1) TESTE</t>
  </si>
  <si>
    <t>UFV-M-383</t>
  </si>
  <si>
    <t>T59 11/9/25 (8x10) 1</t>
  </si>
  <si>
    <t>UFV-M-384</t>
  </si>
  <si>
    <t>T59 11/9/25 (10x12) 2</t>
  </si>
  <si>
    <t>UFV-M-385</t>
  </si>
  <si>
    <t>T42 3/9 (10x12)</t>
  </si>
  <si>
    <t>UFV-M-386</t>
  </si>
  <si>
    <t>T56 10/9/25 (8x10)</t>
  </si>
  <si>
    <t>UFV-M-387</t>
  </si>
  <si>
    <t>T44 3/9 (TESTE) 8x10</t>
  </si>
  <si>
    <t>UFV-M-388</t>
  </si>
  <si>
    <t>vendas@vidalonga.ind.br</t>
  </si>
  <si>
    <t>Cliente Rasip - Amostra 03 - 16cm</t>
  </si>
  <si>
    <t>UFV-M-389</t>
  </si>
  <si>
    <t>Cliente Rasip - Amostra 01 - 12cm</t>
  </si>
  <si>
    <t>UFV-M-390</t>
  </si>
  <si>
    <t>Cliente Rasip - Amostra 02 - 14cm</t>
  </si>
  <si>
    <t>UFV-M-391</t>
  </si>
  <si>
    <t>Em análise</t>
  </si>
  <si>
    <t>Araucária</t>
  </si>
  <si>
    <t>LC-203857-A</t>
  </si>
  <si>
    <t>UFV-M-392</t>
  </si>
  <si>
    <t>LC-203857-B</t>
  </si>
  <si>
    <t>UFV-M-393</t>
  </si>
  <si>
    <t>LC-203857-C</t>
  </si>
  <si>
    <t>UFV-M-394</t>
  </si>
  <si>
    <t>LC-203857-D</t>
  </si>
  <si>
    <t>UFV-M-395</t>
  </si>
  <si>
    <t>LC-203857-E</t>
  </si>
  <si>
    <t>UFV-M-396</t>
  </si>
  <si>
    <t>LC-203857-F</t>
  </si>
  <si>
    <t>UFV-M-397</t>
  </si>
  <si>
    <t>30/25</t>
  </si>
  <si>
    <t>UFV-M-398</t>
  </si>
  <si>
    <t>Recebida</t>
  </si>
  <si>
    <t>O. de Andrade Freire</t>
  </si>
  <si>
    <t>vendas.lfmadeiras@hotmail.com</t>
  </si>
  <si>
    <t>UFV-M-399</t>
  </si>
  <si>
    <t>UFV-M-400</t>
  </si>
  <si>
    <t>UFV-M-401</t>
  </si>
  <si>
    <t>UFV-M-402</t>
  </si>
  <si>
    <t>UFV-M-403</t>
  </si>
  <si>
    <t>Amostra 06</t>
  </si>
  <si>
    <t>UFV-M-404</t>
  </si>
  <si>
    <t>Amostra 07</t>
  </si>
  <si>
    <t>UFV-M-405</t>
  </si>
  <si>
    <t>Amostra 08</t>
  </si>
  <si>
    <t>UFV-M-406</t>
  </si>
  <si>
    <t>jeferson.dias@ecolinedormentes.com.br</t>
  </si>
  <si>
    <t xml:space="preserve">Amostra 01 </t>
  </si>
  <si>
    <t>UFV-M-407</t>
  </si>
  <si>
    <t>UFV-M-408</t>
  </si>
  <si>
    <t>UFV-M-409</t>
  </si>
  <si>
    <t>UFV-M-410</t>
  </si>
  <si>
    <t>UFV-M-411</t>
  </si>
  <si>
    <t>J.C. Correa Alves &amp; Cia LTDA - ME</t>
  </si>
  <si>
    <t>MTN 0022</t>
  </si>
  <si>
    <t>UFV-M-412</t>
  </si>
  <si>
    <t>MTN 0021</t>
  </si>
  <si>
    <t>UFV-M-413</t>
  </si>
  <si>
    <t>29/25</t>
  </si>
  <si>
    <t>UFV-M-414</t>
  </si>
  <si>
    <t>Martinelli Madeiras</t>
  </si>
  <si>
    <t>Chopinzinho</t>
  </si>
  <si>
    <t>comprasgm01@outlook.com</t>
  </si>
  <si>
    <t>Palanque 12 a 15x2200</t>
  </si>
  <si>
    <t>UFV-M-415</t>
  </si>
  <si>
    <t>Mestre 18 a 20x2500</t>
  </si>
  <si>
    <t>UFV-M-416</t>
  </si>
  <si>
    <t>UFV-M-417</t>
  </si>
  <si>
    <t>UFV-M-418</t>
  </si>
  <si>
    <t>UFV-M-419</t>
  </si>
  <si>
    <t>UFV-M-420</t>
  </si>
  <si>
    <t>UFV-M-421</t>
  </si>
  <si>
    <t>UFV-M-422</t>
  </si>
  <si>
    <t>UFV-M-423</t>
  </si>
  <si>
    <t>UFV-M-424</t>
  </si>
  <si>
    <t>UFV-M-425</t>
  </si>
  <si>
    <t>UFV-M-426</t>
  </si>
  <si>
    <t>UFV-M-427</t>
  </si>
  <si>
    <t>UFV-M-428</t>
  </si>
  <si>
    <t>UFV-M-429</t>
  </si>
  <si>
    <t>UFV-M-430</t>
  </si>
  <si>
    <t>UFV-M-431</t>
  </si>
  <si>
    <t>UFV-M-432</t>
  </si>
  <si>
    <t>UFV-M-433</t>
  </si>
  <si>
    <t>UFV-M-434</t>
  </si>
  <si>
    <t>UFV-M-435</t>
  </si>
  <si>
    <t>UFV-M-436</t>
  </si>
  <si>
    <t>UFV-M-437</t>
  </si>
  <si>
    <t>UFV-M-438</t>
  </si>
  <si>
    <t>UFV-M-439</t>
  </si>
  <si>
    <t>UFV-M-440</t>
  </si>
  <si>
    <t>UFV-M-441</t>
  </si>
  <si>
    <t>UFV-M-442</t>
  </si>
  <si>
    <t>UFV-M-443</t>
  </si>
  <si>
    <t>UFV-M-444</t>
  </si>
  <si>
    <t>UFV-M-445</t>
  </si>
  <si>
    <t>UFV-M-446</t>
  </si>
  <si>
    <t>UFV-M-447</t>
  </si>
  <si>
    <t>UFV-M-448</t>
  </si>
  <si>
    <t>UFV-M-449</t>
  </si>
  <si>
    <t>UFV-M-450</t>
  </si>
  <si>
    <t>UFV-M-451</t>
  </si>
  <si>
    <t>UFV-M-452</t>
  </si>
  <si>
    <t>UFV-M-453</t>
  </si>
  <si>
    <t>UFV-M-454</t>
  </si>
  <si>
    <t>UFV-M-455</t>
  </si>
  <si>
    <t>UFV-M-456</t>
  </si>
  <si>
    <t>UFV-M-457</t>
  </si>
  <si>
    <t>UFV-M-458</t>
  </si>
  <si>
    <t>UFV-M-459</t>
  </si>
  <si>
    <t>UFV-M-460</t>
  </si>
  <si>
    <t>UFV-M-461</t>
  </si>
  <si>
    <t>UFV-M-462</t>
  </si>
  <si>
    <t>UFV-M-463</t>
  </si>
  <si>
    <t>UFV-M-464</t>
  </si>
  <si>
    <t>UFV-M-465</t>
  </si>
  <si>
    <t>UFV-M-466</t>
  </si>
  <si>
    <t>UFV-M-467</t>
  </si>
  <si>
    <t>UFV-M-468</t>
  </si>
  <si>
    <t>UFV-M-469</t>
  </si>
  <si>
    <t>UFV-M-470</t>
  </si>
  <si>
    <t>UFV-M-471</t>
  </si>
  <si>
    <t>UFV-M-472</t>
  </si>
  <si>
    <t>UFV-M-473</t>
  </si>
  <si>
    <t>UFV-M-474</t>
  </si>
  <si>
    <t>UFV-M-475</t>
  </si>
  <si>
    <t>UFV-M-476</t>
  </si>
  <si>
    <t>UFV-M-477</t>
  </si>
  <si>
    <t>UFV-M-478</t>
  </si>
  <si>
    <t>UFV-M-479</t>
  </si>
  <si>
    <t>UFV-M-480</t>
  </si>
  <si>
    <t>UFV-M-481</t>
  </si>
  <si>
    <t>UFV-M-482</t>
  </si>
  <si>
    <t>UFV-M-483</t>
  </si>
  <si>
    <t>UFV-M-484</t>
  </si>
  <si>
    <t>UFV-M-485</t>
  </si>
  <si>
    <t>UFV-M-486</t>
  </si>
  <si>
    <t>UFV-M-487</t>
  </si>
  <si>
    <t>UFV-M-488</t>
  </si>
  <si>
    <t>UFV-M-489</t>
  </si>
  <si>
    <t>UFV-M-490</t>
  </si>
  <si>
    <t>UFV-M-491</t>
  </si>
  <si>
    <t>UFV-M-492</t>
  </si>
  <si>
    <t>UFV-M-493</t>
  </si>
  <si>
    <t>UFV-M-494</t>
  </si>
  <si>
    <t>UFV-M-495</t>
  </si>
  <si>
    <t>UFV-M-496</t>
  </si>
  <si>
    <t>UFV-M-497</t>
  </si>
  <si>
    <t>UFV-M-498</t>
  </si>
  <si>
    <t>UFV-M-499</t>
  </si>
  <si>
    <t>UFV-M-500</t>
  </si>
  <si>
    <t>Data de Registro</t>
  </si>
  <si>
    <t>Solução</t>
  </si>
  <si>
    <t>Grau de penetração</t>
  </si>
  <si>
    <t>Descrição Penetração Cuo</t>
  </si>
  <si>
    <t>Temperatura (°C)</t>
  </si>
  <si>
    <t>Concentração pela tabela</t>
  </si>
  <si>
    <t>Diâmetro 2 (mm)</t>
  </si>
  <si>
    <t xml:space="preserve">Diâmetro 3 (mm) </t>
  </si>
  <si>
    <t>Soma Concentração (%)</t>
  </si>
  <si>
    <t>Balanço Cromo (%)</t>
  </si>
  <si>
    <t>Balanço Cobre (%)</t>
  </si>
  <si>
    <t>Balanço Arsênio (%)</t>
  </si>
  <si>
    <t>Balanço Total (%)</t>
  </si>
  <si>
    <t>Concentração</t>
  </si>
  <si>
    <t>UFV-S-01</t>
  </si>
  <si>
    <t>CCA-C</t>
  </si>
  <si>
    <t>Nova União 1,2%</t>
  </si>
  <si>
    <t>UFV-S-02</t>
  </si>
  <si>
    <t>Solução 1,7%</t>
  </si>
  <si>
    <t>UFV-S-03</t>
  </si>
  <si>
    <t>3,1%</t>
  </si>
  <si>
    <t>UFV-S-04</t>
  </si>
  <si>
    <t>UFV-S-05</t>
  </si>
  <si>
    <t>Solução - Carga 08/02</t>
  </si>
  <si>
    <t>UFV-S-06</t>
  </si>
  <si>
    <t>SC Madeira LTDA</t>
  </si>
  <si>
    <t>Amostra 1 - Solução</t>
  </si>
  <si>
    <t>UFV-S-07</t>
  </si>
  <si>
    <t>UFV-S-08</t>
  </si>
  <si>
    <t>Amostra 5 - Solução Carga 19/03</t>
  </si>
  <si>
    <t>UFV-S-09</t>
  </si>
  <si>
    <t>Solução Amostra 1</t>
  </si>
  <si>
    <t>UFV-S-10</t>
  </si>
  <si>
    <t>UFV-S-11</t>
  </si>
  <si>
    <t>UFV-S-12</t>
  </si>
  <si>
    <t>UFV-S-13</t>
  </si>
  <si>
    <t>UFV-S-14</t>
  </si>
  <si>
    <t>Amostra 05 - Solução Carga 24/09</t>
  </si>
  <si>
    <t>UFV-S-15</t>
  </si>
  <si>
    <t>UFV-S-16</t>
  </si>
  <si>
    <t>UFV-S-17</t>
  </si>
  <si>
    <t>VCS008</t>
  </si>
  <si>
    <t>UFV-S-18</t>
  </si>
  <si>
    <t>Amostra 06 - Solução carga 31/10/24</t>
  </si>
  <si>
    <t>UFV-S-19</t>
  </si>
  <si>
    <t>Amostra 07 - Solução carga 26/11/24</t>
  </si>
  <si>
    <t>UFV-S-20</t>
  </si>
  <si>
    <t>Amostra 09 - Solução carga 31/12/24</t>
  </si>
  <si>
    <t>UFV-S-21</t>
  </si>
  <si>
    <t>Amostra 10 - Solução carga 28/03/2025</t>
  </si>
  <si>
    <t>UFV-S-22</t>
  </si>
  <si>
    <t>Amostra 04 - 2° Tratamento do dia</t>
  </si>
  <si>
    <t>UFV-S-23</t>
  </si>
  <si>
    <t>Amostra 01 - Solução 1° Tratamento do dia</t>
  </si>
  <si>
    <t>UFV-S-24</t>
  </si>
  <si>
    <t>Zomer Tratamento de Madeira LTDA</t>
  </si>
  <si>
    <t>AS - Solução</t>
  </si>
  <si>
    <t>UFV-S-25</t>
  </si>
  <si>
    <t>UFV-S-26</t>
  </si>
  <si>
    <t>UFV-S-27</t>
  </si>
  <si>
    <t>UFV-S-28</t>
  </si>
  <si>
    <t>AS - Solução - Produto</t>
  </si>
  <si>
    <t>UFV-S-29</t>
  </si>
  <si>
    <t>Concentração - 1,9 - C.I - 14609</t>
  </si>
  <si>
    <t>UFV-S-30</t>
  </si>
  <si>
    <t>Sem identificação - 1</t>
  </si>
  <si>
    <t>UFV-S-31</t>
  </si>
  <si>
    <t>Sem identificação - 2</t>
  </si>
  <si>
    <t>UFV-S-32</t>
  </si>
  <si>
    <t>UFV-S-33</t>
  </si>
  <si>
    <t>A quantidade de amostra fornecida foi insuficiente para a análise com o termodensímetro</t>
  </si>
  <si>
    <t>UFV-S-34</t>
  </si>
  <si>
    <t>21% - 1,0139 - 1,7% concentração</t>
  </si>
  <si>
    <t>UFV-S-35</t>
  </si>
  <si>
    <t>Lote 6184</t>
  </si>
  <si>
    <t>UFV-S-36</t>
  </si>
  <si>
    <t>UFV-S-37</t>
  </si>
  <si>
    <t>Petras Agroindútria</t>
  </si>
  <si>
    <t>Sol 12.257</t>
  </si>
  <si>
    <t>UFV-S-38</t>
  </si>
  <si>
    <t>Lote 6216</t>
  </si>
  <si>
    <t>UFV-S-39</t>
  </si>
  <si>
    <t xml:space="preserve">Trataplan Madeiras Tratadas </t>
  </si>
  <si>
    <t>Lote 500513</t>
  </si>
  <si>
    <t>UFV-S-40</t>
  </si>
  <si>
    <t>UFV-S-41</t>
  </si>
  <si>
    <t>Código 60327</t>
  </si>
  <si>
    <t>UFV-S-42</t>
  </si>
  <si>
    <t>W Pinto</t>
  </si>
  <si>
    <t>Código 50408</t>
  </si>
  <si>
    <t>UFV-S-43</t>
  </si>
  <si>
    <t>UFV-S-44</t>
  </si>
  <si>
    <t>UFV-S-45</t>
  </si>
  <si>
    <t>UFV-S-46</t>
  </si>
  <si>
    <t xml:space="preserve">SC </t>
  </si>
  <si>
    <t>Sem identificação - Vara I</t>
  </si>
  <si>
    <t>UFV-S-47</t>
  </si>
  <si>
    <t>UFV-S-48</t>
  </si>
  <si>
    <t>UFV-S-49</t>
  </si>
  <si>
    <t>UFV-S-50</t>
  </si>
  <si>
    <t>Eukatrata LTDA</t>
  </si>
  <si>
    <t>Brasília</t>
  </si>
  <si>
    <t>DF</t>
  </si>
  <si>
    <t>Eukatrata - Solução K33C</t>
  </si>
  <si>
    <t>UFV-S-51</t>
  </si>
  <si>
    <t>UFV-S-52</t>
  </si>
  <si>
    <t>Neylo Junio Arantes Silverio</t>
  </si>
  <si>
    <t>UFV-S-53</t>
  </si>
  <si>
    <t>1,8%</t>
  </si>
  <si>
    <t>UFV-S-54</t>
  </si>
  <si>
    <t>Madasc Madeiras</t>
  </si>
  <si>
    <t>Eucalipto</t>
  </si>
  <si>
    <t>UFV-S-55</t>
  </si>
  <si>
    <t>UFV-S-56</t>
  </si>
  <si>
    <t>Amostra solução 23</t>
  </si>
  <si>
    <t>UFV-S-57</t>
  </si>
  <si>
    <t>Amostra 6 - Solução</t>
  </si>
  <si>
    <t>UFV-S-58</t>
  </si>
  <si>
    <t>J.C. Correa Alves &amp; CIA LTDA - ME</t>
  </si>
  <si>
    <t>MTN0022</t>
  </si>
  <si>
    <t>UFV-S-59</t>
  </si>
  <si>
    <t>MTN0021</t>
  </si>
  <si>
    <t>UFV-S-60</t>
  </si>
  <si>
    <t>UFV-S-61</t>
  </si>
  <si>
    <t>UFV-S-62</t>
  </si>
  <si>
    <t>UFV-S-63</t>
  </si>
  <si>
    <t>UFV-S-64</t>
  </si>
  <si>
    <t>UFV-S-65</t>
  </si>
  <si>
    <t>UFV-S-66</t>
  </si>
  <si>
    <t>UFV-S-67</t>
  </si>
  <si>
    <t>UFV-S-68</t>
  </si>
  <si>
    <t>UFV-S-69</t>
  </si>
  <si>
    <t>UFV-S-70</t>
  </si>
  <si>
    <t>UFV-S-71</t>
  </si>
  <si>
    <t>UFV-S-72</t>
  </si>
  <si>
    <t>UFV-S-73</t>
  </si>
  <si>
    <t>UFV-S-74</t>
  </si>
  <si>
    <t>UFV-S-75</t>
  </si>
  <si>
    <t>UFV-S-76</t>
  </si>
  <si>
    <t>UFV-S-77</t>
  </si>
  <si>
    <t>UFV-S-78</t>
  </si>
  <si>
    <t>UFV-S-79</t>
  </si>
  <si>
    <t>UFV-S-80</t>
  </si>
  <si>
    <t>UFV-S-81</t>
  </si>
  <si>
    <t>UFV-S-82</t>
  </si>
  <si>
    <t>UFV-S-83</t>
  </si>
  <si>
    <t>UFV-S-84</t>
  </si>
  <si>
    <t>UFV-S-86</t>
  </si>
  <si>
    <t>UFV-S-87</t>
  </si>
  <si>
    <t>UFV-S-88</t>
  </si>
  <si>
    <t>UFV-S-89</t>
  </si>
  <si>
    <t>UFV-S-90</t>
  </si>
  <si>
    <t>UFV-S-91</t>
  </si>
  <si>
    <t>UFV-S-92</t>
  </si>
  <si>
    <t>UFV-S-93</t>
  </si>
  <si>
    <t>UFV-S-94</t>
  </si>
  <si>
    <t>UFV-S-95</t>
  </si>
  <si>
    <t>UFV-S-96</t>
  </si>
  <si>
    <t>UFV-S-97</t>
  </si>
  <si>
    <t>UFV-S-98</t>
  </si>
  <si>
    <t>UFV-S-99</t>
  </si>
  <si>
    <t>Profunda e regular</t>
  </si>
  <si>
    <t>Indica a penetração profunda e uniforme em toda a extensão do alburno.</t>
  </si>
  <si>
    <t>Profunda e irregular</t>
  </si>
  <si>
    <t>Indica a penetração profunda, mas desuniforme em toda a extensão do alburno.</t>
  </si>
  <si>
    <t xml:space="preserve"> Parcial e regular</t>
  </si>
  <si>
    <t>Indica a penetração uniforme, mas não total pela extensão do alburno.</t>
  </si>
  <si>
    <t>Parcial e irregular</t>
  </si>
  <si>
    <t>Indica a penetração desuniforme e não total pela extensão do alburno.</t>
  </si>
  <si>
    <t>Sem Reação do Cromoazurol</t>
  </si>
  <si>
    <t>Normas ABNT</t>
  </si>
  <si>
    <t>Tipo de amostra</t>
  </si>
  <si>
    <t>250 mL</t>
  </si>
  <si>
    <t>Estável</t>
  </si>
  <si>
    <t>Indica solução límpida e isenta de materiais precipitados</t>
  </si>
  <si>
    <t>Instável</t>
  </si>
  <si>
    <t>Indica solução com leve formação de precipitado</t>
  </si>
  <si>
    <t>Indica solução com severa formação de precipitado</t>
  </si>
  <si>
    <t>Observação: Analista de Controle de Qualidade</t>
  </si>
  <si>
    <t>Os resultados da análise química apresentaram uma retenção do produto de acordo com o padrão mínimo exigido pela norma ABNT NBR 16143</t>
  </si>
  <si>
    <t>Os resultados da análise química apresentaram uma retenção do produto inferior ao padrão mínimo exigido pela norma ABNT NBR 16143</t>
  </si>
  <si>
    <t>Cruzetas</t>
  </si>
  <si>
    <t>Bobinas</t>
  </si>
  <si>
    <t>Compensados</t>
  </si>
  <si>
    <t>Agricultura</t>
  </si>
  <si>
    <t>Confinamento animal</t>
  </si>
  <si>
    <t>Monte Verde Madeira e Serviços Eireli</t>
  </si>
  <si>
    <t>Santa Bárbara</t>
  </si>
  <si>
    <t>gleciamacellani@yahoo.com.br</t>
  </si>
  <si>
    <t>Cloesiana 02</t>
  </si>
  <si>
    <t>Cloesiana 03</t>
  </si>
  <si>
    <t>Comum 01</t>
  </si>
  <si>
    <t>Comum 02</t>
  </si>
  <si>
    <t>Comum 03</t>
  </si>
  <si>
    <t>Cloesiana 01</t>
  </si>
  <si>
    <t>T97 29/9/25 6x8 Teste 02</t>
  </si>
  <si>
    <t>T97 29/9/25 6x8 Teste 01</t>
  </si>
  <si>
    <t>T87 24/9/25 8x10</t>
  </si>
  <si>
    <t xml:space="preserve"> </t>
  </si>
  <si>
    <t>T76 18/9/25 4x6 Teste</t>
  </si>
  <si>
    <t>Vida Longa 1 - 12,5cm</t>
  </si>
  <si>
    <t>Vida Longa 2 - 13,5cm</t>
  </si>
  <si>
    <t>Vida Longa 3 - 16cm</t>
  </si>
  <si>
    <t>Florestal 1 - 12cm</t>
  </si>
  <si>
    <t>Florestal 2 - 13cm</t>
  </si>
  <si>
    <t>Florestal 3 - 15,5cm</t>
  </si>
  <si>
    <t>Preservale 1 - 12cm</t>
  </si>
  <si>
    <t>Preservale 2 - 13cm</t>
  </si>
  <si>
    <t>Preservale 3 - 16cm</t>
  </si>
  <si>
    <t>Rasip Alimentos</t>
  </si>
  <si>
    <t>LC-205632-A</t>
  </si>
  <si>
    <t>LC-205632-B</t>
  </si>
  <si>
    <t>LC-205632-C</t>
  </si>
  <si>
    <t>LC-205632-D</t>
  </si>
  <si>
    <t>LC-205632-E</t>
  </si>
  <si>
    <t>LC-205632-F</t>
  </si>
  <si>
    <t>Campo Alegre Madeiras LTDA</t>
  </si>
  <si>
    <t>C.I: 14212</t>
  </si>
  <si>
    <t>11x300</t>
  </si>
  <si>
    <t>C.I: 14163</t>
  </si>
  <si>
    <t>C.I: 14169</t>
  </si>
  <si>
    <t>AME - 03 - 10 a 12</t>
  </si>
  <si>
    <t>AME - 01 - 12x14 5F</t>
  </si>
  <si>
    <t>AME - 02 - 14 a 16 5F</t>
  </si>
  <si>
    <t>AME - 04 - 14 a 16</t>
  </si>
  <si>
    <t>AME - 02 - 12x14</t>
  </si>
  <si>
    <t>AME - 01 - 14 a 16 - 6F</t>
  </si>
  <si>
    <t>AME - 04 - 12x14 5F</t>
  </si>
  <si>
    <t>AME - 05 - 10 a 12 6F 1</t>
  </si>
  <si>
    <t xml:space="preserve">AME - 03 - 10 a 12 6F 2 </t>
  </si>
  <si>
    <t>AME - 01 - 8 a 10 6F</t>
  </si>
  <si>
    <t>AME - 02 - 6 a 8</t>
  </si>
  <si>
    <t>AME - 03 - 12x14</t>
  </si>
  <si>
    <t>AME - 04 - 14 a 16 II</t>
  </si>
  <si>
    <t>MTN 0023</t>
  </si>
  <si>
    <t>MR Madeiras Tratadas</t>
  </si>
  <si>
    <t>Medeiros</t>
  </si>
  <si>
    <t>jessica@medeirosreflorestamento.com.br</t>
  </si>
  <si>
    <t>2.537</t>
  </si>
  <si>
    <t>2.550</t>
  </si>
  <si>
    <t>2.549</t>
  </si>
  <si>
    <t>2.551</t>
  </si>
  <si>
    <t>2.534</t>
  </si>
  <si>
    <t>2.532</t>
  </si>
  <si>
    <t>2.533</t>
  </si>
  <si>
    <t>2.541</t>
  </si>
  <si>
    <t>2.545</t>
  </si>
  <si>
    <t>2.543</t>
  </si>
  <si>
    <t>50408 - Amostra 1 - Mourão 8 a 10</t>
  </si>
  <si>
    <t>50408 - Amostra 2 - Mourão 8 a 10</t>
  </si>
  <si>
    <t>Usina Ecovale LTDA</t>
  </si>
  <si>
    <t>Cunha</t>
  </si>
  <si>
    <t>ecovale.madeireira@gmail.com</t>
  </si>
  <si>
    <t>60791 - Amostra 1 - Mourão 8 a 10</t>
  </si>
  <si>
    <t>60791 - Amostra 2 - Mourão 10 a 13</t>
  </si>
  <si>
    <t>60791 - Amostra 3 - Mourão 13 a 16</t>
  </si>
  <si>
    <t>50408 - Amostra 1</t>
  </si>
  <si>
    <t>J.C Correa Alves &amp; CIA LTDA - ME</t>
  </si>
  <si>
    <t>AS - Solução - 16/09</t>
  </si>
  <si>
    <t>AS - Solução - 30/09</t>
  </si>
  <si>
    <t>AS - Solução - 19/08</t>
  </si>
  <si>
    <t>Concentração 1,788</t>
  </si>
  <si>
    <t>JJ Empreendimentos Florestais LTDA</t>
  </si>
  <si>
    <t>Taparuba</t>
  </si>
  <si>
    <t>madeiralegal07@gmail.com</t>
  </si>
  <si>
    <t>10-12 de 2,20m</t>
  </si>
  <si>
    <t>6-8 de 2,20m</t>
  </si>
  <si>
    <t>4-6 de 2,20m</t>
  </si>
  <si>
    <t>6-8 de 2,20m (Ingá)</t>
  </si>
  <si>
    <t>8-10 de 2,20m (Ingá)</t>
  </si>
  <si>
    <t>Andrade &amp; Martins</t>
  </si>
  <si>
    <t>Ibema</t>
  </si>
  <si>
    <t>qualidade@andrademartins.com.br</t>
  </si>
  <si>
    <t>001-1 - 09-09-25</t>
  </si>
  <si>
    <t>001-1 - 20-10-25</t>
  </si>
  <si>
    <t>001-2 - 20-10-25</t>
  </si>
  <si>
    <t>001-2 - 21-10-25</t>
  </si>
  <si>
    <t>Sem Identificação</t>
  </si>
  <si>
    <t>Madeiras Tratadas Dellagnolo LTDA</t>
  </si>
  <si>
    <t>Armazém</t>
  </si>
  <si>
    <t>madeirastratadasdellagnolo@hotmail.com</t>
  </si>
  <si>
    <t>Solução 01</t>
  </si>
  <si>
    <t>AME-03 - 8010 6F</t>
  </si>
  <si>
    <t>AME-03 - 14 a 16</t>
  </si>
  <si>
    <t>AME-01 - 10 a 12</t>
  </si>
  <si>
    <t>AME-04 - 8 a 10 5F</t>
  </si>
  <si>
    <t>AME-02 - 10 a 12 2</t>
  </si>
  <si>
    <t>AME-04 - 12x14</t>
  </si>
  <si>
    <t>AME-01 - 12x14 5F</t>
  </si>
  <si>
    <t>AME-02 - 14 a 16</t>
  </si>
  <si>
    <t>UFV-M-501</t>
  </si>
  <si>
    <t>UFV-M-502</t>
  </si>
  <si>
    <t>UFV-M-503</t>
  </si>
  <si>
    <t>UFV-M-504</t>
  </si>
  <si>
    <t>UFV-M-505</t>
  </si>
  <si>
    <t>UFV-M-506</t>
  </si>
  <si>
    <t>UFV-M-507</t>
  </si>
  <si>
    <t>UFV-M-508</t>
  </si>
  <si>
    <t>UFV-M-509</t>
  </si>
  <si>
    <t>UFV-M-510</t>
  </si>
  <si>
    <t>UFV-M-511</t>
  </si>
  <si>
    <t>UFV-M-512</t>
  </si>
  <si>
    <t>UFV-M-513</t>
  </si>
  <si>
    <t>UFV-M-514</t>
  </si>
  <si>
    <t>UFV-M-515</t>
  </si>
  <si>
    <t>UFV-M-516</t>
  </si>
  <si>
    <t>UFV-M-517</t>
  </si>
  <si>
    <t>UFV-M-518</t>
  </si>
  <si>
    <t>UFV-M-519</t>
  </si>
  <si>
    <t>UFV-M-520</t>
  </si>
  <si>
    <t>UFV-M-521</t>
  </si>
  <si>
    <t>UFV-M-522</t>
  </si>
  <si>
    <t>UFV-M-523</t>
  </si>
  <si>
    <t>UFV-M-524</t>
  </si>
  <si>
    <t>UFV-M-525</t>
  </si>
  <si>
    <t>UFV-M-526</t>
  </si>
  <si>
    <t>UFV-M-527</t>
  </si>
  <si>
    <t>UFV-M-528</t>
  </si>
  <si>
    <t>UFV-M-529</t>
  </si>
  <si>
    <t>UFV-M-530</t>
  </si>
  <si>
    <t>UFV-M-531</t>
  </si>
  <si>
    <t>UFV-M-532</t>
  </si>
  <si>
    <t>UFV-M-533</t>
  </si>
  <si>
    <t>UFV-M-534</t>
  </si>
  <si>
    <t>UFV-M-535</t>
  </si>
  <si>
    <t>UFV-M-536</t>
  </si>
  <si>
    <t>UFV-M-537</t>
  </si>
  <si>
    <t>UFV-M-538</t>
  </si>
  <si>
    <t>UFV-M-539</t>
  </si>
  <si>
    <t>UFV-M-540</t>
  </si>
  <si>
    <t>UFV-M-541</t>
  </si>
  <si>
    <t>UFV-M-542</t>
  </si>
  <si>
    <t>UFV-M-543</t>
  </si>
  <si>
    <t>UFV-M-544</t>
  </si>
  <si>
    <t>UFV-M-545</t>
  </si>
  <si>
    <t>UFV-M-546</t>
  </si>
  <si>
    <t>UFV-M-547</t>
  </si>
  <si>
    <t>UFV-M-548</t>
  </si>
  <si>
    <t>UFV-M-549</t>
  </si>
  <si>
    <t>UFV-M-550</t>
  </si>
  <si>
    <t>UFV-M-551</t>
  </si>
  <si>
    <t>UFV-M-552</t>
  </si>
  <si>
    <t>UFV-M-553</t>
  </si>
  <si>
    <t>UFV-M-554</t>
  </si>
  <si>
    <t>UFV-M-555</t>
  </si>
  <si>
    <t>UFV-M-556</t>
  </si>
  <si>
    <t>UFV-M-557</t>
  </si>
  <si>
    <t>UFV-M-558</t>
  </si>
  <si>
    <t>UFV-M-559</t>
  </si>
  <si>
    <t>UFV-M-560</t>
  </si>
  <si>
    <t>UFV-M-561</t>
  </si>
  <si>
    <t>UFV-M-562</t>
  </si>
  <si>
    <t>UFV-M-563</t>
  </si>
  <si>
    <t>UFV-M-564</t>
  </si>
  <si>
    <t>UFV-M-565</t>
  </si>
  <si>
    <t>UFV-M-566</t>
  </si>
  <si>
    <t>UFV-M-567</t>
  </si>
  <si>
    <t>UFV-M-568</t>
  </si>
  <si>
    <t>UFV-M-569</t>
  </si>
  <si>
    <t>UFV-M-570</t>
  </si>
  <si>
    <t>UFV-M-571</t>
  </si>
  <si>
    <t>UFV-M-572</t>
  </si>
  <si>
    <t>UFV-M-573</t>
  </si>
  <si>
    <t>UFV-M-574</t>
  </si>
  <si>
    <t>UFV-M-575</t>
  </si>
  <si>
    <t>UFV-M-576</t>
  </si>
  <si>
    <t>UFV-M-577</t>
  </si>
  <si>
    <t>UFV-M-578</t>
  </si>
  <si>
    <t>UFV-M-579</t>
  </si>
  <si>
    <t>UFV-M-580</t>
  </si>
  <si>
    <t>UFV-M-581</t>
  </si>
  <si>
    <t>UFV-M-582</t>
  </si>
  <si>
    <t>UFV-M-583</t>
  </si>
  <si>
    <t>UFV-M-584</t>
  </si>
  <si>
    <t>UFV-M-585</t>
  </si>
  <si>
    <t>UFV-M-586</t>
  </si>
  <si>
    <t>UFV-M-587</t>
  </si>
  <si>
    <t>UFV-M-588</t>
  </si>
  <si>
    <t>UFV-M-589</t>
  </si>
  <si>
    <t>UFV-M-590</t>
  </si>
  <si>
    <t>UFV-M-591</t>
  </si>
  <si>
    <t>UFV-M-592</t>
  </si>
  <si>
    <t>UFV-M-593</t>
  </si>
  <si>
    <t>UFV-M-594</t>
  </si>
  <si>
    <t>UFV-M-595</t>
  </si>
  <si>
    <t>UFV-M-596</t>
  </si>
  <si>
    <t>UFV-M-597</t>
  </si>
  <si>
    <t>UFV-M-598</t>
  </si>
  <si>
    <t>UFV-M-599</t>
  </si>
  <si>
    <t>UFV-M-600</t>
  </si>
  <si>
    <t>Madepires Tratamento de Eucalipto</t>
  </si>
  <si>
    <t>Pires do Rio</t>
  </si>
  <si>
    <t>GO</t>
  </si>
  <si>
    <t>madepires.te@gmail.com</t>
  </si>
  <si>
    <t>Mourão 10 a 12cm</t>
  </si>
  <si>
    <t>Mourão 06 a 08 cm</t>
  </si>
  <si>
    <t>Mourão 08 a 10 cm</t>
  </si>
  <si>
    <t>Mourão 12 a 14 cm</t>
  </si>
  <si>
    <t>Beneficiamento de Madeiras Tratadas Dellagnolo LTDA</t>
  </si>
  <si>
    <t>Araquari</t>
  </si>
  <si>
    <t>Moveis 1</t>
  </si>
  <si>
    <t>Moveis 2</t>
  </si>
  <si>
    <t>Moveis 3</t>
  </si>
  <si>
    <t>01 - Palanque - 10 a 12 x 2200mm</t>
  </si>
  <si>
    <t>02 - Mourão - 18 a 20 x 3000mm</t>
  </si>
  <si>
    <t>03 - Solução</t>
  </si>
  <si>
    <t>8 a 10 x 2200</t>
  </si>
  <si>
    <t>12 a 15 x 2200</t>
  </si>
  <si>
    <t>11cm altura x 9,2 cm diâmetro -1</t>
  </si>
  <si>
    <t>10,5 cm altura x 8,7 cm diâmetro -2</t>
  </si>
  <si>
    <t>9,5 cm altura x 9,3 cm diâmetro -3</t>
  </si>
  <si>
    <t>12 cm altura x 8,9 cm diâmetro -4</t>
  </si>
  <si>
    <t>14 cm altura x 10,4 cm diâmetro -5</t>
  </si>
  <si>
    <t>12 cm altura x 10,2 cm diâmetro -6</t>
  </si>
  <si>
    <t>11 cm altura x 10,6 diâmetro -7</t>
  </si>
  <si>
    <t>12 cm altura x 10,5 cm diâmetro -8</t>
  </si>
  <si>
    <t>fazendacachoeirinha2014@gmail.com</t>
  </si>
  <si>
    <t>Diâmetro 08 a 10</t>
  </si>
  <si>
    <t>Diâmetro 10 a 12 cm</t>
  </si>
  <si>
    <t>01-10-25</t>
  </si>
  <si>
    <t>02-10-25</t>
  </si>
  <si>
    <t>03-10-25</t>
  </si>
  <si>
    <t>04-10-25</t>
  </si>
  <si>
    <t>05-10-25</t>
  </si>
  <si>
    <t>Santa Rita Madeiras LTDA</t>
  </si>
  <si>
    <t>Paulo Lopes</t>
  </si>
  <si>
    <t>financeiro@santaritamadeiras.com</t>
  </si>
  <si>
    <t>AS - Solução - 17-10-25</t>
  </si>
  <si>
    <t>AS - Solução - 29-10-25</t>
  </si>
  <si>
    <t xml:space="preserve">Moveis </t>
  </si>
  <si>
    <t>18 a 20 x 3000</t>
  </si>
  <si>
    <t>Madimune</t>
  </si>
  <si>
    <t>31/25</t>
  </si>
  <si>
    <t>T134 17/10/25 10x12</t>
  </si>
  <si>
    <t>T133 16/10/25 10x12 01</t>
  </si>
  <si>
    <t>T149 27/10/25 6x8</t>
  </si>
  <si>
    <t>T146 24/10/25 10x12</t>
  </si>
  <si>
    <t>T133 16/10/25 10x12 02</t>
  </si>
  <si>
    <t>LC-10090-D</t>
  </si>
  <si>
    <t>LC-9778-B</t>
  </si>
  <si>
    <t>LC-10248-B</t>
  </si>
  <si>
    <t>LC-59249</t>
  </si>
  <si>
    <t>Cocamar Cooperativa Agroindustrial</t>
  </si>
  <si>
    <t>Presidente Castelo Branco</t>
  </si>
  <si>
    <t>valdomiro.pine@cocamar.com.br</t>
  </si>
  <si>
    <t>Eduardo Aziz Haik</t>
  </si>
  <si>
    <t>DJ Comercio Transporte e Serviçoes</t>
  </si>
  <si>
    <t>Parapeba</t>
  </si>
  <si>
    <t>contato@valexmadeiras.com.br</t>
  </si>
  <si>
    <t>32/25</t>
  </si>
  <si>
    <t>Vida Longa Masdeiras Tratadas</t>
  </si>
  <si>
    <t>Taio</t>
  </si>
  <si>
    <t>Teylor</t>
  </si>
  <si>
    <t>Furadinha</t>
  </si>
  <si>
    <t>A.B.Empreendimentos LTDA</t>
  </si>
  <si>
    <t>T165 10/11/25 Test 02</t>
  </si>
  <si>
    <t>T152 31/10/25 Test 01</t>
  </si>
  <si>
    <t>T165 10/11/25 Test 01</t>
  </si>
  <si>
    <t>T168 11/11/25 Test 02</t>
  </si>
  <si>
    <t>T168 11/11/25 Test 01</t>
  </si>
  <si>
    <t>T152 31/10/25 Test 02</t>
  </si>
  <si>
    <t>Mourão 10x12-2.20mt</t>
  </si>
  <si>
    <t>L Teylor</t>
  </si>
  <si>
    <t>aroira.horlando@gmail.com</t>
  </si>
  <si>
    <t>8/10-5m</t>
  </si>
  <si>
    <t>Poste 11L</t>
  </si>
  <si>
    <t>20/22-5m</t>
  </si>
  <si>
    <t>22/24-4,00m</t>
  </si>
  <si>
    <t xml:space="preserve">Clave Madeira Tratadas </t>
  </si>
  <si>
    <t>eucatrat.com.br</t>
  </si>
  <si>
    <t>10x12x02,20 CA Concetração 1,66% CI=14024</t>
  </si>
  <si>
    <t>1342/25</t>
  </si>
  <si>
    <t>1323/25</t>
  </si>
  <si>
    <t>1318/25</t>
  </si>
  <si>
    <t>1330/25</t>
  </si>
  <si>
    <t>Madeira Status LTDA</t>
  </si>
  <si>
    <t>diego@status.combr</t>
  </si>
  <si>
    <t>Madeiras  Status LTDA</t>
  </si>
  <si>
    <t>Amostra 09</t>
  </si>
  <si>
    <t>Amostra 10</t>
  </si>
  <si>
    <t>Palanque 15 a 17 x 2200 mm 04</t>
  </si>
  <si>
    <t>Mourão 18 a 20 x 3000 mm 05</t>
  </si>
  <si>
    <t>Solução 500ml 06</t>
  </si>
  <si>
    <t>RM Eucaliptos</t>
  </si>
  <si>
    <t>rm.eucaliptos@gmail.com</t>
  </si>
  <si>
    <t>Amostra 1 Mourão 6 a 8</t>
  </si>
  <si>
    <t>Usina Paulista</t>
  </si>
  <si>
    <t>Amostra 2 Mourão 13 a 16</t>
  </si>
  <si>
    <t>Usina Araucaria</t>
  </si>
  <si>
    <t>fabiana@usinaAraucaria.combr</t>
  </si>
  <si>
    <t>Amostra 1 - Pinus Dellagnolo</t>
  </si>
  <si>
    <t>Amostra 2 - Pinus Santa Rita</t>
  </si>
  <si>
    <t>Amostra 3 - Pinus Santa Rita</t>
  </si>
  <si>
    <t>Amostra 5 -Mourão 10 a 13</t>
  </si>
  <si>
    <t>Amostra 1 Citriodora</t>
  </si>
  <si>
    <t>Amostra 3 - Citriodora</t>
  </si>
  <si>
    <t>Claudio Roberto</t>
  </si>
  <si>
    <t>Natividade da Serra</t>
  </si>
  <si>
    <t>fazendamaezainha@hotmail.com</t>
  </si>
  <si>
    <t>Amostra 1 - Mourão 10 a 12</t>
  </si>
  <si>
    <t>Amostra 2 - Mourão 10 a 12</t>
  </si>
  <si>
    <t>Amostra 1 - Mourão 4 a 6</t>
  </si>
  <si>
    <t xml:space="preserve">Rogerio Ronco </t>
  </si>
  <si>
    <t>madeireiralltodaserra@gmail.com</t>
  </si>
  <si>
    <t>Amostra Solução (1)</t>
  </si>
  <si>
    <t>Amostra 1 - Mourão  6 a 8</t>
  </si>
  <si>
    <t>Amostra 2 Citriodora 6 a 8</t>
  </si>
  <si>
    <t>Amostra 4 - Biriba</t>
  </si>
  <si>
    <t>Amostra 5 - mourão 6 a 8</t>
  </si>
  <si>
    <t>MTN0024</t>
  </si>
  <si>
    <t>lidi_dominclli@hotmail.com</t>
  </si>
  <si>
    <t>Sem indentificação (FJF 01.5)</t>
  </si>
  <si>
    <t>Sem indentificação (FJF/01)</t>
  </si>
  <si>
    <t>Sem indentificação (FJF/02)</t>
  </si>
  <si>
    <t>Sem indentificação (FJF/03)</t>
  </si>
  <si>
    <t>Sem indentificação (FJF/04)</t>
  </si>
  <si>
    <t>Sem indentificação (FJF 02.5)</t>
  </si>
  <si>
    <t>01 Vanderlei Mallmann- ne (Santa Terezinha do Progresso)</t>
  </si>
  <si>
    <t>02 Vanderlei Mallmann- ne (Santa Terezinha do Progresso)</t>
  </si>
  <si>
    <t>Madeira Tratadas Aleixo - Itamatra</t>
  </si>
  <si>
    <t>adm@itamatra.com.br</t>
  </si>
  <si>
    <t>Amostra01</t>
  </si>
  <si>
    <t>Amostra02</t>
  </si>
  <si>
    <t>Amostra03</t>
  </si>
  <si>
    <t>Amostra04</t>
  </si>
  <si>
    <t>Amostra05</t>
  </si>
  <si>
    <t>Amostra06</t>
  </si>
  <si>
    <t>UFV-M-601</t>
  </si>
  <si>
    <t>UFV-M-602</t>
  </si>
  <si>
    <t>UFV-M-603</t>
  </si>
  <si>
    <t>UFV-M-604</t>
  </si>
  <si>
    <t>UFV-M-605</t>
  </si>
  <si>
    <t>UFV-M-606</t>
  </si>
  <si>
    <t>UFV-M-607</t>
  </si>
  <si>
    <t>UFV-M-608</t>
  </si>
  <si>
    <t>UFV-M-609</t>
  </si>
  <si>
    <t>UFV-M-610</t>
  </si>
  <si>
    <t>UFV-M-611</t>
  </si>
  <si>
    <t>UFV-M-612</t>
  </si>
  <si>
    <t>UFV-M-613</t>
  </si>
  <si>
    <t>Amostra 2 - Pinus Dellagnolo</t>
  </si>
  <si>
    <t>Ararangua</t>
  </si>
  <si>
    <t>23</t>
  </si>
  <si>
    <t>24</t>
  </si>
  <si>
    <t>25</t>
  </si>
  <si>
    <t>26</t>
  </si>
  <si>
    <t>27</t>
  </si>
  <si>
    <t>28</t>
  </si>
  <si>
    <t>29</t>
  </si>
  <si>
    <t>30</t>
  </si>
  <si>
    <t>Lote 6330</t>
  </si>
  <si>
    <t>02 Palanque 12 a 15</t>
  </si>
  <si>
    <t>01 Palanque 12 a 15</t>
  </si>
  <si>
    <t>UFV-M-614</t>
  </si>
  <si>
    <t>UFV-M-615</t>
  </si>
  <si>
    <t>Olhos-d'Água</t>
  </si>
  <si>
    <t>SC 01</t>
  </si>
  <si>
    <t>SC 03</t>
  </si>
  <si>
    <t>SC 02</t>
  </si>
  <si>
    <t>Solução 04 SC</t>
  </si>
  <si>
    <t>UFV-M-616</t>
  </si>
  <si>
    <t>UFV-M-617</t>
  </si>
  <si>
    <t>UFV-M-618</t>
  </si>
  <si>
    <t>UFV-M-619</t>
  </si>
  <si>
    <t>UFV-M-620</t>
  </si>
  <si>
    <t>UFV-M-621</t>
  </si>
  <si>
    <t>Solução (Martinelli)</t>
  </si>
  <si>
    <t>12/14-2,20m</t>
  </si>
  <si>
    <t>Santa Branca</t>
  </si>
  <si>
    <t>Cachoeira Paulista</t>
  </si>
  <si>
    <t>UFV-M-622</t>
  </si>
  <si>
    <t>UFV-M-623</t>
  </si>
  <si>
    <t>UFV-M-624</t>
  </si>
  <si>
    <t>UFV-M-625</t>
  </si>
  <si>
    <t>UFV-M-626</t>
  </si>
  <si>
    <t>UFV-M-627</t>
  </si>
  <si>
    <t>Ro</t>
  </si>
  <si>
    <t>AME-02 14 a 16</t>
  </si>
  <si>
    <t>Ame-05 12x14 teste</t>
  </si>
  <si>
    <t>Ame-03 608 5F</t>
  </si>
  <si>
    <t>AME-01 10 a 12 5F</t>
  </si>
  <si>
    <t>AME-04 12x14</t>
  </si>
  <si>
    <t>AS Solução</t>
  </si>
  <si>
    <t>Amostra 3 - Mourão 10 a 12</t>
  </si>
  <si>
    <t>Amostra 3 - Reforço Drywall</t>
  </si>
  <si>
    <t>Amostra 2 Mourão 8 a 10</t>
  </si>
  <si>
    <t>Amostra 2 - Mourão 8 a 10</t>
  </si>
  <si>
    <t>Amostra 3 Mourão 8 a 10</t>
  </si>
  <si>
    <t>Amostra 4 - Mourão 17 a 20</t>
  </si>
  <si>
    <t>Amostra 1 Mourão 10 a 12</t>
  </si>
  <si>
    <t>UFV-S-85</t>
  </si>
  <si>
    <t>A B Emprrendimentos</t>
  </si>
  <si>
    <t>T181 21/11/2025 Peça 02</t>
  </si>
  <si>
    <t>T179 20/11/2025 Peça 01</t>
  </si>
  <si>
    <t>T181 21/11/2025 Peça 01</t>
  </si>
  <si>
    <t>T174 21/11/2025 Peça 01</t>
  </si>
  <si>
    <t>T174 21/11/2025 Peça 02</t>
  </si>
  <si>
    <t>T179 20/11/2025 Peça 03</t>
  </si>
  <si>
    <t>T181 21/11/2025 Peça 03</t>
  </si>
  <si>
    <t>T179 20/11/2025 Peça 02</t>
  </si>
  <si>
    <t>T179 20/11/2025 Peça 04</t>
  </si>
  <si>
    <t>UFV-M-628</t>
  </si>
  <si>
    <t>UFV-M-629</t>
  </si>
  <si>
    <t>UFV-M-630</t>
  </si>
  <si>
    <t>UFV-M-631</t>
  </si>
  <si>
    <t>UFV-M-632</t>
  </si>
  <si>
    <t>UFV-M-633</t>
  </si>
  <si>
    <t>UFV-M-634</t>
  </si>
  <si>
    <t>UFV-M-635</t>
  </si>
  <si>
    <t>UFV-M-636</t>
  </si>
  <si>
    <t>UFV-M-637</t>
  </si>
  <si>
    <t>UFV-M-638</t>
  </si>
  <si>
    <t>33/25</t>
  </si>
  <si>
    <t>5-Palanque  9 a 13</t>
  </si>
  <si>
    <t>4-Palanque 10 a 12</t>
  </si>
  <si>
    <t>3-Solução 11/12/2025</t>
  </si>
  <si>
    <t>T230 18/12/2025 01</t>
  </si>
  <si>
    <t>T223 16/12/2025 01</t>
  </si>
  <si>
    <t>T226 17/12/2025 01</t>
  </si>
  <si>
    <t>T230 18/12/2025 02</t>
  </si>
  <si>
    <t>T226 17/12/2025 02</t>
  </si>
  <si>
    <t>T223 16/12/2025 02</t>
  </si>
  <si>
    <t>UFV-M-639</t>
  </si>
  <si>
    <t>UFV-M-640</t>
  </si>
  <si>
    <t>UFV-M-641</t>
  </si>
  <si>
    <t>UFV-M-642</t>
  </si>
  <si>
    <t>UFV-M-643</t>
  </si>
  <si>
    <t>UFV-M-644</t>
  </si>
  <si>
    <t>UFV-M-645</t>
  </si>
  <si>
    <t>UFV-M-646</t>
  </si>
  <si>
    <t>UFV-M-647</t>
  </si>
  <si>
    <t>UFV-M-648</t>
  </si>
  <si>
    <t>UFV-M-649</t>
  </si>
  <si>
    <t>Eucager Imperio do Eucalipto LTDA</t>
  </si>
  <si>
    <t>Bom Jesus do Norte</t>
  </si>
  <si>
    <t>ES</t>
  </si>
  <si>
    <t>eucager@gmai.com</t>
  </si>
  <si>
    <t>6 a 8 COD 2</t>
  </si>
  <si>
    <t>6 a 10 COD 1</t>
  </si>
  <si>
    <t>Zones Tratamento de Madeira LTDA</t>
  </si>
  <si>
    <t>AME-04 12x14 6f</t>
  </si>
  <si>
    <t>AME-01 10 a 12 5f</t>
  </si>
  <si>
    <t>AME-02 14 a 16 6f</t>
  </si>
  <si>
    <t>AME-03 18 a 20</t>
  </si>
  <si>
    <t>AME-01 08 a 10 6F</t>
  </si>
  <si>
    <t>AME-04 16X18 6F</t>
  </si>
  <si>
    <t>AME-03 12X14 5F</t>
  </si>
  <si>
    <t>Mourão 17 a 20 cm</t>
  </si>
  <si>
    <t>Citrodoro Comercio e Tratamento de madeira LTDA</t>
  </si>
  <si>
    <t>Lucianopolis</t>
  </si>
  <si>
    <t>madeiracitrodoro@uol.com.br</t>
  </si>
  <si>
    <t>31/12/2025 Concentração 135/28</t>
  </si>
  <si>
    <t>19/12/2025 Concentração 135/26</t>
  </si>
  <si>
    <t>UFV-M-650</t>
  </si>
  <si>
    <t>UFV-M-651</t>
  </si>
  <si>
    <t>UFV-M-652</t>
  </si>
  <si>
    <t>UFV-M-653</t>
  </si>
  <si>
    <t>UFV-M-654</t>
  </si>
  <si>
    <t>UFV-M-655</t>
  </si>
  <si>
    <t>UFV-M-656</t>
  </si>
  <si>
    <t>UFV-M-657</t>
  </si>
  <si>
    <t>UFV-M-658</t>
  </si>
  <si>
    <t>UFV-M-659</t>
  </si>
  <si>
    <t>UFV-M-660</t>
  </si>
  <si>
    <t>01</t>
  </si>
  <si>
    <t>02</t>
  </si>
  <si>
    <t>03</t>
  </si>
  <si>
    <t>04</t>
  </si>
  <si>
    <t>05</t>
  </si>
  <si>
    <t>06</t>
  </si>
  <si>
    <t>Vale do Tiete Bariri Industria e Comercio de Madeiras LTDA</t>
  </si>
  <si>
    <t>Bariri</t>
  </si>
  <si>
    <t>juliocesaralice@hotmail.com</t>
  </si>
  <si>
    <t>Solução1</t>
  </si>
  <si>
    <t>Solução2</t>
  </si>
  <si>
    <t>Pedra Petra</t>
  </si>
  <si>
    <t>UFV-M-661</t>
  </si>
  <si>
    <t>UFV-M-662</t>
  </si>
  <si>
    <t>UFV-M-663</t>
  </si>
  <si>
    <t>UFV-M-664</t>
  </si>
  <si>
    <t>UFV-M-665</t>
  </si>
  <si>
    <t>UFV-M-666</t>
  </si>
  <si>
    <t>UFV-M-667</t>
  </si>
  <si>
    <t>UFV-M-668</t>
  </si>
  <si>
    <t>UFV-M-669</t>
  </si>
  <si>
    <t>Tratamento = 18</t>
  </si>
  <si>
    <t>Tratamento = 39</t>
  </si>
  <si>
    <t xml:space="preserve"> Tratamento = 23</t>
  </si>
  <si>
    <t>Tratamento = 4</t>
  </si>
  <si>
    <t>Madimune MT</t>
  </si>
  <si>
    <t>01/26</t>
  </si>
  <si>
    <t>UFV-M-670</t>
  </si>
  <si>
    <t>Amostra 4</t>
  </si>
  <si>
    <t>Amostra 5</t>
  </si>
  <si>
    <t>NBR 16144</t>
  </si>
  <si>
    <t>NBR 16145</t>
  </si>
  <si>
    <t>NBR 16146</t>
  </si>
  <si>
    <t>NBR 16147</t>
  </si>
  <si>
    <t>NBR 16148</t>
  </si>
  <si>
    <t>Concentração 2.1</t>
  </si>
  <si>
    <t xml:space="preserve">MG </t>
  </si>
  <si>
    <t>I13</t>
  </si>
  <si>
    <t>I14</t>
  </si>
  <si>
    <t>I15</t>
  </si>
  <si>
    <t>Amostra 11</t>
  </si>
  <si>
    <t>Amostra 12</t>
  </si>
  <si>
    <t>Amostra 15</t>
  </si>
  <si>
    <t>UFV-M-671</t>
  </si>
  <si>
    <t>UFV-M-672</t>
  </si>
  <si>
    <t>UFV-M-673</t>
  </si>
  <si>
    <t>UFV-M-674</t>
  </si>
  <si>
    <t>UFV-M-675</t>
  </si>
  <si>
    <t>UFV-M-676</t>
  </si>
  <si>
    <t>UFV-M-677</t>
  </si>
  <si>
    <t>UFV-M-678</t>
  </si>
  <si>
    <t>UFV-M-679</t>
  </si>
  <si>
    <t>Curupira Eucaliptus Tratados LTDA</t>
  </si>
  <si>
    <t>São Joao do Paraiso</t>
  </si>
  <si>
    <t>06 A 08 X2.2-1.6</t>
  </si>
  <si>
    <t>08 A 10 X2.2-1.5</t>
  </si>
  <si>
    <t>06 A 08 X2.2-1.3</t>
  </si>
  <si>
    <t>06 A 08 X2.2-1.4</t>
  </si>
  <si>
    <t>20 A 25x3000 1°C</t>
  </si>
  <si>
    <t>12 A 15x2200 02 4°c</t>
  </si>
  <si>
    <t>12 A 15x2200 01 4°c</t>
  </si>
  <si>
    <t>20 A 25x3000 2°C</t>
  </si>
  <si>
    <t>Solução + Água do Poço</t>
  </si>
  <si>
    <t>Madeiras Tratadas Angrolândia</t>
  </si>
  <si>
    <t>Angrolândia</t>
  </si>
  <si>
    <t>contato@mtanadeiras.com.br</t>
  </si>
  <si>
    <t>Amosta 1 15/01/2026</t>
  </si>
  <si>
    <t>Amostra 2 21/01/2026</t>
  </si>
  <si>
    <t>Solução 21/01/2026</t>
  </si>
  <si>
    <t>curupiraeucaliptostratados@gmail.com</t>
  </si>
  <si>
    <t>03/26</t>
  </si>
  <si>
    <t>10/02/206</t>
  </si>
  <si>
    <t>UFV-S-100</t>
  </si>
  <si>
    <t>UFV-S-101</t>
  </si>
  <si>
    <t>UFV-S-102</t>
  </si>
  <si>
    <t>UFV-S-103</t>
  </si>
  <si>
    <t>UFV-S-104</t>
  </si>
  <si>
    <t>UFV-S-105</t>
  </si>
  <si>
    <t>02/26</t>
  </si>
  <si>
    <t>UFV-M-680</t>
  </si>
  <si>
    <t>UFV-M-681</t>
  </si>
  <si>
    <t>UFV-M-682</t>
  </si>
  <si>
    <t>UFV-M-683</t>
  </si>
  <si>
    <t>UFV-M-684</t>
  </si>
  <si>
    <t>UFV-M-685</t>
  </si>
  <si>
    <t>UFV-M-686</t>
  </si>
  <si>
    <t>UFV-M-687</t>
  </si>
  <si>
    <t>UFV-M-688</t>
  </si>
  <si>
    <t>UFV-M-689</t>
  </si>
  <si>
    <t>UFV-M-690</t>
  </si>
  <si>
    <t>Amostra  A 01</t>
  </si>
  <si>
    <t>Amostra  A 02</t>
  </si>
  <si>
    <t>Amostra  A 03</t>
  </si>
  <si>
    <t>Amostra  A 04</t>
  </si>
  <si>
    <t>Amostra  A 05</t>
  </si>
  <si>
    <t>Amostra  B 01</t>
  </si>
  <si>
    <t>Amostra  B 02</t>
  </si>
  <si>
    <t>Amostra  B 03</t>
  </si>
  <si>
    <t>Amostra  B 04</t>
  </si>
  <si>
    <t>Amostra  B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</si>
</sst>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0" borderId="1" xfId="2" applyBorder="1" applyAlignment="1">
      <alignment horizontal="center"/>
    </xf>
    <xf numFmtId="49" fontId="6" fillId="0" borderId="1" xfId="2" applyNumberForma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49" fontId="6" fillId="0" borderId="1" xfId="2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6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Outros\Analises_Particulares\Planilha_controle.xlsx" TargetMode="External"/><Relationship Id="rId1" Type="http://schemas.openxmlformats.org/officeDocument/2006/relationships/externalLinkPath" Target="/Users/Usuario/Desktop/Outros/Analises_Particulares/Planilha_cont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deira Tratada"/>
      <sheetName val="Solução Preservativa"/>
      <sheetName val="Listas suspensas"/>
    </sheetNames>
    <sheetDataSet>
      <sheetData sheetId="0"/>
      <sheetData sheetId="1"/>
      <sheetData sheetId="2">
        <row r="2">
          <cell r="A2">
            <v>1</v>
          </cell>
          <cell r="B2" t="str">
            <v>Profunda e regular</v>
          </cell>
          <cell r="C2" t="str">
            <v>Indica a penetração profunda e uniforme em toda a extensão do alburno.</v>
          </cell>
        </row>
        <row r="3">
          <cell r="A3">
            <v>2</v>
          </cell>
          <cell r="B3" t="str">
            <v>Profunda e irregular</v>
          </cell>
          <cell r="C3" t="str">
            <v>Indica a penetração profunda, mas desuniforme em toda a extensão do alburno.</v>
          </cell>
        </row>
        <row r="4">
          <cell r="A4">
            <v>3</v>
          </cell>
          <cell r="B4" t="str">
            <v xml:space="preserve"> Parcial e regular</v>
          </cell>
          <cell r="C4" t="str">
            <v>Indica a penetração uniforme, mas não total pela extensão do alburno.</v>
          </cell>
        </row>
        <row r="5">
          <cell r="A5">
            <v>4</v>
          </cell>
          <cell r="B5" t="str">
            <v>Parcial e irregular</v>
          </cell>
          <cell r="C5" t="str">
            <v>Indica a penetração desuniforme e não total pela extensão do alburno.</v>
          </cell>
        </row>
        <row r="6">
          <cell r="A6">
            <v>5</v>
          </cell>
          <cell r="B6" t="str">
            <v>Sem Reação do Cromoazurol</v>
          </cell>
          <cell r="C6" t="str">
            <v>Sem Reação do Cromoazurol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usina@tratanorte.com" TargetMode="External"/><Relationship Id="rId299" Type="http://schemas.openxmlformats.org/officeDocument/2006/relationships/hyperlink" Target="mailto:madimunemt@gmail.com" TargetMode="External"/><Relationship Id="rId21" Type="http://schemas.openxmlformats.org/officeDocument/2006/relationships/hyperlink" Target="mailto:julio.andrighetti@rar.ind.br" TargetMode="External"/><Relationship Id="rId63" Type="http://schemas.openxmlformats.org/officeDocument/2006/relationships/hyperlink" Target="mailto:madimunemt@gmail.com" TargetMode="External"/><Relationship Id="rId159" Type="http://schemas.openxmlformats.org/officeDocument/2006/relationships/hyperlink" Target="mailto:madimunecoxim@gmail.com" TargetMode="External"/><Relationship Id="rId324" Type="http://schemas.openxmlformats.org/officeDocument/2006/relationships/hyperlink" Target="mailto:adm@itamatra.com.br" TargetMode="External"/><Relationship Id="rId170" Type="http://schemas.openxmlformats.org/officeDocument/2006/relationships/hyperlink" Target="mailto:fhsmadeiras@hotmail.com" TargetMode="External"/><Relationship Id="rId226" Type="http://schemas.openxmlformats.org/officeDocument/2006/relationships/hyperlink" Target="mailto:fabiana@usinaAraucaria.combr" TargetMode="External"/><Relationship Id="rId268" Type="http://schemas.openxmlformats.org/officeDocument/2006/relationships/hyperlink" Target="mailto:usina@tratanorte.com" TargetMode="External"/><Relationship Id="rId32" Type="http://schemas.openxmlformats.org/officeDocument/2006/relationships/hyperlink" Target="mailto:secretaria@utramadmg.com" TargetMode="External"/><Relationship Id="rId74" Type="http://schemas.openxmlformats.org/officeDocument/2006/relationships/hyperlink" Target="mailto:adm@bitalagro.com.br" TargetMode="External"/><Relationship Id="rId128" Type="http://schemas.openxmlformats.org/officeDocument/2006/relationships/hyperlink" Target="mailto:pires@florestaltratamadeira.com.br" TargetMode="External"/><Relationship Id="rId5" Type="http://schemas.openxmlformats.org/officeDocument/2006/relationships/hyperlink" Target="mailto:tratasul@yahoo.com.br" TargetMode="External"/><Relationship Id="rId181" Type="http://schemas.openxmlformats.org/officeDocument/2006/relationships/hyperlink" Target="mailto:aroeira.horlando@gmail.com" TargetMode="External"/><Relationship Id="rId237" Type="http://schemas.openxmlformats.org/officeDocument/2006/relationships/hyperlink" Target="mailto:madeireiralltodaserra@gmail.com" TargetMode="External"/><Relationship Id="rId279" Type="http://schemas.openxmlformats.org/officeDocument/2006/relationships/hyperlink" Target="mailto:adm@bitalagro.com.br" TargetMode="External"/><Relationship Id="rId43" Type="http://schemas.openxmlformats.org/officeDocument/2006/relationships/hyperlink" Target="mailto:luamadeira@luamadeira.com.br" TargetMode="External"/><Relationship Id="rId139" Type="http://schemas.openxmlformats.org/officeDocument/2006/relationships/hyperlink" Target="mailto:usina@petras.ind.br" TargetMode="External"/><Relationship Id="rId290" Type="http://schemas.openxmlformats.org/officeDocument/2006/relationships/hyperlink" Target="mailto:usina@tratanorte.com" TargetMode="External"/><Relationship Id="rId304" Type="http://schemas.openxmlformats.org/officeDocument/2006/relationships/hyperlink" Target="mailto:vendas@vidalonga.ind.br" TargetMode="External"/><Relationship Id="rId85" Type="http://schemas.openxmlformats.org/officeDocument/2006/relationships/hyperlink" Target="mailto:madimunemt@gmail.com" TargetMode="External"/><Relationship Id="rId150" Type="http://schemas.openxmlformats.org/officeDocument/2006/relationships/hyperlink" Target="mailto:aroeira.horlando@gmail.com" TargetMode="External"/><Relationship Id="rId192" Type="http://schemas.openxmlformats.org/officeDocument/2006/relationships/hyperlink" Target="mailto:stwood@stwood.com.br" TargetMode="External"/><Relationship Id="rId206" Type="http://schemas.openxmlformats.org/officeDocument/2006/relationships/hyperlink" Target="mailto:vendas@vidalonga.ind.br" TargetMode="External"/><Relationship Id="rId248" Type="http://schemas.openxmlformats.org/officeDocument/2006/relationships/hyperlink" Target="mailto:eucatrat@eucatrat.com.br" TargetMode="External"/><Relationship Id="rId12" Type="http://schemas.openxmlformats.org/officeDocument/2006/relationships/hyperlink" Target="mailto:luamadeira@luamadeira.com.br" TargetMode="External"/><Relationship Id="rId108" Type="http://schemas.openxmlformats.org/officeDocument/2006/relationships/hyperlink" Target="mailto:usina@tratanorte.com" TargetMode="External"/><Relationship Id="rId315" Type="http://schemas.openxmlformats.org/officeDocument/2006/relationships/hyperlink" Target="mailto:comprasgm01@outlook.com" TargetMode="External"/><Relationship Id="rId54" Type="http://schemas.openxmlformats.org/officeDocument/2006/relationships/hyperlink" Target="mailto:adm@bitalagro.com.br" TargetMode="External"/><Relationship Id="rId96" Type="http://schemas.openxmlformats.org/officeDocument/2006/relationships/hyperlink" Target="mailto:adm@bitalagro.com.br" TargetMode="External"/><Relationship Id="rId161" Type="http://schemas.openxmlformats.org/officeDocument/2006/relationships/hyperlink" Target="mailto:eucalidertdm@gmail.com" TargetMode="External"/><Relationship Id="rId217" Type="http://schemas.openxmlformats.org/officeDocument/2006/relationships/hyperlink" Target="mailto:diego@status.combr" TargetMode="External"/><Relationship Id="rId259" Type="http://schemas.openxmlformats.org/officeDocument/2006/relationships/hyperlink" Target="mailto:pires@florestaltratamadeira.com.br" TargetMode="External"/><Relationship Id="rId23" Type="http://schemas.openxmlformats.org/officeDocument/2006/relationships/hyperlink" Target="mailto:madimunecoxim@gmail.com" TargetMode="External"/><Relationship Id="rId119" Type="http://schemas.openxmlformats.org/officeDocument/2006/relationships/hyperlink" Target="mailto:usina@tratanorte.com" TargetMode="External"/><Relationship Id="rId270" Type="http://schemas.openxmlformats.org/officeDocument/2006/relationships/hyperlink" Target="mailto:adm@bitalagro.com.br" TargetMode="External"/><Relationship Id="rId326" Type="http://schemas.openxmlformats.org/officeDocument/2006/relationships/hyperlink" Target="mailto:adm@itamatra.com.br" TargetMode="External"/><Relationship Id="rId65" Type="http://schemas.openxmlformats.org/officeDocument/2006/relationships/hyperlink" Target="mailto:adm@bitalagro.com.br" TargetMode="External"/><Relationship Id="rId130" Type="http://schemas.openxmlformats.org/officeDocument/2006/relationships/hyperlink" Target="mailto:escritorio@mt4irmaos.com.br" TargetMode="External"/><Relationship Id="rId172" Type="http://schemas.openxmlformats.org/officeDocument/2006/relationships/hyperlink" Target="mailto:madeireiraaltodaserra10@gmail.com" TargetMode="External"/><Relationship Id="rId228" Type="http://schemas.openxmlformats.org/officeDocument/2006/relationships/hyperlink" Target="mailto:fabiana@usinaAraucaria.combr" TargetMode="External"/><Relationship Id="rId281" Type="http://schemas.openxmlformats.org/officeDocument/2006/relationships/hyperlink" Target="mailto:eucager@gmai.com" TargetMode="External"/><Relationship Id="rId34" Type="http://schemas.openxmlformats.org/officeDocument/2006/relationships/hyperlink" Target="mailto:qualidade@madtrat.com.br" TargetMode="External"/><Relationship Id="rId76" Type="http://schemas.openxmlformats.org/officeDocument/2006/relationships/hyperlink" Target="mailto:scmadeira21@gmail.com" TargetMode="External"/><Relationship Id="rId141" Type="http://schemas.openxmlformats.org/officeDocument/2006/relationships/hyperlink" Target="mailto:usina@petras.ind.br" TargetMode="External"/><Relationship Id="rId7" Type="http://schemas.openxmlformats.org/officeDocument/2006/relationships/hyperlink" Target="mailto:luamadeira@luamadeira.com.br" TargetMode="External"/><Relationship Id="rId183" Type="http://schemas.openxmlformats.org/officeDocument/2006/relationships/hyperlink" Target="mailto:aroeira.horlando@gmail.com" TargetMode="External"/><Relationship Id="rId239" Type="http://schemas.openxmlformats.org/officeDocument/2006/relationships/hyperlink" Target="mailto:stwood@stwood.com.br" TargetMode="External"/><Relationship Id="rId250" Type="http://schemas.openxmlformats.org/officeDocument/2006/relationships/hyperlink" Target="mailto:adm@itamatra.com.br" TargetMode="External"/><Relationship Id="rId271" Type="http://schemas.openxmlformats.org/officeDocument/2006/relationships/hyperlink" Target="mailto:adm@bitalagro.com.br" TargetMode="External"/><Relationship Id="rId292" Type="http://schemas.openxmlformats.org/officeDocument/2006/relationships/hyperlink" Target="mailto:juliocesaralice@hotmail.com" TargetMode="External"/><Relationship Id="rId306" Type="http://schemas.openxmlformats.org/officeDocument/2006/relationships/hyperlink" Target="mailto:vendas@vidalonga.ind.br" TargetMode="External"/><Relationship Id="rId24" Type="http://schemas.openxmlformats.org/officeDocument/2006/relationships/hyperlink" Target="mailto:madimunecoxim@gmail.com" TargetMode="External"/><Relationship Id="rId45" Type="http://schemas.openxmlformats.org/officeDocument/2006/relationships/hyperlink" Target="mailto:madimunecoxim@gmail.com" TargetMode="External"/><Relationship Id="rId66" Type="http://schemas.openxmlformats.org/officeDocument/2006/relationships/hyperlink" Target="mailto:adm@bitalagro.com.br" TargetMode="External"/><Relationship Id="rId87" Type="http://schemas.openxmlformats.org/officeDocument/2006/relationships/hyperlink" Target="mailto:adm@bitalagro.com.br" TargetMode="External"/><Relationship Id="rId110" Type="http://schemas.openxmlformats.org/officeDocument/2006/relationships/hyperlink" Target="mailto:crmadeiratratada@hotmail.com" TargetMode="External"/><Relationship Id="rId131" Type="http://schemas.openxmlformats.org/officeDocument/2006/relationships/hyperlink" Target="mailto:escritorio@mt4irmaos.com.br" TargetMode="External"/><Relationship Id="rId327" Type="http://schemas.openxmlformats.org/officeDocument/2006/relationships/hyperlink" Target="mailto:adm@itamatra.com.br" TargetMode="External"/><Relationship Id="rId152" Type="http://schemas.openxmlformats.org/officeDocument/2006/relationships/hyperlink" Target="mailto:aroeira.horlando@gmail.com" TargetMode="External"/><Relationship Id="rId173" Type="http://schemas.openxmlformats.org/officeDocument/2006/relationships/hyperlink" Target="mailto:madeireiraaltodaserra10@gmail.com" TargetMode="External"/><Relationship Id="rId194" Type="http://schemas.openxmlformats.org/officeDocument/2006/relationships/hyperlink" Target="mailto:stwood@stwood.com.br" TargetMode="External"/><Relationship Id="rId208" Type="http://schemas.openxmlformats.org/officeDocument/2006/relationships/hyperlink" Target="mailto:adm@bitalagro.com.br" TargetMode="External"/><Relationship Id="rId229" Type="http://schemas.openxmlformats.org/officeDocument/2006/relationships/hyperlink" Target="mailto:fabiana@usinaAraucaria.combr" TargetMode="External"/><Relationship Id="rId240" Type="http://schemas.openxmlformats.org/officeDocument/2006/relationships/hyperlink" Target="mailto:stwood@stwood.com.br" TargetMode="External"/><Relationship Id="rId261" Type="http://schemas.openxmlformats.org/officeDocument/2006/relationships/hyperlink" Target="mailto:pires@florestaltratamadeira.com.br" TargetMode="External"/><Relationship Id="rId14" Type="http://schemas.openxmlformats.org/officeDocument/2006/relationships/hyperlink" Target="mailto:serrarialoureiro@hotmail.com" TargetMode="External"/><Relationship Id="rId35" Type="http://schemas.openxmlformats.org/officeDocument/2006/relationships/hyperlink" Target="mailto:madimunecoxim@gmail.com" TargetMode="External"/><Relationship Id="rId56" Type="http://schemas.openxmlformats.org/officeDocument/2006/relationships/hyperlink" Target="mailto:adm@bitalagro.com.br" TargetMode="External"/><Relationship Id="rId77" Type="http://schemas.openxmlformats.org/officeDocument/2006/relationships/hyperlink" Target="mailto:scmadeira21@gmail.com" TargetMode="External"/><Relationship Id="rId100" Type="http://schemas.openxmlformats.org/officeDocument/2006/relationships/hyperlink" Target="mailto:scmadeira21@gmail.com" TargetMode="External"/><Relationship Id="rId282" Type="http://schemas.openxmlformats.org/officeDocument/2006/relationships/hyperlink" Target="mailto:eucager@gmai.com" TargetMode="External"/><Relationship Id="rId317" Type="http://schemas.openxmlformats.org/officeDocument/2006/relationships/hyperlink" Target="mailto:contato@mtanadeiras.com.br" TargetMode="External"/><Relationship Id="rId8" Type="http://schemas.openxmlformats.org/officeDocument/2006/relationships/hyperlink" Target="mailto:luamadeira@luamadeira.com.br" TargetMode="External"/><Relationship Id="rId98" Type="http://schemas.openxmlformats.org/officeDocument/2006/relationships/hyperlink" Target="mailto:scmadeira21@gmail.com" TargetMode="External"/><Relationship Id="rId121" Type="http://schemas.openxmlformats.org/officeDocument/2006/relationships/hyperlink" Target="mailto:madimunecoxim@gmail.com" TargetMode="External"/><Relationship Id="rId142" Type="http://schemas.openxmlformats.org/officeDocument/2006/relationships/hyperlink" Target="mailto:usina@petras.ind.br" TargetMode="External"/><Relationship Id="rId163" Type="http://schemas.openxmlformats.org/officeDocument/2006/relationships/hyperlink" Target="mailto:eucalidertdm@gmail.com" TargetMode="External"/><Relationship Id="rId184" Type="http://schemas.openxmlformats.org/officeDocument/2006/relationships/hyperlink" Target="mailto:aroeira.horlando@gmail.com" TargetMode="External"/><Relationship Id="rId219" Type="http://schemas.openxmlformats.org/officeDocument/2006/relationships/hyperlink" Target="mailto:comprasgm01@outlook.com" TargetMode="External"/><Relationship Id="rId230" Type="http://schemas.openxmlformats.org/officeDocument/2006/relationships/hyperlink" Target="mailto:fabiana@usinaAraucaria.combr" TargetMode="External"/><Relationship Id="rId251" Type="http://schemas.openxmlformats.org/officeDocument/2006/relationships/hyperlink" Target="mailto:adm@itamatra.com.br" TargetMode="External"/><Relationship Id="rId25" Type="http://schemas.openxmlformats.org/officeDocument/2006/relationships/hyperlink" Target="mailto:secretaria@utramadmg.com" TargetMode="External"/><Relationship Id="rId46" Type="http://schemas.openxmlformats.org/officeDocument/2006/relationships/hyperlink" Target="mailto:madimunemt@gmail.com" TargetMode="External"/><Relationship Id="rId67" Type="http://schemas.openxmlformats.org/officeDocument/2006/relationships/hyperlink" Target="mailto:adm@bitalagro.com.br" TargetMode="External"/><Relationship Id="rId272" Type="http://schemas.openxmlformats.org/officeDocument/2006/relationships/hyperlink" Target="mailto:madimunecoxim@gmail.com" TargetMode="External"/><Relationship Id="rId293" Type="http://schemas.openxmlformats.org/officeDocument/2006/relationships/hyperlink" Target="mailto:juliocesaralice@hotmail.com" TargetMode="External"/><Relationship Id="rId307" Type="http://schemas.openxmlformats.org/officeDocument/2006/relationships/hyperlink" Target="mailto:vendas@vidalonga.ind.br" TargetMode="External"/><Relationship Id="rId328" Type="http://schemas.openxmlformats.org/officeDocument/2006/relationships/hyperlink" Target="mailto:adm@itamatra.com.br" TargetMode="External"/><Relationship Id="rId88" Type="http://schemas.openxmlformats.org/officeDocument/2006/relationships/hyperlink" Target="mailto:adm@bitalagro.com.br" TargetMode="External"/><Relationship Id="rId111" Type="http://schemas.openxmlformats.org/officeDocument/2006/relationships/hyperlink" Target="mailto:crmadeiratratada@hotmail.com" TargetMode="External"/><Relationship Id="rId132" Type="http://schemas.openxmlformats.org/officeDocument/2006/relationships/hyperlink" Target="mailto:escritorio@mt4irmaos.com.br" TargetMode="External"/><Relationship Id="rId153" Type="http://schemas.openxmlformats.org/officeDocument/2006/relationships/hyperlink" Target="mailto:aroeira.horlando@gmail.com" TargetMode="External"/><Relationship Id="rId174" Type="http://schemas.openxmlformats.org/officeDocument/2006/relationships/hyperlink" Target="mailto:madeireiraaltodaserra10@gmail.com" TargetMode="External"/><Relationship Id="rId195" Type="http://schemas.openxmlformats.org/officeDocument/2006/relationships/hyperlink" Target="mailto:eucatrat@eucatrat.com.br" TargetMode="External"/><Relationship Id="rId209" Type="http://schemas.openxmlformats.org/officeDocument/2006/relationships/hyperlink" Target="mailto:adm@bitalagro.com.br" TargetMode="External"/><Relationship Id="rId220" Type="http://schemas.openxmlformats.org/officeDocument/2006/relationships/hyperlink" Target="mailto:rm.eucaliptos@gmail.com" TargetMode="External"/><Relationship Id="rId241" Type="http://schemas.openxmlformats.org/officeDocument/2006/relationships/hyperlink" Target="mailto:stwood@stwood.com.br" TargetMode="External"/><Relationship Id="rId15" Type="http://schemas.openxmlformats.org/officeDocument/2006/relationships/hyperlink" Target="mailto:serrarialoureiro@hotmail.com" TargetMode="External"/><Relationship Id="rId36" Type="http://schemas.openxmlformats.org/officeDocument/2006/relationships/hyperlink" Target="mailto:madimunecoxim@gmail.com" TargetMode="External"/><Relationship Id="rId57" Type="http://schemas.openxmlformats.org/officeDocument/2006/relationships/hyperlink" Target="mailto:adm@bitalagro.com.br" TargetMode="External"/><Relationship Id="rId262" Type="http://schemas.openxmlformats.org/officeDocument/2006/relationships/hyperlink" Target="mailto:pires@florestaltratamadeira.com.br" TargetMode="External"/><Relationship Id="rId283" Type="http://schemas.openxmlformats.org/officeDocument/2006/relationships/hyperlink" Target="mailto:usina@tratanorte.com" TargetMode="External"/><Relationship Id="rId318" Type="http://schemas.openxmlformats.org/officeDocument/2006/relationships/hyperlink" Target="mailto:curupiraeucaliptostratados@gmail.com" TargetMode="External"/><Relationship Id="rId78" Type="http://schemas.openxmlformats.org/officeDocument/2006/relationships/hyperlink" Target="mailto:scmadeira21@gmail.com" TargetMode="External"/><Relationship Id="rId99" Type="http://schemas.openxmlformats.org/officeDocument/2006/relationships/hyperlink" Target="mailto:scmadeira21@gmail.com" TargetMode="External"/><Relationship Id="rId101" Type="http://schemas.openxmlformats.org/officeDocument/2006/relationships/hyperlink" Target="mailto:adm@bitalagro.com.br" TargetMode="External"/><Relationship Id="rId122" Type="http://schemas.openxmlformats.org/officeDocument/2006/relationships/hyperlink" Target="mailto:madimunecoxim@gmail.com" TargetMode="External"/><Relationship Id="rId143" Type="http://schemas.openxmlformats.org/officeDocument/2006/relationships/hyperlink" Target="mailto:usina@petras.ind.br" TargetMode="External"/><Relationship Id="rId164" Type="http://schemas.openxmlformats.org/officeDocument/2006/relationships/hyperlink" Target="mailto:eucalidertdm@gmail.com" TargetMode="External"/><Relationship Id="rId185" Type="http://schemas.openxmlformats.org/officeDocument/2006/relationships/hyperlink" Target="mailto:aroeira.horlando@gmail.com" TargetMode="External"/><Relationship Id="rId9" Type="http://schemas.openxmlformats.org/officeDocument/2006/relationships/hyperlink" Target="mailto:luamadeira@luamadeira.com.br" TargetMode="External"/><Relationship Id="rId210" Type="http://schemas.openxmlformats.org/officeDocument/2006/relationships/hyperlink" Target="mailto:aroira.horlando@gmail.com" TargetMode="External"/><Relationship Id="rId26" Type="http://schemas.openxmlformats.org/officeDocument/2006/relationships/hyperlink" Target="mailto:secretaria@utramadmg.com" TargetMode="External"/><Relationship Id="rId231" Type="http://schemas.openxmlformats.org/officeDocument/2006/relationships/hyperlink" Target="mailto:fabiana@usinaAraucaria.combr" TargetMode="External"/><Relationship Id="rId252" Type="http://schemas.openxmlformats.org/officeDocument/2006/relationships/hyperlink" Target="mailto:adm@itamatra.com.br" TargetMode="External"/><Relationship Id="rId273" Type="http://schemas.openxmlformats.org/officeDocument/2006/relationships/hyperlink" Target="mailto:comprasgm01@outlook.com" TargetMode="External"/><Relationship Id="rId294" Type="http://schemas.openxmlformats.org/officeDocument/2006/relationships/hyperlink" Target="mailto:juliocesaralice@hotmail.com" TargetMode="External"/><Relationship Id="rId308" Type="http://schemas.openxmlformats.org/officeDocument/2006/relationships/hyperlink" Target="mailto:luamadeira@luamadeira.com.br" TargetMode="External"/><Relationship Id="rId329" Type="http://schemas.openxmlformats.org/officeDocument/2006/relationships/hyperlink" Target="mailto:adm@itamatra.com.br" TargetMode="External"/><Relationship Id="rId47" Type="http://schemas.openxmlformats.org/officeDocument/2006/relationships/hyperlink" Target="mailto:madimunemt@gmail.com" TargetMode="External"/><Relationship Id="rId68" Type="http://schemas.openxmlformats.org/officeDocument/2006/relationships/hyperlink" Target="mailto:adm@bitalagro.com.br" TargetMode="External"/><Relationship Id="rId89" Type="http://schemas.openxmlformats.org/officeDocument/2006/relationships/hyperlink" Target="mailto:adm@bitalagro.com.br" TargetMode="External"/><Relationship Id="rId112" Type="http://schemas.openxmlformats.org/officeDocument/2006/relationships/hyperlink" Target="mailto:crmadeiratratada@hotmail.com" TargetMode="External"/><Relationship Id="rId133" Type="http://schemas.openxmlformats.org/officeDocument/2006/relationships/hyperlink" Target="mailto:escritorio@mt4irmaos.com.br" TargetMode="External"/><Relationship Id="rId154" Type="http://schemas.openxmlformats.org/officeDocument/2006/relationships/hyperlink" Target="mailto:scmadeira21@gmail.com" TargetMode="External"/><Relationship Id="rId175" Type="http://schemas.openxmlformats.org/officeDocument/2006/relationships/hyperlink" Target="mailto:madeireiraaltodaserra10@gmail.com" TargetMode="External"/><Relationship Id="rId196" Type="http://schemas.openxmlformats.org/officeDocument/2006/relationships/hyperlink" Target="mailto:vendas@preservale.ind.br" TargetMode="External"/><Relationship Id="rId200" Type="http://schemas.openxmlformats.org/officeDocument/2006/relationships/hyperlink" Target="mailto:financeiro@santaritamadeiras.com" TargetMode="External"/><Relationship Id="rId16" Type="http://schemas.openxmlformats.org/officeDocument/2006/relationships/hyperlink" Target="mailto:qualidade@madtrat.com.br" TargetMode="External"/><Relationship Id="rId221" Type="http://schemas.openxmlformats.org/officeDocument/2006/relationships/hyperlink" Target="mailto:rm.eucaliptos@gmail.com" TargetMode="External"/><Relationship Id="rId242" Type="http://schemas.openxmlformats.org/officeDocument/2006/relationships/hyperlink" Target="mailto:stwood@stwood.com.br" TargetMode="External"/><Relationship Id="rId263" Type="http://schemas.openxmlformats.org/officeDocument/2006/relationships/hyperlink" Target="mailto:comprasgm01@outlook.com" TargetMode="External"/><Relationship Id="rId284" Type="http://schemas.openxmlformats.org/officeDocument/2006/relationships/hyperlink" Target="mailto:madeiracitrodoro@uol.com.br" TargetMode="External"/><Relationship Id="rId319" Type="http://schemas.openxmlformats.org/officeDocument/2006/relationships/hyperlink" Target="mailto:madimunecoxim@gmail.com" TargetMode="External"/><Relationship Id="rId37" Type="http://schemas.openxmlformats.org/officeDocument/2006/relationships/hyperlink" Target="mailto:madimunecoxim@gmail.com" TargetMode="External"/><Relationship Id="rId58" Type="http://schemas.openxmlformats.org/officeDocument/2006/relationships/hyperlink" Target="mailto:adm@bitalagro.com.br" TargetMode="External"/><Relationship Id="rId79" Type="http://schemas.openxmlformats.org/officeDocument/2006/relationships/hyperlink" Target="mailto:adm@bitalagro.com.br" TargetMode="External"/><Relationship Id="rId102" Type="http://schemas.openxmlformats.org/officeDocument/2006/relationships/hyperlink" Target="mailto:adm@bitalagro.com.br" TargetMode="External"/><Relationship Id="rId123" Type="http://schemas.openxmlformats.org/officeDocument/2006/relationships/hyperlink" Target="mailto:madimunecoxim@gmail.com" TargetMode="External"/><Relationship Id="rId144" Type="http://schemas.openxmlformats.org/officeDocument/2006/relationships/hyperlink" Target="mailto:usina@petras.ind.br" TargetMode="External"/><Relationship Id="rId330" Type="http://schemas.openxmlformats.org/officeDocument/2006/relationships/printerSettings" Target="../printerSettings/printerSettings1.bin"/><Relationship Id="rId90" Type="http://schemas.openxmlformats.org/officeDocument/2006/relationships/hyperlink" Target="mailto:adm@bitalagro.com.br" TargetMode="External"/><Relationship Id="rId165" Type="http://schemas.openxmlformats.org/officeDocument/2006/relationships/hyperlink" Target="mailto:violho@gmail.com" TargetMode="External"/><Relationship Id="rId186" Type="http://schemas.openxmlformats.org/officeDocument/2006/relationships/hyperlink" Target="mailto:aroeira.horlando@gmail.com" TargetMode="External"/><Relationship Id="rId211" Type="http://schemas.openxmlformats.org/officeDocument/2006/relationships/hyperlink" Target="mailto:aroira.horlando@gmail.com" TargetMode="External"/><Relationship Id="rId232" Type="http://schemas.openxmlformats.org/officeDocument/2006/relationships/hyperlink" Target="mailto:fabiana@usinaAraucaria.combr" TargetMode="External"/><Relationship Id="rId253" Type="http://schemas.openxmlformats.org/officeDocument/2006/relationships/hyperlink" Target="mailto:adm@itamatra.com.br" TargetMode="External"/><Relationship Id="rId274" Type="http://schemas.openxmlformats.org/officeDocument/2006/relationships/hyperlink" Target="mailto:comprasgm01@outlook.com" TargetMode="External"/><Relationship Id="rId295" Type="http://schemas.openxmlformats.org/officeDocument/2006/relationships/hyperlink" Target="mailto:juliocesaralice@hotmail.com" TargetMode="External"/><Relationship Id="rId309" Type="http://schemas.openxmlformats.org/officeDocument/2006/relationships/hyperlink" Target="mailto:luamadeira@luamadeira.com.br" TargetMode="External"/><Relationship Id="rId27" Type="http://schemas.openxmlformats.org/officeDocument/2006/relationships/hyperlink" Target="mailto:qualidade@madtrat.com.br" TargetMode="External"/><Relationship Id="rId48" Type="http://schemas.openxmlformats.org/officeDocument/2006/relationships/hyperlink" Target="mailto:adm@bitalagro.com.br" TargetMode="External"/><Relationship Id="rId69" Type="http://schemas.openxmlformats.org/officeDocument/2006/relationships/hyperlink" Target="mailto:adm@bitalagro.com.br" TargetMode="External"/><Relationship Id="rId113" Type="http://schemas.openxmlformats.org/officeDocument/2006/relationships/hyperlink" Target="mailto:atendimento@soiermadeiras.com.br" TargetMode="External"/><Relationship Id="rId134" Type="http://schemas.openxmlformats.org/officeDocument/2006/relationships/hyperlink" Target="mailto:escritorio@mt4irmaos.com.br" TargetMode="External"/><Relationship Id="rId320" Type="http://schemas.openxmlformats.org/officeDocument/2006/relationships/hyperlink" Target="mailto:adm@itamatra.com.br" TargetMode="External"/><Relationship Id="rId80" Type="http://schemas.openxmlformats.org/officeDocument/2006/relationships/hyperlink" Target="mailto:adm@bitalagro.com.br" TargetMode="External"/><Relationship Id="rId155" Type="http://schemas.openxmlformats.org/officeDocument/2006/relationships/hyperlink" Target="mailto:scmadeira21@gmail.com" TargetMode="External"/><Relationship Id="rId176" Type="http://schemas.openxmlformats.org/officeDocument/2006/relationships/hyperlink" Target="mailto:wellington@madeireiramantiqueira.com.br" TargetMode="External"/><Relationship Id="rId197" Type="http://schemas.openxmlformats.org/officeDocument/2006/relationships/hyperlink" Target="mailto:eucaliptosigma@gmail.com" TargetMode="External"/><Relationship Id="rId201" Type="http://schemas.openxmlformats.org/officeDocument/2006/relationships/hyperlink" Target="mailto:financeiro@santaritamadeiras.com" TargetMode="External"/><Relationship Id="rId222" Type="http://schemas.openxmlformats.org/officeDocument/2006/relationships/hyperlink" Target="mailto:rm.eucaliptos@gmail.com" TargetMode="External"/><Relationship Id="rId243" Type="http://schemas.openxmlformats.org/officeDocument/2006/relationships/hyperlink" Target="mailto:lidi_dominclli@hotmail.com" TargetMode="External"/><Relationship Id="rId264" Type="http://schemas.openxmlformats.org/officeDocument/2006/relationships/hyperlink" Target="mailto:comprasgm01@outlook.com" TargetMode="External"/><Relationship Id="rId285" Type="http://schemas.openxmlformats.org/officeDocument/2006/relationships/hyperlink" Target="mailto:usina@tratanorte.com" TargetMode="External"/><Relationship Id="rId17" Type="http://schemas.openxmlformats.org/officeDocument/2006/relationships/hyperlink" Target="mailto:madimunecoxim@gmail.com" TargetMode="External"/><Relationship Id="rId38" Type="http://schemas.openxmlformats.org/officeDocument/2006/relationships/hyperlink" Target="mailto:madimunecoxim@gmail.com" TargetMode="External"/><Relationship Id="rId59" Type="http://schemas.openxmlformats.org/officeDocument/2006/relationships/hyperlink" Target="mailto:adm@bitalagro.com.br" TargetMode="External"/><Relationship Id="rId103" Type="http://schemas.openxmlformats.org/officeDocument/2006/relationships/hyperlink" Target="mailto:adm@bitalagro.com.br" TargetMode="External"/><Relationship Id="rId124" Type="http://schemas.openxmlformats.org/officeDocument/2006/relationships/hyperlink" Target="mailto:pires@florestaltratamadeira.com.br" TargetMode="External"/><Relationship Id="rId310" Type="http://schemas.openxmlformats.org/officeDocument/2006/relationships/hyperlink" Target="mailto:luamadeira@luamadeira.com.br" TargetMode="External"/><Relationship Id="rId70" Type="http://schemas.openxmlformats.org/officeDocument/2006/relationships/hyperlink" Target="mailto:adm@bitalagro.com.br" TargetMode="External"/><Relationship Id="rId91" Type="http://schemas.openxmlformats.org/officeDocument/2006/relationships/hyperlink" Target="mailto:contato@voltolinisc.com.br" TargetMode="External"/><Relationship Id="rId145" Type="http://schemas.openxmlformats.org/officeDocument/2006/relationships/hyperlink" Target="mailto:usina@petras.ind.br" TargetMode="External"/><Relationship Id="rId166" Type="http://schemas.openxmlformats.org/officeDocument/2006/relationships/hyperlink" Target="mailto:fazendacachoeira2014@gmail.com" TargetMode="External"/><Relationship Id="rId187" Type="http://schemas.openxmlformats.org/officeDocument/2006/relationships/hyperlink" Target="mailto:aux8@camadeiras.com.br" TargetMode="External"/><Relationship Id="rId1" Type="http://schemas.openxmlformats.org/officeDocument/2006/relationships/hyperlink" Target="mailto:tratasul@yahoo.com.br" TargetMode="External"/><Relationship Id="rId212" Type="http://schemas.openxmlformats.org/officeDocument/2006/relationships/hyperlink" Target="mailto:crmadeiratratada@hotmail.com" TargetMode="External"/><Relationship Id="rId233" Type="http://schemas.openxmlformats.org/officeDocument/2006/relationships/hyperlink" Target="mailto:fazendamaezainha@hotmail.com" TargetMode="External"/><Relationship Id="rId254" Type="http://schemas.openxmlformats.org/officeDocument/2006/relationships/hyperlink" Target="mailto:adm@itamatra.com.br" TargetMode="External"/><Relationship Id="rId28" Type="http://schemas.openxmlformats.org/officeDocument/2006/relationships/hyperlink" Target="mailto:madimunecoxim@gmail.com" TargetMode="External"/><Relationship Id="rId49" Type="http://schemas.openxmlformats.org/officeDocument/2006/relationships/hyperlink" Target="mailto:adm@bitalagro.com.br" TargetMode="External"/><Relationship Id="rId114" Type="http://schemas.openxmlformats.org/officeDocument/2006/relationships/hyperlink" Target="mailto:madimunemt@gmail.com" TargetMode="External"/><Relationship Id="rId275" Type="http://schemas.openxmlformats.org/officeDocument/2006/relationships/hyperlink" Target="mailto:adm@bitalagro.com.br" TargetMode="External"/><Relationship Id="rId296" Type="http://schemas.openxmlformats.org/officeDocument/2006/relationships/hyperlink" Target="mailto:juliocesaralice@hotmail.com" TargetMode="External"/><Relationship Id="rId300" Type="http://schemas.openxmlformats.org/officeDocument/2006/relationships/hyperlink" Target="mailto:madimunemt@gmail.com" TargetMode="External"/><Relationship Id="rId60" Type="http://schemas.openxmlformats.org/officeDocument/2006/relationships/hyperlink" Target="mailto:luamadeira@luamadeira.com.br" TargetMode="External"/><Relationship Id="rId81" Type="http://schemas.openxmlformats.org/officeDocument/2006/relationships/hyperlink" Target="mailto:adm@bitalagro.com.br" TargetMode="External"/><Relationship Id="rId135" Type="http://schemas.openxmlformats.org/officeDocument/2006/relationships/hyperlink" Target="mailto:eucanortemadeiras2012@gmail.com" TargetMode="External"/><Relationship Id="rId156" Type="http://schemas.openxmlformats.org/officeDocument/2006/relationships/hyperlink" Target="mailto:scmadeira21@gmail.com" TargetMode="External"/><Relationship Id="rId177" Type="http://schemas.openxmlformats.org/officeDocument/2006/relationships/hyperlink" Target="mailto:wellington@madeireiramantiqueira.com.br" TargetMode="External"/><Relationship Id="rId198" Type="http://schemas.openxmlformats.org/officeDocument/2006/relationships/hyperlink" Target="mailto:madimunecoxim@gmail.com" TargetMode="External"/><Relationship Id="rId321" Type="http://schemas.openxmlformats.org/officeDocument/2006/relationships/hyperlink" Target="mailto:adm@itamatra.com.br" TargetMode="External"/><Relationship Id="rId202" Type="http://schemas.openxmlformats.org/officeDocument/2006/relationships/hyperlink" Target="mailto:madimunecoxim@gmail.com" TargetMode="External"/><Relationship Id="rId223" Type="http://schemas.openxmlformats.org/officeDocument/2006/relationships/hyperlink" Target="mailto:usina@tratanorte.com" TargetMode="External"/><Relationship Id="rId244" Type="http://schemas.openxmlformats.org/officeDocument/2006/relationships/hyperlink" Target="mailto:lidi_dominclli@hotmail.com" TargetMode="External"/><Relationship Id="rId18" Type="http://schemas.openxmlformats.org/officeDocument/2006/relationships/hyperlink" Target="mailto:madimunecoxim@gmail.com" TargetMode="External"/><Relationship Id="rId39" Type="http://schemas.openxmlformats.org/officeDocument/2006/relationships/hyperlink" Target="mailto:qualidade@madtrat.com.br" TargetMode="External"/><Relationship Id="rId265" Type="http://schemas.openxmlformats.org/officeDocument/2006/relationships/hyperlink" Target="mailto:usina@tratanorte.com" TargetMode="External"/><Relationship Id="rId286" Type="http://schemas.openxmlformats.org/officeDocument/2006/relationships/hyperlink" Target="mailto:usina@tratanorte.com" TargetMode="External"/><Relationship Id="rId50" Type="http://schemas.openxmlformats.org/officeDocument/2006/relationships/hyperlink" Target="mailto:adm@bitalagro.com.br" TargetMode="External"/><Relationship Id="rId104" Type="http://schemas.openxmlformats.org/officeDocument/2006/relationships/hyperlink" Target="mailto:adm@bitalagro.com.br" TargetMode="External"/><Relationship Id="rId125" Type="http://schemas.openxmlformats.org/officeDocument/2006/relationships/hyperlink" Target="mailto:pires@florestaltratamadeira.com.br" TargetMode="External"/><Relationship Id="rId146" Type="http://schemas.openxmlformats.org/officeDocument/2006/relationships/hyperlink" Target="mailto:usina@petras.ind.br" TargetMode="External"/><Relationship Id="rId167" Type="http://schemas.openxmlformats.org/officeDocument/2006/relationships/hyperlink" Target="mailto:fazendacachoeira2014@gmail.com" TargetMode="External"/><Relationship Id="rId188" Type="http://schemas.openxmlformats.org/officeDocument/2006/relationships/hyperlink" Target="mailto:aoliveira@montana.com.br" TargetMode="External"/><Relationship Id="rId311" Type="http://schemas.openxmlformats.org/officeDocument/2006/relationships/hyperlink" Target="mailto:curupiraeucaliptostratados@gmail.com" TargetMode="External"/><Relationship Id="rId71" Type="http://schemas.openxmlformats.org/officeDocument/2006/relationships/hyperlink" Target="mailto:adm@bitalagro.com.br" TargetMode="External"/><Relationship Id="rId92" Type="http://schemas.openxmlformats.org/officeDocument/2006/relationships/hyperlink" Target="mailto:contato@voltolinisc.com.br" TargetMode="External"/><Relationship Id="rId213" Type="http://schemas.openxmlformats.org/officeDocument/2006/relationships/hyperlink" Target="mailto:crmadeiratratada@hotmail.com" TargetMode="External"/><Relationship Id="rId234" Type="http://schemas.openxmlformats.org/officeDocument/2006/relationships/hyperlink" Target="mailto:fazendamaezainha@hotmail.com" TargetMode="External"/><Relationship Id="rId2" Type="http://schemas.openxmlformats.org/officeDocument/2006/relationships/hyperlink" Target="mailto:tratasul@yahoo.com.br" TargetMode="External"/><Relationship Id="rId29" Type="http://schemas.openxmlformats.org/officeDocument/2006/relationships/hyperlink" Target="mailto:producao@luamadeira.com.br" TargetMode="External"/><Relationship Id="rId255" Type="http://schemas.openxmlformats.org/officeDocument/2006/relationships/hyperlink" Target="mailto:pires@florestaltratamadeira.com.br" TargetMode="External"/><Relationship Id="rId276" Type="http://schemas.openxmlformats.org/officeDocument/2006/relationships/hyperlink" Target="mailto:adm@bitalagro.com.br" TargetMode="External"/><Relationship Id="rId297" Type="http://schemas.openxmlformats.org/officeDocument/2006/relationships/hyperlink" Target="mailto:juliocesaralice@hotmail.com" TargetMode="External"/><Relationship Id="rId40" Type="http://schemas.openxmlformats.org/officeDocument/2006/relationships/hyperlink" Target="mailto:secretaria@utramadmg.com" TargetMode="External"/><Relationship Id="rId115" Type="http://schemas.openxmlformats.org/officeDocument/2006/relationships/hyperlink" Target="mailto:madimunemt@gmail.com" TargetMode="External"/><Relationship Id="rId136" Type="http://schemas.openxmlformats.org/officeDocument/2006/relationships/hyperlink" Target="mailto:eucanortemadeiras2012@gmail.com" TargetMode="External"/><Relationship Id="rId157" Type="http://schemas.openxmlformats.org/officeDocument/2006/relationships/hyperlink" Target="mailto:adm@bitalagro.com.br" TargetMode="External"/><Relationship Id="rId178" Type="http://schemas.openxmlformats.org/officeDocument/2006/relationships/hyperlink" Target="mailto:madeirastoratora@gmail.com" TargetMode="External"/><Relationship Id="rId301" Type="http://schemas.openxmlformats.org/officeDocument/2006/relationships/hyperlink" Target="mailto:madimunemt@gmail.com" TargetMode="External"/><Relationship Id="rId322" Type="http://schemas.openxmlformats.org/officeDocument/2006/relationships/hyperlink" Target="mailto:adm@itamatra.com.br" TargetMode="External"/><Relationship Id="rId61" Type="http://schemas.openxmlformats.org/officeDocument/2006/relationships/hyperlink" Target="mailto:luamadeira@luamadeira.com.br" TargetMode="External"/><Relationship Id="rId82" Type="http://schemas.openxmlformats.org/officeDocument/2006/relationships/hyperlink" Target="mailto:madimunemt@gmail.com" TargetMode="External"/><Relationship Id="rId199" Type="http://schemas.openxmlformats.org/officeDocument/2006/relationships/hyperlink" Target="mailto:madimunecoxim@gmail.com" TargetMode="External"/><Relationship Id="rId203" Type="http://schemas.openxmlformats.org/officeDocument/2006/relationships/hyperlink" Target="mailto:valdomiro.pine@cocamar.com.br" TargetMode="External"/><Relationship Id="rId19" Type="http://schemas.openxmlformats.org/officeDocument/2006/relationships/hyperlink" Target="mailto:madimunecoxim@gmail.com" TargetMode="External"/><Relationship Id="rId224" Type="http://schemas.openxmlformats.org/officeDocument/2006/relationships/hyperlink" Target="mailto:usina@tratanorte.com" TargetMode="External"/><Relationship Id="rId245" Type="http://schemas.openxmlformats.org/officeDocument/2006/relationships/hyperlink" Target="mailto:lidi_dominclli@hotmail.com" TargetMode="External"/><Relationship Id="rId266" Type="http://schemas.openxmlformats.org/officeDocument/2006/relationships/hyperlink" Target="mailto:usina@tratanorte.com" TargetMode="External"/><Relationship Id="rId287" Type="http://schemas.openxmlformats.org/officeDocument/2006/relationships/hyperlink" Target="mailto:usina@tratanorte.com" TargetMode="External"/><Relationship Id="rId30" Type="http://schemas.openxmlformats.org/officeDocument/2006/relationships/hyperlink" Target="mailto:producao@luamadeira.com.br" TargetMode="External"/><Relationship Id="rId105" Type="http://schemas.openxmlformats.org/officeDocument/2006/relationships/hyperlink" Target="mailto:adm@bitalagro.com.br" TargetMode="External"/><Relationship Id="rId126" Type="http://schemas.openxmlformats.org/officeDocument/2006/relationships/hyperlink" Target="mailto:pires@florestaltratamadeira.com.br" TargetMode="External"/><Relationship Id="rId147" Type="http://schemas.openxmlformats.org/officeDocument/2006/relationships/hyperlink" Target="mailto:usina@petras.ind.br" TargetMode="External"/><Relationship Id="rId168" Type="http://schemas.openxmlformats.org/officeDocument/2006/relationships/hyperlink" Target="mailto:fazendacachoeira2014@gmail.com" TargetMode="External"/><Relationship Id="rId312" Type="http://schemas.openxmlformats.org/officeDocument/2006/relationships/hyperlink" Target="mailto:comprasgm01@outlook.com" TargetMode="External"/><Relationship Id="rId51" Type="http://schemas.openxmlformats.org/officeDocument/2006/relationships/hyperlink" Target="mailto:adm@bitalagro.com.br" TargetMode="External"/><Relationship Id="rId72" Type="http://schemas.openxmlformats.org/officeDocument/2006/relationships/hyperlink" Target="mailto:adm@bitalagro.com.br" TargetMode="External"/><Relationship Id="rId93" Type="http://schemas.openxmlformats.org/officeDocument/2006/relationships/hyperlink" Target="mailto:adm@bitalagro.com.br" TargetMode="External"/><Relationship Id="rId189" Type="http://schemas.openxmlformats.org/officeDocument/2006/relationships/hyperlink" Target="mailto:aoliveira@montana.com.br" TargetMode="External"/><Relationship Id="rId3" Type="http://schemas.openxmlformats.org/officeDocument/2006/relationships/hyperlink" Target="mailto:tratasul@yahoo.com.br" TargetMode="External"/><Relationship Id="rId214" Type="http://schemas.openxmlformats.org/officeDocument/2006/relationships/hyperlink" Target="mailto:crmadeiratratada@hotmail.com" TargetMode="External"/><Relationship Id="rId235" Type="http://schemas.openxmlformats.org/officeDocument/2006/relationships/hyperlink" Target="mailto:madeireiralltodaserra@gmail.com" TargetMode="External"/><Relationship Id="rId256" Type="http://schemas.openxmlformats.org/officeDocument/2006/relationships/hyperlink" Target="mailto:pires@florestaltratamadeira.com.br" TargetMode="External"/><Relationship Id="rId277" Type="http://schemas.openxmlformats.org/officeDocument/2006/relationships/hyperlink" Target="mailto:adm@bitalagro.com.br" TargetMode="External"/><Relationship Id="rId298" Type="http://schemas.openxmlformats.org/officeDocument/2006/relationships/hyperlink" Target="mailto:madimunemt@gmail.com" TargetMode="External"/><Relationship Id="rId116" Type="http://schemas.openxmlformats.org/officeDocument/2006/relationships/hyperlink" Target="mailto:usina@tratanorte.com" TargetMode="External"/><Relationship Id="rId137" Type="http://schemas.openxmlformats.org/officeDocument/2006/relationships/hyperlink" Target="mailto:eucanortemadeiras2012@gmail.com" TargetMode="External"/><Relationship Id="rId158" Type="http://schemas.openxmlformats.org/officeDocument/2006/relationships/hyperlink" Target="mailto:adm@bitalagro.com.br" TargetMode="External"/><Relationship Id="rId302" Type="http://schemas.openxmlformats.org/officeDocument/2006/relationships/hyperlink" Target="mailto:madimunecoxim@gmail.com" TargetMode="External"/><Relationship Id="rId323" Type="http://schemas.openxmlformats.org/officeDocument/2006/relationships/hyperlink" Target="mailto:adm@itamatra.com.br" TargetMode="External"/><Relationship Id="rId20" Type="http://schemas.openxmlformats.org/officeDocument/2006/relationships/hyperlink" Target="mailto:qualidade@madtrat.com.br" TargetMode="External"/><Relationship Id="rId41" Type="http://schemas.openxmlformats.org/officeDocument/2006/relationships/hyperlink" Target="mailto:secretaria@utramadmg.com" TargetMode="External"/><Relationship Id="rId62" Type="http://schemas.openxmlformats.org/officeDocument/2006/relationships/hyperlink" Target="mailto:madimunemt@gmail.com" TargetMode="External"/><Relationship Id="rId83" Type="http://schemas.openxmlformats.org/officeDocument/2006/relationships/hyperlink" Target="mailto:madimunemt@gmail.com" TargetMode="External"/><Relationship Id="rId179" Type="http://schemas.openxmlformats.org/officeDocument/2006/relationships/hyperlink" Target="mailto:madeirastoratora@gmail.com" TargetMode="External"/><Relationship Id="rId190" Type="http://schemas.openxmlformats.org/officeDocument/2006/relationships/hyperlink" Target="mailto:eucatrat@eucatrat.com.br" TargetMode="External"/><Relationship Id="rId204" Type="http://schemas.openxmlformats.org/officeDocument/2006/relationships/hyperlink" Target="mailto:contato@valexmadeiras.com.br" TargetMode="External"/><Relationship Id="rId225" Type="http://schemas.openxmlformats.org/officeDocument/2006/relationships/hyperlink" Target="mailto:fabiana@usinaAraucaria.combr" TargetMode="External"/><Relationship Id="rId246" Type="http://schemas.openxmlformats.org/officeDocument/2006/relationships/hyperlink" Target="mailto:lidi_dominclli@hotmail.com" TargetMode="External"/><Relationship Id="rId267" Type="http://schemas.openxmlformats.org/officeDocument/2006/relationships/hyperlink" Target="mailto:usina@tratanorte.com" TargetMode="External"/><Relationship Id="rId288" Type="http://schemas.openxmlformats.org/officeDocument/2006/relationships/hyperlink" Target="mailto:usina@tratanorte.com" TargetMode="External"/><Relationship Id="rId106" Type="http://schemas.openxmlformats.org/officeDocument/2006/relationships/hyperlink" Target="mailto:usina@tratanorte.com" TargetMode="External"/><Relationship Id="rId127" Type="http://schemas.openxmlformats.org/officeDocument/2006/relationships/hyperlink" Target="mailto:pires@florestaltratamadeira.com.br" TargetMode="External"/><Relationship Id="rId313" Type="http://schemas.openxmlformats.org/officeDocument/2006/relationships/hyperlink" Target="mailto:comprasgm01@outlook.com" TargetMode="External"/><Relationship Id="rId10" Type="http://schemas.openxmlformats.org/officeDocument/2006/relationships/hyperlink" Target="mailto:scmadeira21@gmail.com" TargetMode="External"/><Relationship Id="rId31" Type="http://schemas.openxmlformats.org/officeDocument/2006/relationships/hyperlink" Target="mailto:madimunecoxim@gmail.com" TargetMode="External"/><Relationship Id="rId52" Type="http://schemas.openxmlformats.org/officeDocument/2006/relationships/hyperlink" Target="mailto:adm@bitalagro.com.br" TargetMode="External"/><Relationship Id="rId73" Type="http://schemas.openxmlformats.org/officeDocument/2006/relationships/hyperlink" Target="mailto:adm@bitalagro.com.br" TargetMode="External"/><Relationship Id="rId94" Type="http://schemas.openxmlformats.org/officeDocument/2006/relationships/hyperlink" Target="mailto:adm@bitalagro.com.br" TargetMode="External"/><Relationship Id="rId148" Type="http://schemas.openxmlformats.org/officeDocument/2006/relationships/hyperlink" Target="mailto:usina@petras.ind.br" TargetMode="External"/><Relationship Id="rId169" Type="http://schemas.openxmlformats.org/officeDocument/2006/relationships/hyperlink" Target="mailto:fhsmadeiras@hotmail.com" TargetMode="External"/><Relationship Id="rId4" Type="http://schemas.openxmlformats.org/officeDocument/2006/relationships/hyperlink" Target="mailto:tratasul@yahoo.com.br" TargetMode="External"/><Relationship Id="rId180" Type="http://schemas.openxmlformats.org/officeDocument/2006/relationships/hyperlink" Target="mailto:aroeira.horlando@gmail.com" TargetMode="External"/><Relationship Id="rId215" Type="http://schemas.openxmlformats.org/officeDocument/2006/relationships/hyperlink" Target="mailto:crmadeiratratada@hotmail.com" TargetMode="External"/><Relationship Id="rId236" Type="http://schemas.openxmlformats.org/officeDocument/2006/relationships/hyperlink" Target="mailto:madeireiralltodaserra@gmail.com" TargetMode="External"/><Relationship Id="rId257" Type="http://schemas.openxmlformats.org/officeDocument/2006/relationships/hyperlink" Target="mailto:pires@florestaltratamadeira.com.br" TargetMode="External"/><Relationship Id="rId278" Type="http://schemas.openxmlformats.org/officeDocument/2006/relationships/hyperlink" Target="mailto:adm@bitalagro.com.br" TargetMode="External"/><Relationship Id="rId303" Type="http://schemas.openxmlformats.org/officeDocument/2006/relationships/hyperlink" Target="mailto:vendas@vidalonga.ind.br" TargetMode="External"/><Relationship Id="rId42" Type="http://schemas.openxmlformats.org/officeDocument/2006/relationships/hyperlink" Target="mailto:qualidade@madtrat.com.br" TargetMode="External"/><Relationship Id="rId84" Type="http://schemas.openxmlformats.org/officeDocument/2006/relationships/hyperlink" Target="mailto:madimunemt@gmail.com" TargetMode="External"/><Relationship Id="rId138" Type="http://schemas.openxmlformats.org/officeDocument/2006/relationships/hyperlink" Target="mailto:rmtratamentodemadeiras@gmail.com" TargetMode="External"/><Relationship Id="rId191" Type="http://schemas.openxmlformats.org/officeDocument/2006/relationships/hyperlink" Target="mailto:eucatrat@eucatrat.com.br" TargetMode="External"/><Relationship Id="rId205" Type="http://schemas.openxmlformats.org/officeDocument/2006/relationships/hyperlink" Target="mailto:madimunecoxim@gmail.com" TargetMode="External"/><Relationship Id="rId247" Type="http://schemas.openxmlformats.org/officeDocument/2006/relationships/hyperlink" Target="mailto:eucatrat@eucatrat.com.br" TargetMode="External"/><Relationship Id="rId107" Type="http://schemas.openxmlformats.org/officeDocument/2006/relationships/hyperlink" Target="mailto:usina@tratanorte.com" TargetMode="External"/><Relationship Id="rId289" Type="http://schemas.openxmlformats.org/officeDocument/2006/relationships/hyperlink" Target="mailto:usina@tratanorte.com" TargetMode="External"/><Relationship Id="rId11" Type="http://schemas.openxmlformats.org/officeDocument/2006/relationships/hyperlink" Target="mailto:scmadeira21@gmail.com" TargetMode="External"/><Relationship Id="rId53" Type="http://schemas.openxmlformats.org/officeDocument/2006/relationships/hyperlink" Target="mailto:adm@bitalagro.com.br" TargetMode="External"/><Relationship Id="rId149" Type="http://schemas.openxmlformats.org/officeDocument/2006/relationships/hyperlink" Target="mailto:usina@petras.ind.br" TargetMode="External"/><Relationship Id="rId314" Type="http://schemas.openxmlformats.org/officeDocument/2006/relationships/hyperlink" Target="mailto:comprasgm01@outlook.com" TargetMode="External"/><Relationship Id="rId95" Type="http://schemas.openxmlformats.org/officeDocument/2006/relationships/hyperlink" Target="mailto:adm@bitalagro.com.br" TargetMode="External"/><Relationship Id="rId160" Type="http://schemas.openxmlformats.org/officeDocument/2006/relationships/hyperlink" Target="mailto:eucalidertdm@gmail.com" TargetMode="External"/><Relationship Id="rId216" Type="http://schemas.openxmlformats.org/officeDocument/2006/relationships/hyperlink" Target="mailto:diego@status.combr" TargetMode="External"/><Relationship Id="rId258" Type="http://schemas.openxmlformats.org/officeDocument/2006/relationships/hyperlink" Target="mailto:pires@florestaltratamadeira.com.br" TargetMode="External"/><Relationship Id="rId22" Type="http://schemas.openxmlformats.org/officeDocument/2006/relationships/hyperlink" Target="mailto:julio.andrighetti@rar.ind.br" TargetMode="External"/><Relationship Id="rId64" Type="http://schemas.openxmlformats.org/officeDocument/2006/relationships/hyperlink" Target="mailto:adm@bitalagro.com.br" TargetMode="External"/><Relationship Id="rId118" Type="http://schemas.openxmlformats.org/officeDocument/2006/relationships/hyperlink" Target="mailto:usina@tratanorte.com" TargetMode="External"/><Relationship Id="rId325" Type="http://schemas.openxmlformats.org/officeDocument/2006/relationships/hyperlink" Target="mailto:adm@itamatra.com.br" TargetMode="External"/><Relationship Id="rId171" Type="http://schemas.openxmlformats.org/officeDocument/2006/relationships/hyperlink" Target="mailto:madeireiraaltodaserra10@gmail.com" TargetMode="External"/><Relationship Id="rId227" Type="http://schemas.openxmlformats.org/officeDocument/2006/relationships/hyperlink" Target="mailto:fabiana@usinaAraucaria.combr" TargetMode="External"/><Relationship Id="rId269" Type="http://schemas.openxmlformats.org/officeDocument/2006/relationships/hyperlink" Target="mailto:usina@tratanorte.com" TargetMode="External"/><Relationship Id="rId33" Type="http://schemas.openxmlformats.org/officeDocument/2006/relationships/hyperlink" Target="mailto:secretaria@utramadmg.com" TargetMode="External"/><Relationship Id="rId129" Type="http://schemas.openxmlformats.org/officeDocument/2006/relationships/hyperlink" Target="mailto:escritorio@mt4irmaos.com.br" TargetMode="External"/><Relationship Id="rId280" Type="http://schemas.openxmlformats.org/officeDocument/2006/relationships/hyperlink" Target="mailto:adm@bitalagro.com.br" TargetMode="External"/><Relationship Id="rId75" Type="http://schemas.openxmlformats.org/officeDocument/2006/relationships/hyperlink" Target="mailto:adm@bitalagro.com.br" TargetMode="External"/><Relationship Id="rId140" Type="http://schemas.openxmlformats.org/officeDocument/2006/relationships/hyperlink" Target="mailto:usina@petras.ind.br" TargetMode="External"/><Relationship Id="rId182" Type="http://schemas.openxmlformats.org/officeDocument/2006/relationships/hyperlink" Target="mailto:aroeira.horlando@gmail.com" TargetMode="External"/><Relationship Id="rId6" Type="http://schemas.openxmlformats.org/officeDocument/2006/relationships/hyperlink" Target="mailto:tratasul@yahoo.com.br" TargetMode="External"/><Relationship Id="rId238" Type="http://schemas.openxmlformats.org/officeDocument/2006/relationships/hyperlink" Target="mailto:stwood@stwood.com.br" TargetMode="External"/><Relationship Id="rId291" Type="http://schemas.openxmlformats.org/officeDocument/2006/relationships/hyperlink" Target="mailto:usina@tratanorte.com" TargetMode="External"/><Relationship Id="rId305" Type="http://schemas.openxmlformats.org/officeDocument/2006/relationships/hyperlink" Target="mailto:vendas@vidalonga.ind.br" TargetMode="External"/><Relationship Id="rId44" Type="http://schemas.openxmlformats.org/officeDocument/2006/relationships/hyperlink" Target="mailto:luamadeira@luamadeira.com.br" TargetMode="External"/><Relationship Id="rId86" Type="http://schemas.openxmlformats.org/officeDocument/2006/relationships/hyperlink" Target="mailto:adm@bitalagro.com.br" TargetMode="External"/><Relationship Id="rId151" Type="http://schemas.openxmlformats.org/officeDocument/2006/relationships/hyperlink" Target="mailto:aroeira.horlando@gmail.com" TargetMode="External"/><Relationship Id="rId193" Type="http://schemas.openxmlformats.org/officeDocument/2006/relationships/hyperlink" Target="mailto:stwood@stwood.com.br" TargetMode="External"/><Relationship Id="rId207" Type="http://schemas.openxmlformats.org/officeDocument/2006/relationships/hyperlink" Target="mailto:vendas@vidalonga.ind.br" TargetMode="External"/><Relationship Id="rId249" Type="http://schemas.openxmlformats.org/officeDocument/2006/relationships/hyperlink" Target="mailto:adm@itamatra.com.br" TargetMode="External"/><Relationship Id="rId13" Type="http://schemas.openxmlformats.org/officeDocument/2006/relationships/hyperlink" Target="mailto:qualidade@madtrat.com.br" TargetMode="External"/><Relationship Id="rId109" Type="http://schemas.openxmlformats.org/officeDocument/2006/relationships/hyperlink" Target="mailto:usina@tratanorte.com" TargetMode="External"/><Relationship Id="rId260" Type="http://schemas.openxmlformats.org/officeDocument/2006/relationships/hyperlink" Target="mailto:pires@florestaltratamadeira.com.br" TargetMode="External"/><Relationship Id="rId316" Type="http://schemas.openxmlformats.org/officeDocument/2006/relationships/hyperlink" Target="mailto:contato@mtanadeiras.com.br" TargetMode="External"/><Relationship Id="rId55" Type="http://schemas.openxmlformats.org/officeDocument/2006/relationships/hyperlink" Target="mailto:adm@bitalagro.com.br" TargetMode="External"/><Relationship Id="rId97" Type="http://schemas.openxmlformats.org/officeDocument/2006/relationships/hyperlink" Target="mailto:serrariacapelanova@outlook.com" TargetMode="External"/><Relationship Id="rId120" Type="http://schemas.openxmlformats.org/officeDocument/2006/relationships/hyperlink" Target="mailto:mcostarica@gmail.com" TargetMode="External"/><Relationship Id="rId162" Type="http://schemas.openxmlformats.org/officeDocument/2006/relationships/hyperlink" Target="mailto:eucalidertdm@gmail.com" TargetMode="External"/><Relationship Id="rId218" Type="http://schemas.openxmlformats.org/officeDocument/2006/relationships/hyperlink" Target="mailto:comprasgm01@outlook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costarica@gmail.com" TargetMode="External"/><Relationship Id="rId21" Type="http://schemas.openxmlformats.org/officeDocument/2006/relationships/hyperlink" Target="mailto:usina@tratanorte.com" TargetMode="External"/><Relationship Id="rId34" Type="http://schemas.openxmlformats.org/officeDocument/2006/relationships/hyperlink" Target="mailto:madeirastoratora@gmail.com" TargetMode="External"/><Relationship Id="rId42" Type="http://schemas.openxmlformats.org/officeDocument/2006/relationships/hyperlink" Target="mailto:madeirastratadasdellagnolo@hotmail.com" TargetMode="External"/><Relationship Id="rId47" Type="http://schemas.openxmlformats.org/officeDocument/2006/relationships/hyperlink" Target="mailto:diego@status.combr" TargetMode="External"/><Relationship Id="rId50" Type="http://schemas.openxmlformats.org/officeDocument/2006/relationships/hyperlink" Target="mailto:lidi_dominclli@hotmail.com" TargetMode="External"/><Relationship Id="rId55" Type="http://schemas.openxmlformats.org/officeDocument/2006/relationships/hyperlink" Target="mailto:usina@tratanorte.com" TargetMode="External"/><Relationship Id="rId63" Type="http://schemas.openxmlformats.org/officeDocument/2006/relationships/hyperlink" Target="mailto:comprasgm01@outlook.com" TargetMode="External"/><Relationship Id="rId7" Type="http://schemas.openxmlformats.org/officeDocument/2006/relationships/hyperlink" Target="mailto:qualidade@madtrat.com.br" TargetMode="External"/><Relationship Id="rId2" Type="http://schemas.openxmlformats.org/officeDocument/2006/relationships/hyperlink" Target="mailto:qualidade@madtrat.com.br" TargetMode="External"/><Relationship Id="rId16" Type="http://schemas.openxmlformats.org/officeDocument/2006/relationships/hyperlink" Target="mailto:luamadeira@luamadeira.com.br" TargetMode="External"/><Relationship Id="rId29" Type="http://schemas.openxmlformats.org/officeDocument/2006/relationships/hyperlink" Target="mailto:eucanortemadeiras2012@gmail.com" TargetMode="External"/><Relationship Id="rId11" Type="http://schemas.openxmlformats.org/officeDocument/2006/relationships/hyperlink" Target="mailto:producao@luamadeira.com.br" TargetMode="External"/><Relationship Id="rId24" Type="http://schemas.openxmlformats.org/officeDocument/2006/relationships/hyperlink" Target="mailto:crmadeiratratada@hotmail.com" TargetMode="External"/><Relationship Id="rId32" Type="http://schemas.openxmlformats.org/officeDocument/2006/relationships/hyperlink" Target="mailto:madeireiraaltodaserra10@gmail.com" TargetMode="External"/><Relationship Id="rId37" Type="http://schemas.openxmlformats.org/officeDocument/2006/relationships/hyperlink" Target="mailto:eucaliptosigma@gmail.com" TargetMode="External"/><Relationship Id="rId40" Type="http://schemas.openxmlformats.org/officeDocument/2006/relationships/hyperlink" Target="mailto:wellington@madeireiramantiqueira.com.br" TargetMode="External"/><Relationship Id="rId45" Type="http://schemas.openxmlformats.org/officeDocument/2006/relationships/hyperlink" Target="mailto:crmadeiratratada@hotmail.com" TargetMode="External"/><Relationship Id="rId53" Type="http://schemas.openxmlformats.org/officeDocument/2006/relationships/hyperlink" Target="mailto:usina@tratanorte.com" TargetMode="External"/><Relationship Id="rId58" Type="http://schemas.openxmlformats.org/officeDocument/2006/relationships/hyperlink" Target="mailto:juliocesaralice@hotmail.com" TargetMode="External"/><Relationship Id="rId5" Type="http://schemas.openxmlformats.org/officeDocument/2006/relationships/hyperlink" Target="mailto:luamadeira@luamadeira.com.br" TargetMode="External"/><Relationship Id="rId61" Type="http://schemas.openxmlformats.org/officeDocument/2006/relationships/hyperlink" Target="mailto:luamadeira@luamadeira.com.br" TargetMode="External"/><Relationship Id="rId19" Type="http://schemas.openxmlformats.org/officeDocument/2006/relationships/hyperlink" Target="mailto:scmadeira21@gmail.com" TargetMode="External"/><Relationship Id="rId14" Type="http://schemas.openxmlformats.org/officeDocument/2006/relationships/hyperlink" Target="mailto:qualidade@madtrat.com.br" TargetMode="External"/><Relationship Id="rId22" Type="http://schemas.openxmlformats.org/officeDocument/2006/relationships/hyperlink" Target="mailto:crmadeiratratada@hotmail.com" TargetMode="External"/><Relationship Id="rId27" Type="http://schemas.openxmlformats.org/officeDocument/2006/relationships/hyperlink" Target="mailto:mcostarica@gmail.com" TargetMode="External"/><Relationship Id="rId30" Type="http://schemas.openxmlformats.org/officeDocument/2006/relationships/hyperlink" Target="mailto:usina@petras.ind.br" TargetMode="External"/><Relationship Id="rId35" Type="http://schemas.openxmlformats.org/officeDocument/2006/relationships/hyperlink" Target="mailto:aux8@camadeiras.com.br" TargetMode="External"/><Relationship Id="rId43" Type="http://schemas.openxmlformats.org/officeDocument/2006/relationships/hyperlink" Target="mailto:crmadeiratratada@hotmail.com" TargetMode="External"/><Relationship Id="rId48" Type="http://schemas.openxmlformats.org/officeDocument/2006/relationships/hyperlink" Target="mailto:comprasgm01@outlook.com" TargetMode="External"/><Relationship Id="rId56" Type="http://schemas.openxmlformats.org/officeDocument/2006/relationships/hyperlink" Target="mailto:usina@tratanorte.com" TargetMode="External"/><Relationship Id="rId64" Type="http://schemas.openxmlformats.org/officeDocument/2006/relationships/hyperlink" Target="mailto:contato@mtanadeiras.com.br" TargetMode="External"/><Relationship Id="rId8" Type="http://schemas.openxmlformats.org/officeDocument/2006/relationships/hyperlink" Target="mailto:qualidade@madtrat.com.br" TargetMode="External"/><Relationship Id="rId51" Type="http://schemas.openxmlformats.org/officeDocument/2006/relationships/hyperlink" Target="mailto:lidi_dominclli@hotmail.com" TargetMode="External"/><Relationship Id="rId3" Type="http://schemas.openxmlformats.org/officeDocument/2006/relationships/hyperlink" Target="mailto:qualidade@madtrat.com.br" TargetMode="External"/><Relationship Id="rId12" Type="http://schemas.openxmlformats.org/officeDocument/2006/relationships/hyperlink" Target="mailto:qualidade@madtrat.com.br" TargetMode="External"/><Relationship Id="rId17" Type="http://schemas.openxmlformats.org/officeDocument/2006/relationships/hyperlink" Target="mailto:luamadeira@luamadeira.com.br" TargetMode="External"/><Relationship Id="rId25" Type="http://schemas.openxmlformats.org/officeDocument/2006/relationships/hyperlink" Target="mailto:usina@tratanorte.com" TargetMode="External"/><Relationship Id="rId33" Type="http://schemas.openxmlformats.org/officeDocument/2006/relationships/hyperlink" Target="mailto:wellington@madeireiramantiqueira.com.br" TargetMode="External"/><Relationship Id="rId38" Type="http://schemas.openxmlformats.org/officeDocument/2006/relationships/hyperlink" Target="mailto:vendas@vidalonga.ind.br" TargetMode="External"/><Relationship Id="rId46" Type="http://schemas.openxmlformats.org/officeDocument/2006/relationships/hyperlink" Target="mailto:crmadeiratratada@hotmail.com" TargetMode="External"/><Relationship Id="rId59" Type="http://schemas.openxmlformats.org/officeDocument/2006/relationships/hyperlink" Target="mailto:vendas@vidalonga.ind.br" TargetMode="External"/><Relationship Id="rId20" Type="http://schemas.openxmlformats.org/officeDocument/2006/relationships/hyperlink" Target="mailto:scmadeira21@gmail.com" TargetMode="External"/><Relationship Id="rId41" Type="http://schemas.openxmlformats.org/officeDocument/2006/relationships/hyperlink" Target="mailto:aux8@camadeiras.com.br" TargetMode="External"/><Relationship Id="rId54" Type="http://schemas.openxmlformats.org/officeDocument/2006/relationships/hyperlink" Target="mailto:comprasgm01@outlook.com" TargetMode="External"/><Relationship Id="rId62" Type="http://schemas.openxmlformats.org/officeDocument/2006/relationships/hyperlink" Target="mailto:luamadeira@luamadeira.com.br" TargetMode="External"/><Relationship Id="rId1" Type="http://schemas.openxmlformats.org/officeDocument/2006/relationships/hyperlink" Target="mailto:qualidade@madtrat.com.br" TargetMode="External"/><Relationship Id="rId6" Type="http://schemas.openxmlformats.org/officeDocument/2006/relationships/hyperlink" Target="mailto:scmadeira21@gmail.com" TargetMode="External"/><Relationship Id="rId15" Type="http://schemas.openxmlformats.org/officeDocument/2006/relationships/hyperlink" Target="mailto:luamadeira@luamadeira.com.br" TargetMode="External"/><Relationship Id="rId23" Type="http://schemas.openxmlformats.org/officeDocument/2006/relationships/hyperlink" Target="mailto:crmadeiratratada@hotmail.com" TargetMode="External"/><Relationship Id="rId28" Type="http://schemas.openxmlformats.org/officeDocument/2006/relationships/hyperlink" Target="mailto:escritorio@mt4irmaos.com.br" TargetMode="External"/><Relationship Id="rId36" Type="http://schemas.openxmlformats.org/officeDocument/2006/relationships/hyperlink" Target="mailto:madeireiraforquilhinha@gmail.com" TargetMode="External"/><Relationship Id="rId49" Type="http://schemas.openxmlformats.org/officeDocument/2006/relationships/hyperlink" Target="mailto:madeireiralltodaserra@gmail.com" TargetMode="External"/><Relationship Id="rId57" Type="http://schemas.openxmlformats.org/officeDocument/2006/relationships/hyperlink" Target="mailto:juliocesaralice@hotmail.com" TargetMode="External"/><Relationship Id="rId10" Type="http://schemas.openxmlformats.org/officeDocument/2006/relationships/hyperlink" Target="mailto:qualidade@madtrat.com.br" TargetMode="External"/><Relationship Id="rId31" Type="http://schemas.openxmlformats.org/officeDocument/2006/relationships/hyperlink" Target="mailto:vendas@vidalonga.ind.br" TargetMode="External"/><Relationship Id="rId44" Type="http://schemas.openxmlformats.org/officeDocument/2006/relationships/hyperlink" Target="mailto:crmadeiratratada@hotmail.com" TargetMode="External"/><Relationship Id="rId52" Type="http://schemas.openxmlformats.org/officeDocument/2006/relationships/hyperlink" Target="mailto:comprasgm01@outlook.com" TargetMode="External"/><Relationship Id="rId60" Type="http://schemas.openxmlformats.org/officeDocument/2006/relationships/hyperlink" Target="mailto:luamadeira@luamadeira.com.br" TargetMode="External"/><Relationship Id="rId65" Type="http://schemas.openxmlformats.org/officeDocument/2006/relationships/hyperlink" Target="mailto:madimunecoxim@gmail.com" TargetMode="External"/><Relationship Id="rId4" Type="http://schemas.openxmlformats.org/officeDocument/2006/relationships/hyperlink" Target="mailto:qualidade@madtrat.com.br" TargetMode="External"/><Relationship Id="rId9" Type="http://schemas.openxmlformats.org/officeDocument/2006/relationships/hyperlink" Target="mailto:qualidade@madtrat.com.br" TargetMode="External"/><Relationship Id="rId13" Type="http://schemas.openxmlformats.org/officeDocument/2006/relationships/hyperlink" Target="mailto:qualidade@madtrat.com.br" TargetMode="External"/><Relationship Id="rId18" Type="http://schemas.openxmlformats.org/officeDocument/2006/relationships/hyperlink" Target="mailto:luamadeira@luamadeira.com.br" TargetMode="External"/><Relationship Id="rId39" Type="http://schemas.openxmlformats.org/officeDocument/2006/relationships/hyperlink" Target="mailto:aux8@camadeira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841"/>
  <sheetViews>
    <sheetView topLeftCell="B1" zoomScale="80" zoomScaleNormal="80" workbookViewId="0">
      <pane xSplit="1" ySplit="1" topLeftCell="N662" activePane="bottomRight" state="frozen"/>
      <selection activeCell="B1" sqref="B1"/>
      <selection pane="topRight" activeCell="C1" sqref="C1"/>
      <selection pane="bottomLeft" activeCell="B2" sqref="B2"/>
      <selection pane="bottomRight" activeCell="BE680" sqref="BE680"/>
    </sheetView>
  </sheetViews>
  <sheetFormatPr defaultRowHeight="15" x14ac:dyDescent="0.25"/>
  <cols>
    <col min="1" max="1" width="18.140625" style="8" bestFit="1" customWidth="1"/>
    <col min="2" max="2" width="14.28515625" style="8" bestFit="1" customWidth="1"/>
    <col min="3" max="3" width="17.42578125" style="8" bestFit="1" customWidth="1"/>
    <col min="4" max="4" width="19.28515625" style="8" bestFit="1" customWidth="1"/>
    <col min="5" max="5" width="16.5703125" style="8" bestFit="1" customWidth="1"/>
    <col min="6" max="8" width="11.5703125" style="8" bestFit="1" customWidth="1"/>
    <col min="9" max="9" width="57.140625" style="8" bestFit="1" customWidth="1"/>
    <col min="10" max="10" width="27.140625" style="8" bestFit="1" customWidth="1"/>
    <col min="11" max="11" width="7.5703125" style="8" bestFit="1" customWidth="1"/>
    <col min="12" max="12" width="9.28515625" style="8" customWidth="1"/>
    <col min="13" max="13" width="45" style="16" bestFit="1" customWidth="1"/>
    <col min="14" max="14" width="9.42578125" style="8" customWidth="1"/>
    <col min="15" max="15" width="14.85546875" style="8" bestFit="1" customWidth="1"/>
    <col min="16" max="16" width="17.140625" style="28" bestFit="1" customWidth="1"/>
    <col min="17" max="17" width="60.5703125" style="16" bestFit="1" customWidth="1"/>
    <col min="18" max="18" width="18.28515625" style="8" hidden="1" customWidth="1"/>
    <col min="19" max="19" width="8.7109375" style="8" hidden="1" customWidth="1"/>
    <col min="20" max="20" width="24.28515625" style="8" hidden="1" customWidth="1"/>
    <col min="21" max="21" width="14.85546875" style="8" hidden="1" customWidth="1"/>
    <col min="22" max="22" width="12.28515625" style="2" hidden="1" customWidth="1"/>
    <col min="23" max="23" width="10.85546875" style="8" hidden="1" customWidth="1"/>
    <col min="24" max="24" width="19.28515625" style="8" bestFit="1" customWidth="1"/>
    <col min="25" max="25" width="13.85546875" style="34" customWidth="1"/>
    <col min="26" max="26" width="13.85546875" style="8" bestFit="1" customWidth="1"/>
    <col min="27" max="27" width="12.28515625" style="8" bestFit="1" customWidth="1"/>
    <col min="28" max="28" width="29.42578125" style="8" bestFit="1" customWidth="1"/>
    <col min="29" max="29" width="82.85546875" style="8" bestFit="1" customWidth="1"/>
    <col min="30" max="30" width="9.85546875" style="8" hidden="1" customWidth="1"/>
    <col min="31" max="31" width="11.5703125" style="8" hidden="1" customWidth="1"/>
    <col min="32" max="32" width="13.85546875" style="8" hidden="1" customWidth="1"/>
    <col min="33" max="33" width="14.7109375" style="8" hidden="1" customWidth="1"/>
    <col min="34" max="34" width="9.42578125" style="8" hidden="1" customWidth="1"/>
    <col min="35" max="35" width="8.85546875" style="8" hidden="1" customWidth="1"/>
    <col min="36" max="36" width="52.140625" style="8" hidden="1" customWidth="1"/>
    <col min="37" max="39" width="10.140625" style="8" hidden="1" customWidth="1"/>
    <col min="40" max="40" width="10.7109375" style="8" hidden="1" customWidth="1"/>
    <col min="41" max="41" width="10.5703125" style="8" hidden="1" customWidth="1"/>
    <col min="42" max="42" width="12.28515625" style="8" hidden="1" customWidth="1"/>
    <col min="43" max="45" width="10.85546875" style="8" hidden="1" customWidth="1"/>
    <col min="46" max="46" width="10.7109375" style="8" hidden="1" customWidth="1"/>
    <col min="47" max="47" width="11.42578125" style="8" hidden="1" customWidth="1"/>
    <col min="48" max="48" width="12.28515625" style="8" hidden="1" customWidth="1"/>
    <col min="49" max="53" width="7.140625" style="20" hidden="1" customWidth="1"/>
    <col min="54" max="54" width="10.28515625" style="20" hidden="1" customWidth="1"/>
    <col min="55" max="55" width="8.85546875" style="20" hidden="1" customWidth="1"/>
    <col min="56" max="56" width="11.42578125" style="13" customWidth="1"/>
    <col min="57" max="57" width="13" style="14" customWidth="1"/>
    <col min="58" max="58" width="7.85546875" style="8" bestFit="1" customWidth="1"/>
    <col min="59" max="59" width="7.140625" style="8" bestFit="1" customWidth="1"/>
    <col min="60" max="60" width="9.28515625" style="8" bestFit="1" customWidth="1"/>
    <col min="61" max="61" width="14.42578125" style="13" bestFit="1" customWidth="1"/>
    <col min="62" max="62" width="11.28515625" style="14" customWidth="1"/>
    <col min="63" max="63" width="11" style="14" customWidth="1"/>
    <col min="64" max="64" width="11.42578125" style="14" customWidth="1"/>
    <col min="65" max="65" width="9.140625" style="16"/>
    <col min="66" max="66" width="15.5703125" style="16" bestFit="1" customWidth="1"/>
    <col min="67" max="67" width="14.85546875" style="16" bestFit="1" customWidth="1"/>
    <col min="68" max="68" width="16.5703125" style="16" bestFit="1" customWidth="1"/>
    <col min="69" max="69" width="25.5703125" style="14" bestFit="1" customWidth="1"/>
    <col min="70" max="70" width="146" style="8" bestFit="1" customWidth="1"/>
    <col min="71" max="16384" width="9.140625" style="1"/>
  </cols>
  <sheetData>
    <row r="1" spans="1:70" s="5" customFormat="1" ht="47.25" x14ac:dyDescent="0.25">
      <c r="A1" s="3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3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15" t="s">
        <v>12</v>
      </c>
      <c r="N1" s="6" t="s">
        <v>13</v>
      </c>
      <c r="O1" s="3" t="s">
        <v>14</v>
      </c>
      <c r="P1" s="7" t="s">
        <v>15</v>
      </c>
      <c r="Q1" s="15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4" t="s">
        <v>22</v>
      </c>
      <c r="X1" s="7" t="s">
        <v>23</v>
      </c>
      <c r="Y1" s="35" t="s">
        <v>24</v>
      </c>
      <c r="Z1" s="7" t="s">
        <v>25</v>
      </c>
      <c r="AA1" s="6" t="s">
        <v>26</v>
      </c>
      <c r="AB1" s="7" t="s">
        <v>27</v>
      </c>
      <c r="AC1" s="7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36" t="s">
        <v>55</v>
      </c>
      <c r="BE1" s="17" t="s">
        <v>56</v>
      </c>
      <c r="BF1" s="3" t="s">
        <v>57</v>
      </c>
      <c r="BG1" s="3" t="s">
        <v>58</v>
      </c>
      <c r="BH1" s="3" t="s">
        <v>59</v>
      </c>
      <c r="BI1" s="31" t="s">
        <v>60</v>
      </c>
      <c r="BJ1" s="25" t="s">
        <v>61</v>
      </c>
      <c r="BK1" s="25" t="s">
        <v>62</v>
      </c>
      <c r="BL1" s="2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0" t="s">
        <v>68</v>
      </c>
      <c r="BR1" s="7" t="s">
        <v>69</v>
      </c>
    </row>
    <row r="2" spans="1:70" x14ac:dyDescent="0.25">
      <c r="B2" s="9" t="s">
        <v>70</v>
      </c>
      <c r="C2" s="8" t="s">
        <v>71</v>
      </c>
      <c r="F2" s="11">
        <v>45328</v>
      </c>
      <c r="G2" s="11">
        <v>45329</v>
      </c>
      <c r="H2" s="11">
        <v>45329</v>
      </c>
      <c r="I2" s="8" t="s">
        <v>72</v>
      </c>
      <c r="J2" s="8" t="s">
        <v>73</v>
      </c>
      <c r="K2" s="8" t="s">
        <v>74</v>
      </c>
      <c r="L2" s="8" t="s">
        <v>15</v>
      </c>
      <c r="N2" s="8" t="s">
        <v>75</v>
      </c>
      <c r="O2" s="8" t="s">
        <v>76</v>
      </c>
      <c r="P2" s="28" t="s">
        <v>77</v>
      </c>
      <c r="Q2" s="16" t="s">
        <v>78</v>
      </c>
      <c r="X2" s="8" t="s">
        <v>79</v>
      </c>
      <c r="Y2" s="34">
        <f>IF(X2='Listas suspensas'!$A$21,'Listas suspensas'!$B$23,IF(X2='Listas suspensas'!$A$22,'Listas suspensas'!$B$23,IF(X2='Listas suspensas'!$A$23,'Listas suspensas'!$B$22,IF(X2='Listas suspensas'!$A$26,'Listas suspensas'!$B$22,IF(X2='Listas suspensas'!$A$32,'Listas suspensas'!$B$22,IF(X2='Listas suspensas'!$A$33,'Listas suspensas'!$B$21,IF(X2='Listas suspensas'!$A$24,'Listas suspensas'!$B$22,IF(X2='Listas suspensas'!$A$30,'Listas suspensas'!$B$21,""))))))))</f>
        <v>6.5</v>
      </c>
      <c r="Z2" s="8" t="s">
        <v>80</v>
      </c>
      <c r="AA2" s="8">
        <v>3</v>
      </c>
      <c r="AB2" s="8" t="str">
        <f>IF(AA2='Listas suspensas'!$A$2,'Listas suspensas'!$B$2,IF(AA2='Listas suspensas'!$A$3,'Listas suspensas'!$B$3,IF(AA2='Listas suspensas'!$A$4,'Listas suspensas'!$B$4,IF(AA2='Listas suspensas'!$A$5,'Listas suspensas'!$B$5,IF(AA2='Listas suspensas'!$A$6,'Listas suspensas'!$B$6,"")))))</f>
        <v xml:space="preserve"> Parcial e regular</v>
      </c>
      <c r="AC2" s="8" t="str">
        <f>IF(AA2='Listas suspensas'!$A$2,'Listas suspensas'!$C$2,IF(AA2='Listas suspensas'!$A$3,'Listas suspensas'!$C$3,IF(AA2='Listas suspensas'!$A$4,'Listas suspensas'!$C$4,IF(AA2='Listas suspensas'!$A$5,'Listas suspensas'!$C$5,IF(AA2='Listas suspensas'!$A$6,'Listas suspensas'!$C$6,"")))))</f>
        <v>Indica a penetração uniforme, mas não total pela extensão do alburno.</v>
      </c>
      <c r="AK2" s="8">
        <v>11.12</v>
      </c>
      <c r="AL2" s="8">
        <v>11.37</v>
      </c>
      <c r="AM2" s="8">
        <v>11.12</v>
      </c>
      <c r="AN2" s="8">
        <v>11.3</v>
      </c>
      <c r="AO2" s="8">
        <v>10.77</v>
      </c>
      <c r="AP2" s="8">
        <f t="shared" ref="AP2:AP65" si="0">AVERAGE(AK2:AO2)/10</f>
        <v>1.1135999999999999</v>
      </c>
      <c r="AQ2" s="8">
        <v>17.5</v>
      </c>
      <c r="AR2" s="8">
        <v>17.559999999999999</v>
      </c>
      <c r="AS2" s="8">
        <v>20.170000000000002</v>
      </c>
      <c r="AT2" s="8">
        <v>14.34</v>
      </c>
      <c r="AU2" s="8">
        <v>16.97</v>
      </c>
      <c r="AV2" s="8">
        <f t="shared" ref="AV2:AV65" si="1">AVERAGE(AQ2:AU2)/10</f>
        <v>1.7307999999999999</v>
      </c>
      <c r="AW2" s="20">
        <v>1.3948</v>
      </c>
      <c r="AX2" s="20">
        <v>1.5416000000000001</v>
      </c>
      <c r="AY2" s="20">
        <v>1.7109000000000001</v>
      </c>
      <c r="AZ2" s="20">
        <v>1.2992999999999999</v>
      </c>
      <c r="BA2" s="20">
        <v>1.3403</v>
      </c>
      <c r="BB2" s="20">
        <f t="shared" ref="BB2:BB65" si="2">AVERAGE(AW2:BA2)</f>
        <v>1.4573799999999999</v>
      </c>
      <c r="BC2" s="20">
        <f t="shared" ref="BC2:BC33" si="3">PI()*(AP2/2)^2*AV2</f>
        <v>1.6857579342734372</v>
      </c>
      <c r="BE2" s="14">
        <f t="shared" ref="BE2:BE33" si="4">(BB2/BC2)*1000</f>
        <v>864.52507229522951</v>
      </c>
      <c r="BF2" s="12">
        <v>0.33300000000000002</v>
      </c>
      <c r="BG2" s="13">
        <v>0.17100000000000001</v>
      </c>
      <c r="BH2" s="13">
        <v>0.29099999999999998</v>
      </c>
      <c r="BI2" s="13">
        <f t="shared" ref="BI2:BI65" si="5">SUM(BF2:BH2)</f>
        <v>0.79499999999999993</v>
      </c>
      <c r="BJ2" s="26">
        <v>41.8</v>
      </c>
      <c r="BK2" s="26">
        <v>21.6</v>
      </c>
      <c r="BL2" s="26">
        <v>36.6</v>
      </c>
      <c r="BM2" s="16">
        <f t="shared" ref="BM2:BM65" si="6">ROUND(SUM(BJ2:BL2),2)</f>
        <v>100</v>
      </c>
      <c r="BN2" s="21">
        <f t="shared" ref="BN2:BN65" si="7">ROUND((BF2/100)*BE2,2)</f>
        <v>2.88</v>
      </c>
      <c r="BO2" s="21">
        <f t="shared" ref="BO2:BO65" si="8">ROUND((BG2/100)*BE2,2)</f>
        <v>1.48</v>
      </c>
      <c r="BP2" s="21">
        <f t="shared" ref="BP2:BP65" si="9">ROUND((BH2/100)*BE2,2)</f>
        <v>2.52</v>
      </c>
      <c r="BQ2" s="14">
        <f t="shared" ref="BQ2:BQ65" si="10">ROUND(SUM(BN2:BP2),2)</f>
        <v>6.88</v>
      </c>
      <c r="BR2" s="22" t="str">
        <f>IF(OR(AND(X2="Mourões", BQ2&gt;=6.5),AND(X2="Postes", BQ2&gt;=9.6),AND(X2="Dormentes", BQ2&gt;=9.6),AND(X2="Estacas", BQ2&gt;=6.5),AND(X2="Cruzetas", BQ2&gt;=6.5),AND(X2="Outros - Solo", BQ2&gt;=6.5),AND(X2="Outros - Suspenso",BQ2&gt;=4),AND(X2="Deck",BQ2&gt;=4)),'Listas suspensas'!$C$21,'Listas suspensas'!$C$22)</f>
        <v>Os resultados da análise química apresentaram uma retenção do produto de acordo com o padrão mínimo exigido pela norma ABNT NBR 16143</v>
      </c>
    </row>
    <row r="3" spans="1:70" x14ac:dyDescent="0.25">
      <c r="B3" s="9" t="s">
        <v>81</v>
      </c>
      <c r="C3" s="8" t="s">
        <v>71</v>
      </c>
      <c r="F3" s="11">
        <v>45328</v>
      </c>
      <c r="G3" s="11">
        <v>45329</v>
      </c>
      <c r="H3" s="11">
        <v>45330</v>
      </c>
      <c r="I3" s="8" t="s">
        <v>73</v>
      </c>
      <c r="J3" s="8" t="s">
        <v>82</v>
      </c>
      <c r="K3" s="8" t="s">
        <v>74</v>
      </c>
      <c r="L3" s="8" t="s">
        <v>15</v>
      </c>
      <c r="N3" s="8" t="s">
        <v>75</v>
      </c>
      <c r="O3" s="8" t="s">
        <v>76</v>
      </c>
      <c r="P3" s="28" t="s">
        <v>77</v>
      </c>
      <c r="Q3" s="16" t="s">
        <v>83</v>
      </c>
      <c r="X3" s="8" t="s">
        <v>79</v>
      </c>
      <c r="Y3" s="34">
        <f>IF(X3='Listas suspensas'!$A$21,'Listas suspensas'!$B$23,IF(X3='Listas suspensas'!$A$22,'Listas suspensas'!$B$23,IF(X3='Listas suspensas'!$A$23,'Listas suspensas'!$B$22,IF(X3='Listas suspensas'!$A$26,'Listas suspensas'!$B$22,IF(X3='Listas suspensas'!$A$32,'Listas suspensas'!$B$22,IF(X3='Listas suspensas'!$A$33,'Listas suspensas'!$B$21,IF(X3='Listas suspensas'!$A$24,'Listas suspensas'!$B$22,IF(X3='Listas suspensas'!$A$30,'Listas suspensas'!$B$21,""))))))))</f>
        <v>6.5</v>
      </c>
      <c r="Z3" s="8" t="s">
        <v>80</v>
      </c>
      <c r="AA3" s="8">
        <v>3</v>
      </c>
      <c r="AB3" s="8" t="str">
        <f>IF(AA3='Listas suspensas'!$A$2,'Listas suspensas'!$B$2,IF(AA3='Listas suspensas'!$A$3,'Listas suspensas'!$B$3,IF(AA3='Listas suspensas'!$A$4,'Listas suspensas'!$B$4,IF(AA3='Listas suspensas'!$A$5,'Listas suspensas'!$B$5,IF(AA3='Listas suspensas'!$A$6,'Listas suspensas'!$B$6,"")))))</f>
        <v xml:space="preserve"> Parcial e regular</v>
      </c>
      <c r="AC3" s="8" t="str">
        <f>IF(AA3='Listas suspensas'!$A$2,'Listas suspensas'!$C$2,IF(AA3='Listas suspensas'!$A$3,'Listas suspensas'!$C$3,IF(AA3='Listas suspensas'!$A$4,'Listas suspensas'!$C$4,IF(AA3='Listas suspensas'!$A$5,'Listas suspensas'!$C$5,IF(AA3='Listas suspensas'!$A$6,'Listas suspensas'!$C$6,"")))))</f>
        <v>Indica a penetração uniforme, mas não total pela extensão do alburno.</v>
      </c>
      <c r="AK3" s="8">
        <v>12</v>
      </c>
      <c r="AL3" s="8">
        <v>11.59</v>
      </c>
      <c r="AM3" s="8">
        <v>12.05</v>
      </c>
      <c r="AN3" s="8">
        <v>12.05</v>
      </c>
      <c r="AO3" s="8">
        <v>11.93</v>
      </c>
      <c r="AP3" s="8">
        <f t="shared" si="0"/>
        <v>1.1923999999999999</v>
      </c>
      <c r="AQ3" s="8">
        <v>15.69</v>
      </c>
      <c r="AR3" s="8">
        <v>20.67</v>
      </c>
      <c r="AS3" s="8">
        <v>12.59</v>
      </c>
      <c r="AT3" s="8">
        <v>11.19</v>
      </c>
      <c r="AU3" s="8">
        <v>16.420000000000002</v>
      </c>
      <c r="AV3" s="8">
        <f t="shared" si="1"/>
        <v>1.5312000000000001</v>
      </c>
      <c r="AW3" s="20">
        <v>1.3573999999999999</v>
      </c>
      <c r="AX3" s="20">
        <v>1.9382999999999999</v>
      </c>
      <c r="AY3" s="20">
        <v>1.081</v>
      </c>
      <c r="AZ3" s="20">
        <v>1.0586</v>
      </c>
      <c r="BA3" s="20">
        <v>1.5283</v>
      </c>
      <c r="BB3" s="20">
        <f t="shared" si="2"/>
        <v>1.39272</v>
      </c>
      <c r="BC3" s="20">
        <f t="shared" si="3"/>
        <v>1.7098804094753748</v>
      </c>
      <c r="BE3" s="18">
        <f t="shared" si="4"/>
        <v>814.51310412247722</v>
      </c>
      <c r="BF3" s="12">
        <v>0.253</v>
      </c>
      <c r="BG3" s="13">
        <v>0.14599999999999999</v>
      </c>
      <c r="BH3" s="13">
        <v>0.249</v>
      </c>
      <c r="BI3" s="13">
        <f t="shared" si="5"/>
        <v>0.64800000000000002</v>
      </c>
      <c r="BJ3" s="26">
        <v>39.1</v>
      </c>
      <c r="BK3" s="26">
        <v>22.5</v>
      </c>
      <c r="BL3" s="26">
        <v>38.4</v>
      </c>
      <c r="BM3" s="16">
        <f t="shared" si="6"/>
        <v>100</v>
      </c>
      <c r="BN3" s="21">
        <f t="shared" si="7"/>
        <v>2.06</v>
      </c>
      <c r="BO3" s="21">
        <f t="shared" si="8"/>
        <v>1.19</v>
      </c>
      <c r="BP3" s="21">
        <f t="shared" si="9"/>
        <v>2.0299999999999998</v>
      </c>
      <c r="BQ3" s="14">
        <f t="shared" si="10"/>
        <v>5.28</v>
      </c>
      <c r="BR3" s="22" t="str">
        <f>IF(OR(AND(X3="Mourões", BQ3&gt;=6.5),AND(X3="Postes", BQ3&gt;=9.6),AND(X3="Dormentes", BQ3&gt;=9.6),AND(X3="Estacas", BQ3&gt;=6.5),AND(X3="Cruzetas", BQ3&gt;=6.5),AND(X3="Outros - Solo", BQ3&gt;=6.5),AND(X3="Outros - Suspenso",BQ3&gt;=4),AND(X3="Deck",BQ3&gt;=4)),'Listas suspensas'!$C$21,'Listas suspensas'!$C$22)</f>
        <v>Os resultados da análise química apresentaram uma retenção do produto inferior ao padrão mínimo exigido pela norma ABNT NBR 16143</v>
      </c>
    </row>
    <row r="4" spans="1:70" x14ac:dyDescent="0.25">
      <c r="B4" s="9" t="s">
        <v>84</v>
      </c>
      <c r="C4" s="8" t="s">
        <v>71</v>
      </c>
      <c r="F4" s="11">
        <v>45328</v>
      </c>
      <c r="G4" s="11">
        <v>45329</v>
      </c>
      <c r="H4" s="11">
        <v>45330</v>
      </c>
      <c r="I4" s="8" t="s">
        <v>73</v>
      </c>
      <c r="J4" s="8" t="s">
        <v>82</v>
      </c>
      <c r="K4" s="8" t="s">
        <v>74</v>
      </c>
      <c r="L4" s="8" t="s">
        <v>15</v>
      </c>
      <c r="N4" s="8" t="s">
        <v>75</v>
      </c>
      <c r="O4" s="8" t="s">
        <v>76</v>
      </c>
      <c r="P4" s="28" t="s">
        <v>77</v>
      </c>
      <c r="Q4" s="16" t="s">
        <v>85</v>
      </c>
      <c r="X4" s="8" t="s">
        <v>79</v>
      </c>
      <c r="Y4" s="34">
        <f>IF(X4='Listas suspensas'!$A$21,'Listas suspensas'!$B$23,IF(X4='Listas suspensas'!$A$22,'Listas suspensas'!$B$23,IF(X4='Listas suspensas'!$A$23,'Listas suspensas'!$B$22,IF(X4='Listas suspensas'!$A$26,'Listas suspensas'!$B$22,IF(X4='Listas suspensas'!$A$32,'Listas suspensas'!$B$22,IF(X4='Listas suspensas'!$A$33,'Listas suspensas'!$B$21,IF(X4='Listas suspensas'!$A$24,'Listas suspensas'!$B$22,IF(X4='Listas suspensas'!$A$30,'Listas suspensas'!$B$21,""))))))))</f>
        <v>6.5</v>
      </c>
      <c r="Z4" s="8" t="s">
        <v>80</v>
      </c>
      <c r="AA4" s="8">
        <v>2</v>
      </c>
      <c r="AB4" s="8" t="str">
        <f>IF(AA4='Listas suspensas'!$A$2,'Listas suspensas'!$B$2,IF(AA4='Listas suspensas'!$A$3,'Listas suspensas'!$B$3,IF(AA4='Listas suspensas'!$A$4,'Listas suspensas'!$B$4,IF(AA4='Listas suspensas'!$A$5,'Listas suspensas'!$B$5,IF(AA4='Listas suspensas'!$A$6,'Listas suspensas'!$B$6,"")))))</f>
        <v>Profunda e irregular</v>
      </c>
      <c r="AC4" s="8" t="str">
        <f>IF(AA4='Listas suspensas'!$A$2,'Listas suspensas'!$C$2,IF(AA4='Listas suspensas'!$A$3,'Listas suspensas'!$C$3,IF(AA4='Listas suspensas'!$A$4,'Listas suspensas'!$C$4,IF(AA4='Listas suspensas'!$A$5,'Listas suspensas'!$C$5,IF(AA4='Listas suspensas'!$A$6,'Listas suspensas'!$C$6,"")))))</f>
        <v>Indica a penetração profunda, mas desuniforme em toda a extensão do alburno.</v>
      </c>
      <c r="AK4" s="8">
        <v>11.49</v>
      </c>
      <c r="AL4" s="8">
        <v>11.58</v>
      </c>
      <c r="AM4" s="8">
        <v>12.01</v>
      </c>
      <c r="AN4" s="8">
        <v>11.95</v>
      </c>
      <c r="AO4" s="8">
        <v>11.96</v>
      </c>
      <c r="AP4" s="8">
        <f t="shared" si="0"/>
        <v>1.1798</v>
      </c>
      <c r="AQ4" s="8">
        <v>13.77</v>
      </c>
      <c r="AR4" s="8">
        <v>14.03</v>
      </c>
      <c r="AS4" s="8">
        <v>12.4</v>
      </c>
      <c r="AT4" s="8">
        <v>12.99</v>
      </c>
      <c r="AU4" s="8">
        <v>15.1</v>
      </c>
      <c r="AV4" s="8">
        <f t="shared" si="1"/>
        <v>1.3657999999999997</v>
      </c>
      <c r="AW4" s="20">
        <v>1.2413000000000001</v>
      </c>
      <c r="AX4" s="20">
        <v>1.0813999999999999</v>
      </c>
      <c r="AY4" s="20">
        <v>1.2023999999999999</v>
      </c>
      <c r="AZ4" s="20">
        <v>1.2591000000000001</v>
      </c>
      <c r="BA4" s="20">
        <v>1.3569</v>
      </c>
      <c r="BB4" s="20">
        <f t="shared" si="2"/>
        <v>1.2282199999999999</v>
      </c>
      <c r="BC4" s="20">
        <f t="shared" si="3"/>
        <v>1.493116770440422</v>
      </c>
      <c r="BE4" s="18">
        <f t="shared" si="4"/>
        <v>822.58804154862855</v>
      </c>
      <c r="BF4" s="2">
        <v>0.215</v>
      </c>
      <c r="BG4" s="8">
        <v>0.10299999999999999</v>
      </c>
      <c r="BH4" s="8">
        <v>0.16900000000000001</v>
      </c>
      <c r="BI4" s="13">
        <f t="shared" si="5"/>
        <v>0.48699999999999999</v>
      </c>
      <c r="BJ4" s="26">
        <v>44.2</v>
      </c>
      <c r="BK4" s="26">
        <v>21.1</v>
      </c>
      <c r="BL4" s="26">
        <v>34.700000000000003</v>
      </c>
      <c r="BM4" s="16">
        <f t="shared" si="6"/>
        <v>100</v>
      </c>
      <c r="BN4" s="21">
        <f>ROUND((BF4/100)*BE4,2)</f>
        <v>1.77</v>
      </c>
      <c r="BO4" s="21">
        <f t="shared" si="8"/>
        <v>0.85</v>
      </c>
      <c r="BP4" s="21">
        <f t="shared" si="9"/>
        <v>1.39</v>
      </c>
      <c r="BQ4" s="14">
        <f t="shared" si="10"/>
        <v>4.01</v>
      </c>
      <c r="BR4" s="22" t="str">
        <f>IF(OR(AND(X4="Mourões", BQ4&gt;=6.5),AND(X4="Postes", BQ4&gt;=9.6),AND(X4="Dormentes", BQ4&gt;=9.6),AND(X4="Estacas", BQ4&gt;=6.5),AND(X4="Cruzetas", BQ4&gt;=6.5),AND(X4="Outros - Solo", BQ4&gt;=6.5),AND(X4="Outros - Suspenso",BQ4&gt;=4),AND(X4="Deck",BQ4&gt;=4)),'Listas suspensas'!$C$21,'Listas suspensas'!$C$22)</f>
        <v>Os resultados da análise química apresentaram uma retenção do produto inferior ao padrão mínimo exigido pela norma ABNT NBR 16143</v>
      </c>
    </row>
    <row r="5" spans="1:70" x14ac:dyDescent="0.25">
      <c r="B5" s="9" t="s">
        <v>86</v>
      </c>
      <c r="C5" s="8" t="s">
        <v>71</v>
      </c>
      <c r="F5" s="11">
        <v>45328</v>
      </c>
      <c r="G5" s="11">
        <v>45329</v>
      </c>
      <c r="H5" s="11">
        <v>45330</v>
      </c>
      <c r="I5" s="8" t="s">
        <v>73</v>
      </c>
      <c r="J5" s="8" t="s">
        <v>82</v>
      </c>
      <c r="K5" s="8" t="s">
        <v>74</v>
      </c>
      <c r="L5" s="8" t="s">
        <v>15</v>
      </c>
      <c r="N5" s="8" t="s">
        <v>75</v>
      </c>
      <c r="O5" s="8" t="s">
        <v>76</v>
      </c>
      <c r="P5" s="28" t="s">
        <v>77</v>
      </c>
      <c r="Q5" s="16" t="s">
        <v>87</v>
      </c>
      <c r="X5" s="8" t="s">
        <v>79</v>
      </c>
      <c r="Y5" s="34">
        <f>IF(X5='Listas suspensas'!$A$21,'Listas suspensas'!$B$23,IF(X5='Listas suspensas'!$A$22,'Listas suspensas'!$B$23,IF(X5='Listas suspensas'!$A$23,'Listas suspensas'!$B$22,IF(X5='Listas suspensas'!$A$26,'Listas suspensas'!$B$22,IF(X5='Listas suspensas'!$A$32,'Listas suspensas'!$B$22,IF(X5='Listas suspensas'!$A$33,'Listas suspensas'!$B$21,IF(X5='Listas suspensas'!$A$24,'Listas suspensas'!$B$22,IF(X5='Listas suspensas'!$A$30,'Listas suspensas'!$B$21,""))))))))</f>
        <v>6.5</v>
      </c>
      <c r="Z5" s="8" t="s">
        <v>80</v>
      </c>
      <c r="AA5" s="8">
        <v>3</v>
      </c>
      <c r="AB5" s="8" t="str">
        <f>IF(AA5='Listas suspensas'!$A$2,'Listas suspensas'!$B$2,IF(AA5='Listas suspensas'!$A$3,'Listas suspensas'!$B$3,IF(AA5='Listas suspensas'!$A$4,'Listas suspensas'!$B$4,IF(AA5='Listas suspensas'!$A$5,'Listas suspensas'!$B$5,IF(AA5='Listas suspensas'!$A$6,'Listas suspensas'!$B$6,"")))))</f>
        <v xml:space="preserve"> Parcial e regular</v>
      </c>
      <c r="AC5" s="8" t="str">
        <f>IF(AA5='Listas suspensas'!$A$2,'Listas suspensas'!$C$2,IF(AA5='Listas suspensas'!$A$3,'Listas suspensas'!$C$3,IF(AA5='Listas suspensas'!$A$4,'Listas suspensas'!$C$4,IF(AA5='Listas suspensas'!$A$5,'Listas suspensas'!$C$5,IF(AA5='Listas suspensas'!$A$6,'Listas suspensas'!$C$6,"")))))</f>
        <v>Indica a penetração uniforme, mas não total pela extensão do alburno.</v>
      </c>
      <c r="AK5" s="8">
        <v>11.94</v>
      </c>
      <c r="AL5" s="8">
        <v>12.02</v>
      </c>
      <c r="AM5" s="8">
        <v>11.93</v>
      </c>
      <c r="AN5" s="8">
        <v>11.94</v>
      </c>
      <c r="AO5" s="8">
        <v>11.96</v>
      </c>
      <c r="AP5" s="8">
        <f t="shared" si="0"/>
        <v>1.1958</v>
      </c>
      <c r="AQ5" s="8">
        <v>11.79</v>
      </c>
      <c r="AR5" s="8">
        <v>10.53</v>
      </c>
      <c r="AS5" s="8">
        <v>15.61</v>
      </c>
      <c r="AT5" s="8">
        <v>14.8</v>
      </c>
      <c r="AU5" s="8">
        <v>13.05</v>
      </c>
      <c r="AV5" s="8">
        <f t="shared" si="1"/>
        <v>1.3156000000000001</v>
      </c>
      <c r="AW5" s="20">
        <v>1.0178</v>
      </c>
      <c r="AX5" s="20">
        <v>0.98480000000000001</v>
      </c>
      <c r="AY5" s="20">
        <v>1.496</v>
      </c>
      <c r="AZ5" s="20">
        <v>1.4151</v>
      </c>
      <c r="BA5" s="20">
        <v>1.1900999999999999</v>
      </c>
      <c r="BB5" s="20">
        <f t="shared" si="2"/>
        <v>1.2207600000000001</v>
      </c>
      <c r="BC5" s="20">
        <f t="shared" si="3"/>
        <v>1.4775114132787166</v>
      </c>
      <c r="BE5" s="18">
        <f t="shared" si="4"/>
        <v>826.22712016216201</v>
      </c>
      <c r="BF5" s="8">
        <v>0.17799999999999999</v>
      </c>
      <c r="BG5" s="8">
        <v>9.5000000000000001E-2</v>
      </c>
      <c r="BH5" s="8">
        <v>0.16200000000000001</v>
      </c>
      <c r="BI5" s="13">
        <f t="shared" si="5"/>
        <v>0.43500000000000005</v>
      </c>
      <c r="BJ5" s="26">
        <v>40.9</v>
      </c>
      <c r="BK5" s="26">
        <v>21.8</v>
      </c>
      <c r="BL5" s="26">
        <v>37.299999999999997</v>
      </c>
      <c r="BM5" s="16">
        <f t="shared" si="6"/>
        <v>100</v>
      </c>
      <c r="BN5" s="21">
        <f t="shared" si="7"/>
        <v>1.47</v>
      </c>
      <c r="BO5" s="21">
        <f t="shared" si="8"/>
        <v>0.78</v>
      </c>
      <c r="BP5" s="21">
        <f t="shared" si="9"/>
        <v>1.34</v>
      </c>
      <c r="BQ5" s="14">
        <f t="shared" si="10"/>
        <v>3.59</v>
      </c>
      <c r="BR5" s="22" t="str">
        <f>IF(OR(AND(X5="Mourões", BQ5&gt;=6.5),AND(X5="Postes", BQ5&gt;=9.6),AND(X5="Dormentes", BQ5&gt;=9.6),AND(X5="Estacas", BQ5&gt;=6.5),AND(X5="Cruzetas", BQ5&gt;=6.5),AND(X5="Outros - Solo", BQ5&gt;=6.5),AND(X5="Outros - Suspenso",BQ5&gt;=4),AND(X5="Deck",BQ5&gt;=4)),'Listas suspensas'!$C$21,'Listas suspensas'!$C$22)</f>
        <v>Os resultados da análise química apresentaram uma retenção do produto inferior ao padrão mínimo exigido pela norma ABNT NBR 16143</v>
      </c>
    </row>
    <row r="6" spans="1:70" x14ac:dyDescent="0.25">
      <c r="B6" s="9" t="s">
        <v>88</v>
      </c>
      <c r="C6" s="8" t="s">
        <v>71</v>
      </c>
      <c r="D6" s="8" t="s">
        <v>89</v>
      </c>
      <c r="F6" s="11">
        <v>45328</v>
      </c>
      <c r="G6" s="11">
        <v>45329</v>
      </c>
      <c r="H6" s="11">
        <v>45330</v>
      </c>
      <c r="I6" s="8" t="s">
        <v>90</v>
      </c>
      <c r="J6" s="8" t="s">
        <v>91</v>
      </c>
      <c r="K6" s="8" t="s">
        <v>92</v>
      </c>
      <c r="L6" s="8" t="s">
        <v>15</v>
      </c>
      <c r="M6" s="8" t="s">
        <v>93</v>
      </c>
      <c r="N6" s="8" t="s">
        <v>75</v>
      </c>
      <c r="O6" s="8" t="s">
        <v>94</v>
      </c>
      <c r="P6" s="28" t="s">
        <v>77</v>
      </c>
      <c r="Q6" s="16" t="s">
        <v>95</v>
      </c>
      <c r="X6" s="8" t="s">
        <v>79</v>
      </c>
      <c r="Y6" s="34">
        <f>IF(X6='Listas suspensas'!$A$21,'Listas suspensas'!$B$23,IF(X6='Listas suspensas'!$A$22,'Listas suspensas'!$B$23,IF(X6='Listas suspensas'!$A$23,'Listas suspensas'!$B$22,IF(X6='Listas suspensas'!$A$26,'Listas suspensas'!$B$22,IF(X6='Listas suspensas'!$A$32,'Listas suspensas'!$B$22,IF(X6='Listas suspensas'!$A$33,'Listas suspensas'!$B$21,IF(X6='Listas suspensas'!$A$24,'Listas suspensas'!$B$22,IF(X6='Listas suspensas'!$A$30,'Listas suspensas'!$B$21,""))))))))</f>
        <v>6.5</v>
      </c>
      <c r="Z6" s="8" t="s">
        <v>80</v>
      </c>
      <c r="AA6" s="8">
        <v>1</v>
      </c>
      <c r="AB6" s="8" t="str">
        <f>IF(AA6='Listas suspensas'!$A$2,'Listas suspensas'!$B$2,IF(AA6='Listas suspensas'!$A$3,'Listas suspensas'!$B$3,IF(AA6='Listas suspensas'!$A$4,'Listas suspensas'!$B$4,IF(AA6='Listas suspensas'!$A$5,'Listas suspensas'!$B$5,IF(AA6='Listas suspensas'!$A$6,'Listas suspensas'!$B$6,"")))))</f>
        <v>Profunda e regular</v>
      </c>
      <c r="AC6" s="8" t="str">
        <f>IF(AA6='Listas suspensas'!$A$2,'Listas suspensas'!$C$2,IF(AA6='Listas suspensas'!$A$3,'Listas suspensas'!$C$3,IF(AA6='Listas suspensas'!$A$4,'Listas suspensas'!$C$4,IF(AA6='Listas suspensas'!$A$5,'Listas suspensas'!$C$5,IF(AA6='Listas suspensas'!$A$6,'Listas suspensas'!$C$6,"")))))</f>
        <v>Indica a penetração profunda e uniforme em toda a extensão do alburno.</v>
      </c>
      <c r="AK6" s="8">
        <v>12.07</v>
      </c>
      <c r="AL6" s="8">
        <v>11.87</v>
      </c>
      <c r="AM6" s="8">
        <v>10.87</v>
      </c>
      <c r="AN6" s="8">
        <v>11.34</v>
      </c>
      <c r="AO6" s="8">
        <v>11.2</v>
      </c>
      <c r="AP6" s="8">
        <f t="shared" si="0"/>
        <v>1.1469999999999998</v>
      </c>
      <c r="AQ6" s="8">
        <v>19.78</v>
      </c>
      <c r="AR6" s="8">
        <v>16.600000000000001</v>
      </c>
      <c r="AS6" s="8">
        <v>17.559999999999999</v>
      </c>
      <c r="AT6" s="8">
        <v>16.21</v>
      </c>
      <c r="AU6" s="8">
        <v>15.87</v>
      </c>
      <c r="AV6" s="8">
        <f t="shared" si="1"/>
        <v>1.7204000000000002</v>
      </c>
      <c r="AW6" s="20">
        <v>1.7981</v>
      </c>
      <c r="AX6" s="20">
        <v>1.5502</v>
      </c>
      <c r="AY6" s="20">
        <v>1.7351000000000001</v>
      </c>
      <c r="AZ6" s="20">
        <v>1.5215000000000001</v>
      </c>
      <c r="BA6" s="20">
        <v>1.4194</v>
      </c>
      <c r="BB6" s="20">
        <f t="shared" si="2"/>
        <v>1.60486</v>
      </c>
      <c r="BC6" s="20">
        <f t="shared" si="3"/>
        <v>1.7776495655974831</v>
      </c>
      <c r="BE6" s="18">
        <f t="shared" si="4"/>
        <v>902.79885926818929</v>
      </c>
      <c r="BF6" s="8">
        <v>0.36399999999999999</v>
      </c>
      <c r="BG6" s="8">
        <v>0.16</v>
      </c>
      <c r="BH6" s="8">
        <v>0.26300000000000001</v>
      </c>
      <c r="BI6" s="13">
        <f t="shared" si="5"/>
        <v>0.78700000000000003</v>
      </c>
      <c r="BJ6" s="26">
        <v>46.2</v>
      </c>
      <c r="BK6" s="26">
        <v>20.3</v>
      </c>
      <c r="BL6" s="26">
        <v>33.5</v>
      </c>
      <c r="BM6" s="16">
        <f t="shared" si="6"/>
        <v>100</v>
      </c>
      <c r="BN6" s="21">
        <f t="shared" si="7"/>
        <v>3.29</v>
      </c>
      <c r="BO6" s="21">
        <f t="shared" si="8"/>
        <v>1.44</v>
      </c>
      <c r="BP6" s="21">
        <f t="shared" si="9"/>
        <v>2.37</v>
      </c>
      <c r="BQ6" s="14">
        <f t="shared" si="10"/>
        <v>7.1</v>
      </c>
      <c r="BR6" s="22" t="str">
        <f>IF(OR(AND(X6="Mourões", BQ6&gt;=6.5),AND(X6="Postes", BQ6&gt;=9.6),AND(X6="Dormentes", BQ6&gt;=9.6),AND(X6="Estacas", BQ6&gt;=6.5),AND(X6="Cruzetas", BQ6&gt;=6.5),AND(X6="Outros - Solo", BQ6&gt;=6.5),AND(X6="Outros - Suspenso",BQ6&gt;=4),AND(X6="Deck",BQ6&gt;=4)),'Listas suspensas'!$C$21,'Listas suspensas'!$C$22)</f>
        <v>Os resultados da análise química apresentaram uma retenção do produto de acordo com o padrão mínimo exigido pela norma ABNT NBR 16143</v>
      </c>
    </row>
    <row r="7" spans="1:70" x14ac:dyDescent="0.25">
      <c r="B7" s="9" t="s">
        <v>96</v>
      </c>
      <c r="C7" s="8" t="s">
        <v>71</v>
      </c>
      <c r="D7" s="8" t="s">
        <v>89</v>
      </c>
      <c r="F7" s="11">
        <v>45328</v>
      </c>
      <c r="G7" s="11">
        <v>45329</v>
      </c>
      <c r="H7" s="11">
        <v>45330</v>
      </c>
      <c r="I7" s="8" t="s">
        <v>90</v>
      </c>
      <c r="J7" s="8" t="s">
        <v>91</v>
      </c>
      <c r="K7" s="8" t="s">
        <v>92</v>
      </c>
      <c r="L7" s="8" t="s">
        <v>15</v>
      </c>
      <c r="M7" s="8" t="s">
        <v>93</v>
      </c>
      <c r="N7" s="8" t="s">
        <v>75</v>
      </c>
      <c r="O7" s="8" t="s">
        <v>94</v>
      </c>
      <c r="P7" s="28" t="s">
        <v>77</v>
      </c>
      <c r="Q7" s="16" t="s">
        <v>97</v>
      </c>
      <c r="X7" s="8" t="s">
        <v>98</v>
      </c>
      <c r="Y7" s="34">
        <f>IF(X7='Listas suspensas'!$A$21,'Listas suspensas'!$B$23,IF(X7='Listas suspensas'!$A$22,'Listas suspensas'!$B$23,IF(X7='Listas suspensas'!$A$23,'Listas suspensas'!$B$22,IF(X7='Listas suspensas'!$A$26,'Listas suspensas'!$B$22,IF(X7='Listas suspensas'!$A$32,'Listas suspensas'!$B$22,IF(X7='Listas suspensas'!$A$33,'Listas suspensas'!$B$21,IF(X7='Listas suspensas'!$A$24,'Listas suspensas'!$B$22,IF(X7='Listas suspensas'!$A$30,'Listas suspensas'!$B$21,""))))))))</f>
        <v>9.6</v>
      </c>
      <c r="Z7" s="8" t="s">
        <v>80</v>
      </c>
      <c r="AA7" s="8">
        <v>1</v>
      </c>
      <c r="AB7" s="8" t="str">
        <f>IF(AA7='Listas suspensas'!$A$2,'Listas suspensas'!$B$2,IF(AA7='Listas suspensas'!$A$3,'Listas suspensas'!$B$3,IF(AA7='Listas suspensas'!$A$4,'Listas suspensas'!$B$4,IF(AA7='Listas suspensas'!$A$5,'Listas suspensas'!$B$5,IF(AA7='Listas suspensas'!$A$6,'Listas suspensas'!$B$6,"")))))</f>
        <v>Profunda e regular</v>
      </c>
      <c r="AC7" s="8" t="str">
        <f>IF(AA7='Listas suspensas'!$A$2,'Listas suspensas'!$C$2,IF(AA7='Listas suspensas'!$A$3,'Listas suspensas'!$C$3,IF(AA7='Listas suspensas'!$A$4,'Listas suspensas'!$C$4,IF(AA7='Listas suspensas'!$A$5,'Listas suspensas'!$C$5,IF(AA7='Listas suspensas'!$A$6,'Listas suspensas'!$C$6,"")))))</f>
        <v>Indica a penetração profunda e uniforme em toda a extensão do alburno.</v>
      </c>
      <c r="AK7" s="8">
        <v>11.17</v>
      </c>
      <c r="AL7" s="8">
        <v>11.92</v>
      </c>
      <c r="AM7" s="8">
        <v>11.99</v>
      </c>
      <c r="AN7" s="8">
        <v>10.68</v>
      </c>
      <c r="AO7" s="8">
        <v>11.11</v>
      </c>
      <c r="AP7" s="8">
        <f t="shared" si="0"/>
        <v>1.1374</v>
      </c>
      <c r="AQ7" s="8">
        <v>13.15</v>
      </c>
      <c r="AR7" s="8">
        <v>20.61</v>
      </c>
      <c r="AS7" s="8">
        <v>20.54</v>
      </c>
      <c r="AT7" s="8">
        <v>14.61</v>
      </c>
      <c r="AU7" s="8">
        <v>18.760000000000002</v>
      </c>
      <c r="AV7" s="8">
        <f t="shared" si="1"/>
        <v>1.7533999999999998</v>
      </c>
      <c r="AW7" s="20">
        <v>1.3202</v>
      </c>
      <c r="AX7" s="20">
        <v>1.8622000000000001</v>
      </c>
      <c r="AY7" s="20">
        <v>1.9167000000000001</v>
      </c>
      <c r="AZ7" s="20">
        <v>1.4302999999999999</v>
      </c>
      <c r="BA7" s="20">
        <v>1.6906000000000001</v>
      </c>
      <c r="BB7" s="20">
        <f t="shared" si="2"/>
        <v>1.6440000000000001</v>
      </c>
      <c r="BC7" s="20">
        <f t="shared" si="3"/>
        <v>1.7815471936632474</v>
      </c>
      <c r="BE7" s="18">
        <f t="shared" si="4"/>
        <v>922.79340443380545</v>
      </c>
      <c r="BF7" s="8">
        <v>0.42399999999999999</v>
      </c>
      <c r="BG7" s="8">
        <v>0.20200000000000001</v>
      </c>
      <c r="BH7" s="8">
        <v>0.36</v>
      </c>
      <c r="BI7" s="13">
        <f t="shared" si="5"/>
        <v>0.98599999999999999</v>
      </c>
      <c r="BJ7" s="26">
        <v>43</v>
      </c>
      <c r="BK7" s="26">
        <v>20.5</v>
      </c>
      <c r="BL7" s="26">
        <v>36.5</v>
      </c>
      <c r="BM7" s="16">
        <f t="shared" si="6"/>
        <v>100</v>
      </c>
      <c r="BN7" s="21">
        <f t="shared" si="7"/>
        <v>3.91</v>
      </c>
      <c r="BO7" s="21">
        <f>ROUND((BG7/100)*BE7,2)</f>
        <v>1.86</v>
      </c>
      <c r="BP7" s="21">
        <f t="shared" si="9"/>
        <v>3.32</v>
      </c>
      <c r="BQ7" s="14">
        <f t="shared" si="10"/>
        <v>9.09</v>
      </c>
      <c r="BR7" s="22" t="str">
        <f>IF(OR(AND(X7="Mourões", BQ7&gt;=6.5),AND(X7="Postes", BQ7&gt;=9.6),AND(X7="Dormentes", BQ7&gt;=9.6),AND(X7="Estacas", BQ7&gt;=6.5),AND(X7="Cruzetas", BQ7&gt;=6.5),AND(X7="Outros - Solo", BQ7&gt;=6.5),AND(X7="Outros - Suspenso",BQ7&gt;=4),AND(X7="Deck",BQ7&gt;=4)),'Listas suspensas'!$C$21,'Listas suspensas'!$C$22)</f>
        <v>Os resultados da análise química apresentaram uma retenção do produto inferior ao padrão mínimo exigido pela norma ABNT NBR 16143</v>
      </c>
    </row>
    <row r="8" spans="1:70" ht="15.75" customHeight="1" x14ac:dyDescent="0.25">
      <c r="B8" s="9" t="s">
        <v>99</v>
      </c>
      <c r="C8" s="8" t="s">
        <v>71</v>
      </c>
      <c r="D8" s="8" t="s">
        <v>89</v>
      </c>
      <c r="F8" s="11">
        <v>45329</v>
      </c>
      <c r="G8" s="11">
        <v>45329</v>
      </c>
      <c r="H8" s="11">
        <v>45330</v>
      </c>
      <c r="I8" s="8" t="s">
        <v>90</v>
      </c>
      <c r="J8" s="8" t="s">
        <v>91</v>
      </c>
      <c r="K8" s="8" t="s">
        <v>92</v>
      </c>
      <c r="L8" s="8" t="s">
        <v>15</v>
      </c>
      <c r="M8" s="8" t="s">
        <v>93</v>
      </c>
      <c r="N8" s="8" t="s">
        <v>75</v>
      </c>
      <c r="O8" s="8" t="s">
        <v>94</v>
      </c>
      <c r="P8" s="28" t="s">
        <v>77</v>
      </c>
      <c r="Q8" s="16" t="s">
        <v>100</v>
      </c>
      <c r="X8" s="8" t="s">
        <v>101</v>
      </c>
      <c r="Y8" s="34">
        <f>IF(X8='Listas suspensas'!$A$21,'Listas suspensas'!$B$23,IF(X8='Listas suspensas'!$A$22,'Listas suspensas'!$B$23,IF(X8='Listas suspensas'!$A$23,'Listas suspensas'!$B$22,IF(X8='Listas suspensas'!$A$26,'Listas suspensas'!$B$22,IF(X8='Listas suspensas'!$A$32,'Listas suspensas'!$B$22,IF(X8='Listas suspensas'!$A$33,'Listas suspensas'!$B$21,IF(X8='Listas suspensas'!$A$24,'Listas suspensas'!$B$22,IF(X8='Listas suspensas'!$A$30,'Listas suspensas'!$B$21,""))))))))</f>
        <v>6.5</v>
      </c>
      <c r="Z8" s="8" t="s">
        <v>80</v>
      </c>
      <c r="AA8" s="8">
        <v>2</v>
      </c>
      <c r="AB8" s="8" t="str">
        <f>IF(AA8='Listas suspensas'!$A$2,'Listas suspensas'!$B$2,IF(AA8='Listas suspensas'!$A$3,'Listas suspensas'!$B$3,IF(AA8='Listas suspensas'!$A$4,'Listas suspensas'!$B$4,IF(AA8='Listas suspensas'!$A$5,'Listas suspensas'!$B$5,IF(AA8='Listas suspensas'!$A$6,'Listas suspensas'!$B$6,"")))))</f>
        <v>Profunda e irregular</v>
      </c>
      <c r="AC8" s="8" t="str">
        <f>IF(AA8='Listas suspensas'!$A$2,'Listas suspensas'!$C$2,IF(AA8='Listas suspensas'!$A$3,'Listas suspensas'!$C$3,IF(AA8='Listas suspensas'!$A$4,'Listas suspensas'!$C$4,IF(AA8='Listas suspensas'!$A$5,'Listas suspensas'!$C$5,IF(AA8='Listas suspensas'!$A$6,'Listas suspensas'!$C$6,"")))))</f>
        <v>Indica a penetração profunda, mas desuniforme em toda a extensão do alburno.</v>
      </c>
      <c r="AK8" s="8">
        <v>12.05</v>
      </c>
      <c r="AL8" s="8">
        <v>11.93</v>
      </c>
      <c r="AM8" s="8">
        <v>11.93</v>
      </c>
      <c r="AP8" s="8">
        <f t="shared" si="0"/>
        <v>1.1969999999999998</v>
      </c>
      <c r="AQ8" s="8">
        <v>19.170000000000002</v>
      </c>
      <c r="AR8" s="8">
        <v>18.25</v>
      </c>
      <c r="AS8" s="8">
        <v>18.079999999999998</v>
      </c>
      <c r="AV8" s="8">
        <f t="shared" si="1"/>
        <v>1.85</v>
      </c>
      <c r="AW8" s="20">
        <v>1.7944</v>
      </c>
      <c r="AX8" s="20">
        <v>1.6944999999999999</v>
      </c>
      <c r="AY8" s="20">
        <v>1.6107</v>
      </c>
      <c r="BB8" s="20">
        <f t="shared" si="2"/>
        <v>1.6998666666666669</v>
      </c>
      <c r="BC8" s="20">
        <f t="shared" si="3"/>
        <v>2.0818522806337683</v>
      </c>
      <c r="BE8" s="18">
        <f t="shared" si="4"/>
        <v>816.51646587969469</v>
      </c>
      <c r="BF8" s="8">
        <v>0.54600000000000004</v>
      </c>
      <c r="BG8" s="8">
        <v>0.252</v>
      </c>
      <c r="BH8" s="8">
        <v>0.45</v>
      </c>
      <c r="BI8" s="13">
        <f t="shared" si="5"/>
        <v>1.248</v>
      </c>
      <c r="BJ8" s="26">
        <v>43.7</v>
      </c>
      <c r="BK8" s="26">
        <v>20.2</v>
      </c>
      <c r="BL8" s="26">
        <v>36.1</v>
      </c>
      <c r="BM8" s="16">
        <f t="shared" si="6"/>
        <v>100</v>
      </c>
      <c r="BN8" s="21">
        <f t="shared" si="7"/>
        <v>4.46</v>
      </c>
      <c r="BO8" s="21">
        <f t="shared" si="8"/>
        <v>2.06</v>
      </c>
      <c r="BP8" s="21">
        <f t="shared" si="9"/>
        <v>3.67</v>
      </c>
      <c r="BQ8" s="14">
        <f t="shared" si="10"/>
        <v>10.19</v>
      </c>
      <c r="BR8" s="22" t="str">
        <f>IF(OR(AND(X8="Mourões", BQ8&gt;=6.5),AND(X8="Postes", BQ8&gt;=9.6),AND(X8="Dormentes", BQ8&gt;=9.6),AND(X8="Estacas", BQ8&gt;=6.5),AND(X8="Cruzetas", BQ8&gt;=6.5),AND(X8="Outros - Solo", BQ8&gt;=6.5),AND(X8="Outros - Suspenso",BQ8&gt;=4),AND(X8="Deck",BQ8&gt;=4)),'Listas suspensas'!$C$21,'Listas suspensas'!$C$22)</f>
        <v>Os resultados da análise química apresentaram uma retenção do produto de acordo com o padrão mínimo exigido pela norma ABNT NBR 16143</v>
      </c>
    </row>
    <row r="9" spans="1:70" x14ac:dyDescent="0.25">
      <c r="B9" s="8" t="s">
        <v>102</v>
      </c>
      <c r="C9" s="8" t="s">
        <v>71</v>
      </c>
      <c r="F9" s="11">
        <v>45350</v>
      </c>
      <c r="G9" s="11">
        <v>45350</v>
      </c>
      <c r="H9" s="11">
        <v>45351</v>
      </c>
      <c r="I9" s="8" t="s">
        <v>72</v>
      </c>
      <c r="J9" s="8" t="s">
        <v>73</v>
      </c>
      <c r="K9" s="8" t="s">
        <v>74</v>
      </c>
      <c r="L9" s="8" t="s">
        <v>15</v>
      </c>
      <c r="M9" s="8" t="s">
        <v>103</v>
      </c>
      <c r="N9" s="8" t="s">
        <v>75</v>
      </c>
      <c r="O9" s="8" t="s">
        <v>104</v>
      </c>
      <c r="P9" s="28" t="s">
        <v>77</v>
      </c>
      <c r="Q9" s="16" t="s">
        <v>105</v>
      </c>
      <c r="X9" s="8" t="s">
        <v>79</v>
      </c>
      <c r="Y9" s="34">
        <f>IF(X9='Listas suspensas'!$A$21,'Listas suspensas'!$B$23,IF(X9='Listas suspensas'!$A$22,'Listas suspensas'!$B$23,IF(X9='Listas suspensas'!$A$23,'Listas suspensas'!$B$22,IF(X9='Listas suspensas'!$A$26,'Listas suspensas'!$B$22,IF(X9='Listas suspensas'!$A$32,'Listas suspensas'!$B$22,IF(X9='Listas suspensas'!$A$33,'Listas suspensas'!$B$21,IF(X9='Listas suspensas'!$A$24,'Listas suspensas'!$B$22,IF(X9='Listas suspensas'!$A$30,'Listas suspensas'!$B$21,""))))))))</f>
        <v>6.5</v>
      </c>
      <c r="Z9" s="8" t="s">
        <v>80</v>
      </c>
      <c r="AA9" s="8">
        <v>3</v>
      </c>
      <c r="AB9" s="8" t="str">
        <f>IF(AA9='Listas suspensas'!$A$2,'Listas suspensas'!$B$2,IF(AA9='Listas suspensas'!$A$3,'Listas suspensas'!$B$3,IF(AA9='Listas suspensas'!$A$4,'Listas suspensas'!$B$4,IF(AA9='Listas suspensas'!$A$5,'Listas suspensas'!$B$5,IF(AA9='Listas suspensas'!$A$6,'Listas suspensas'!$B$6,"")))))</f>
        <v xml:space="preserve"> Parcial e regular</v>
      </c>
      <c r="AC9" s="8" t="str">
        <f>IF(AA9='Listas suspensas'!$A$2,'Listas suspensas'!$C$2,IF(AA9='Listas suspensas'!$A$3,'Listas suspensas'!$C$3,IF(AA9='Listas suspensas'!$A$4,'Listas suspensas'!$C$4,IF(AA9='Listas suspensas'!$A$5,'Listas suspensas'!$C$5,IF(AA9='Listas suspensas'!$A$6,'Listas suspensas'!$C$6,"")))))</f>
        <v>Indica a penetração uniforme, mas não total pela extensão do alburno.</v>
      </c>
      <c r="AK9" s="8">
        <v>11.02</v>
      </c>
      <c r="AL9" s="8">
        <v>10.94</v>
      </c>
      <c r="AM9" s="8">
        <v>11.25</v>
      </c>
      <c r="AN9" s="8">
        <v>11.2</v>
      </c>
      <c r="AO9" s="8">
        <v>11.25</v>
      </c>
      <c r="AP9" s="8">
        <f t="shared" si="0"/>
        <v>1.1132</v>
      </c>
      <c r="AQ9" s="8">
        <v>15.29</v>
      </c>
      <c r="AR9" s="8">
        <v>15.56</v>
      </c>
      <c r="AS9" s="8">
        <v>14.77</v>
      </c>
      <c r="AT9" s="8">
        <v>12.56</v>
      </c>
      <c r="AU9" s="8">
        <v>15.57</v>
      </c>
      <c r="AV9" s="8">
        <f t="shared" si="1"/>
        <v>1.4750000000000001</v>
      </c>
      <c r="AW9" s="20">
        <v>1.3813</v>
      </c>
      <c r="AX9" s="20">
        <v>1.2687999999999999</v>
      </c>
      <c r="AY9" s="20">
        <v>1.3427</v>
      </c>
      <c r="AZ9" s="20">
        <v>1.0205</v>
      </c>
      <c r="BA9" s="20">
        <v>1.2435</v>
      </c>
      <c r="BB9" s="20">
        <f t="shared" si="2"/>
        <v>1.25136</v>
      </c>
      <c r="BC9" s="20">
        <f t="shared" si="3"/>
        <v>1.4355829675241478</v>
      </c>
      <c r="BE9" s="18">
        <f t="shared" si="4"/>
        <v>871.67375784496483</v>
      </c>
      <c r="BF9" s="12">
        <v>0.38300000000000001</v>
      </c>
      <c r="BG9" s="13">
        <v>0.20599999999999999</v>
      </c>
      <c r="BH9" s="13">
        <v>0.40799999999999997</v>
      </c>
      <c r="BI9" s="13">
        <f t="shared" si="5"/>
        <v>0.99699999999999989</v>
      </c>
      <c r="BJ9" s="26">
        <v>38.4</v>
      </c>
      <c r="BK9" s="26">
        <v>20.6</v>
      </c>
      <c r="BL9" s="26">
        <v>41</v>
      </c>
      <c r="BM9" s="16">
        <f t="shared" si="6"/>
        <v>100</v>
      </c>
      <c r="BN9" s="21">
        <f t="shared" si="7"/>
        <v>3.34</v>
      </c>
      <c r="BO9" s="21">
        <f t="shared" si="8"/>
        <v>1.8</v>
      </c>
      <c r="BP9" s="21">
        <f t="shared" si="9"/>
        <v>3.56</v>
      </c>
      <c r="BQ9" s="14">
        <f t="shared" si="10"/>
        <v>8.6999999999999993</v>
      </c>
      <c r="BR9" s="22" t="str">
        <f>IF(OR(AND(X9="Mourões", BQ9&gt;=6.5),AND(X9="Postes", BQ9&gt;=9.6),AND(X9="Dormentes", BQ9&gt;=9.6),AND(X9="Estacas", BQ9&gt;=6.5),AND(X9="Cruzetas", BQ9&gt;=6.5),AND(X9="Outros - Solo", BQ9&gt;=6.5),AND(X9="Outros - Suspenso",BQ9&gt;=4),AND(X9="Deck",BQ9&gt;=4)),'Listas suspensas'!$C$21,'Listas suspensas'!$C$22)</f>
        <v>Os resultados da análise química apresentaram uma retenção do produto de acordo com o padrão mínimo exigido pela norma ABNT NBR 16143</v>
      </c>
    </row>
    <row r="10" spans="1:70" x14ac:dyDescent="0.25">
      <c r="B10" s="8" t="s">
        <v>106</v>
      </c>
      <c r="C10" s="8" t="s">
        <v>71</v>
      </c>
      <c r="F10" s="11">
        <v>45358</v>
      </c>
      <c r="G10" s="11">
        <v>45358</v>
      </c>
      <c r="H10" s="11">
        <v>45364</v>
      </c>
      <c r="I10" s="8" t="s">
        <v>107</v>
      </c>
      <c r="J10" s="8" t="s">
        <v>108</v>
      </c>
      <c r="K10" s="8" t="s">
        <v>109</v>
      </c>
      <c r="L10" s="8" t="s">
        <v>15</v>
      </c>
      <c r="N10" s="8" t="s">
        <v>75</v>
      </c>
      <c r="O10" s="8" t="s">
        <v>94</v>
      </c>
      <c r="P10" s="28" t="s">
        <v>77</v>
      </c>
      <c r="Q10" s="8" t="s">
        <v>110</v>
      </c>
      <c r="X10" s="8" t="s">
        <v>79</v>
      </c>
      <c r="Y10" s="34">
        <f>IF(X10='Listas suspensas'!$A$21,'Listas suspensas'!$B$23,IF(X10='Listas suspensas'!$A$22,'Listas suspensas'!$B$23,IF(X10='Listas suspensas'!$A$23,'Listas suspensas'!$B$22,IF(X10='Listas suspensas'!$A$26,'Listas suspensas'!$B$22,IF(X10='Listas suspensas'!$A$32,'Listas suspensas'!$B$22,IF(X10='Listas suspensas'!$A$33,'Listas suspensas'!$B$21,IF(X10='Listas suspensas'!$A$24,'Listas suspensas'!$B$22,IF(X10='Listas suspensas'!$A$30,'Listas suspensas'!$B$21,""))))))))</f>
        <v>6.5</v>
      </c>
      <c r="Z10" s="8" t="s">
        <v>80</v>
      </c>
      <c r="AA10" s="8">
        <v>2</v>
      </c>
      <c r="AB10" s="8" t="str">
        <f>IF(AA10='Listas suspensas'!$A$2,'Listas suspensas'!$B$2,IF(AA10='Listas suspensas'!$A$3,'Listas suspensas'!$B$3,IF(AA10='Listas suspensas'!$A$4,'Listas suspensas'!$B$4,IF(AA10='Listas suspensas'!$A$5,'Listas suspensas'!$B$5,IF(AA10='Listas suspensas'!$A$6,'Listas suspensas'!$B$6,"")))))</f>
        <v>Profunda e irregular</v>
      </c>
      <c r="AC10" s="8" t="str">
        <f>IF(AA10='Listas suspensas'!$A$2,'Listas suspensas'!$C$2,IF(AA10='Listas suspensas'!$A$3,'Listas suspensas'!$C$3,IF(AA10='Listas suspensas'!$A$4,'Listas suspensas'!$C$4,IF(AA10='Listas suspensas'!$A$5,'Listas suspensas'!$C$5,IF(AA10='Listas suspensas'!$A$6,'Listas suspensas'!$C$6,"")))))</f>
        <v>Indica a penetração profunda, mas desuniforme em toda a extensão do alburno.</v>
      </c>
      <c r="AK10" s="8">
        <v>11.72</v>
      </c>
      <c r="AL10" s="8">
        <v>11.9</v>
      </c>
      <c r="AM10" s="8">
        <v>10.87</v>
      </c>
      <c r="AN10" s="8">
        <v>11.75</v>
      </c>
      <c r="AO10" s="8">
        <v>11.47</v>
      </c>
      <c r="AP10" s="8">
        <f t="shared" si="0"/>
        <v>1.1541999999999999</v>
      </c>
      <c r="AQ10" s="8">
        <v>15.21</v>
      </c>
      <c r="AR10" s="8">
        <v>14.2</v>
      </c>
      <c r="AS10" s="8">
        <v>13.52</v>
      </c>
      <c r="AT10" s="8">
        <v>12.66</v>
      </c>
      <c r="AU10" s="8">
        <v>15.09</v>
      </c>
      <c r="AV10" s="8">
        <f t="shared" si="1"/>
        <v>1.4136000000000002</v>
      </c>
      <c r="AW10" s="20">
        <v>1.1436999999999999</v>
      </c>
      <c r="AX10" s="20">
        <v>1.1109</v>
      </c>
      <c r="AY10" s="20">
        <v>1.0095000000000001</v>
      </c>
      <c r="AZ10" s="20">
        <v>1.0319</v>
      </c>
      <c r="BA10" s="20">
        <v>1.1565000000000001</v>
      </c>
      <c r="BB10" s="20">
        <f t="shared" si="2"/>
        <v>1.0905</v>
      </c>
      <c r="BC10" s="20">
        <f t="shared" si="3"/>
        <v>1.4790353627413479</v>
      </c>
      <c r="BE10" s="18">
        <f t="shared" si="4"/>
        <v>737.30488632725508</v>
      </c>
      <c r="BF10" s="12">
        <v>0.36799999999999999</v>
      </c>
      <c r="BG10" s="13">
        <v>0.184</v>
      </c>
      <c r="BH10" s="13">
        <v>0.32700000000000001</v>
      </c>
      <c r="BI10" s="13">
        <f t="shared" si="5"/>
        <v>0.879</v>
      </c>
      <c r="BJ10" s="26">
        <v>41.9</v>
      </c>
      <c r="BK10" s="26">
        <v>20.9</v>
      </c>
      <c r="BL10" s="26">
        <v>37.200000000000003</v>
      </c>
      <c r="BM10" s="16">
        <f t="shared" si="6"/>
        <v>100</v>
      </c>
      <c r="BN10" s="21">
        <f t="shared" si="7"/>
        <v>2.71</v>
      </c>
      <c r="BO10" s="21">
        <f t="shared" si="8"/>
        <v>1.36</v>
      </c>
      <c r="BP10" s="21">
        <f t="shared" si="9"/>
        <v>2.41</v>
      </c>
      <c r="BQ10" s="14">
        <f t="shared" si="10"/>
        <v>6.48</v>
      </c>
      <c r="BR10" s="22" t="str">
        <f>IF(OR(AND(X10="Mourões", BQ10&gt;=6.5),AND(X10="Postes", BQ10&gt;=9.6),AND(X10="Dormentes", BQ10&gt;=9.6),AND(X10="Estacas", BQ10&gt;=6.5),AND(X10="Cruzetas", BQ10&gt;=6.5),AND(X10="Outros - Solo", BQ10&gt;=6.5),AND(X10="Outros - Suspenso",BQ10&gt;=4),AND(X10="Deck",BQ10&gt;=4)),'Listas suspensas'!$C$21,'Listas suspensas'!$C$22)</f>
        <v>Os resultados da análise química apresentaram uma retenção do produto inferior ao padrão mínimo exigido pela norma ABNT NBR 16143</v>
      </c>
    </row>
    <row r="11" spans="1:70" x14ac:dyDescent="0.25">
      <c r="B11" s="8" t="s">
        <v>111</v>
      </c>
      <c r="C11" s="8" t="s">
        <v>71</v>
      </c>
      <c r="F11" s="11">
        <v>45358</v>
      </c>
      <c r="G11" s="11">
        <v>45358</v>
      </c>
      <c r="H11" s="11">
        <v>45364</v>
      </c>
      <c r="I11" s="8" t="s">
        <v>107</v>
      </c>
      <c r="J11" s="8" t="s">
        <v>108</v>
      </c>
      <c r="K11" s="8" t="s">
        <v>109</v>
      </c>
      <c r="L11" s="8" t="s">
        <v>15</v>
      </c>
      <c r="N11" s="8" t="s">
        <v>75</v>
      </c>
      <c r="O11" s="8" t="s">
        <v>94</v>
      </c>
      <c r="P11" s="28" t="s">
        <v>77</v>
      </c>
      <c r="Q11" s="8" t="s">
        <v>112</v>
      </c>
      <c r="X11" s="8" t="s">
        <v>79</v>
      </c>
      <c r="Y11" s="34">
        <f>IF(X11='Listas suspensas'!$A$21,'Listas suspensas'!$B$23,IF(X11='Listas suspensas'!$A$22,'Listas suspensas'!$B$23,IF(X11='Listas suspensas'!$A$23,'Listas suspensas'!$B$22,IF(X11='Listas suspensas'!$A$26,'Listas suspensas'!$B$22,IF(X11='Listas suspensas'!$A$32,'Listas suspensas'!$B$22,IF(X11='Listas suspensas'!$A$33,'Listas suspensas'!$B$21,IF(X11='Listas suspensas'!$A$24,'Listas suspensas'!$B$22,IF(X11='Listas suspensas'!$A$30,'Listas suspensas'!$B$21,""))))))))</f>
        <v>6.5</v>
      </c>
      <c r="Z11" s="8" t="s">
        <v>80</v>
      </c>
      <c r="AA11" s="8">
        <v>2</v>
      </c>
      <c r="AB11" s="8" t="str">
        <f>IF(AA11='Listas suspensas'!$A$2,'Listas suspensas'!$B$2,IF(AA11='Listas suspensas'!$A$3,'Listas suspensas'!$B$3,IF(AA11='Listas suspensas'!$A$4,'Listas suspensas'!$B$4,IF(AA11='Listas suspensas'!$A$5,'Listas suspensas'!$B$5,IF(AA11='Listas suspensas'!$A$6,'Listas suspensas'!$B$6,"")))))</f>
        <v>Profunda e irregular</v>
      </c>
      <c r="AC11" s="8" t="str">
        <f>IF(AA11='Listas suspensas'!$A$2,'Listas suspensas'!$C$2,IF(AA11='Listas suspensas'!$A$3,'Listas suspensas'!$C$3,IF(AA11='Listas suspensas'!$A$4,'Listas suspensas'!$C$4,IF(AA11='Listas suspensas'!$A$5,'Listas suspensas'!$C$5,IF(AA11='Listas suspensas'!$A$6,'Listas suspensas'!$C$6,"")))))</f>
        <v>Indica a penetração profunda, mas desuniforme em toda a extensão do alburno.</v>
      </c>
      <c r="AK11" s="8">
        <v>11.05</v>
      </c>
      <c r="AL11" s="8">
        <v>11.37</v>
      </c>
      <c r="AM11" s="8">
        <v>11.22</v>
      </c>
      <c r="AN11" s="8">
        <v>11.3</v>
      </c>
      <c r="AO11" s="8">
        <v>11.23</v>
      </c>
      <c r="AP11" s="8">
        <f t="shared" si="0"/>
        <v>1.1234</v>
      </c>
      <c r="AQ11" s="8">
        <v>14.43</v>
      </c>
      <c r="AR11" s="8">
        <v>14.33</v>
      </c>
      <c r="AS11" s="8">
        <v>12.59</v>
      </c>
      <c r="AT11" s="8">
        <v>15.36</v>
      </c>
      <c r="AU11" s="8">
        <v>13.29</v>
      </c>
      <c r="AV11" s="8">
        <f t="shared" si="1"/>
        <v>1.4</v>
      </c>
      <c r="AW11" s="20">
        <v>1.0486</v>
      </c>
      <c r="AX11" s="20">
        <v>1.0978000000000001</v>
      </c>
      <c r="AY11" s="20">
        <v>0.94220000000000004</v>
      </c>
      <c r="AZ11" s="20">
        <v>1.1943999999999999</v>
      </c>
      <c r="BA11" s="20">
        <v>1.0293000000000001</v>
      </c>
      <c r="BB11" s="20">
        <f t="shared" si="2"/>
        <v>1.06246</v>
      </c>
      <c r="BC11" s="20">
        <f t="shared" si="3"/>
        <v>1.3876717788933481</v>
      </c>
      <c r="BE11" s="18">
        <f t="shared" si="4"/>
        <v>765.64214691120924</v>
      </c>
      <c r="BF11" s="12">
        <v>0.41899999999999998</v>
      </c>
      <c r="BG11" s="13">
        <v>0.19</v>
      </c>
      <c r="BH11" s="13">
        <v>0.311</v>
      </c>
      <c r="BI11" s="13">
        <f t="shared" si="5"/>
        <v>0.91999999999999993</v>
      </c>
      <c r="BJ11" s="26">
        <v>45.5</v>
      </c>
      <c r="BK11" s="26">
        <v>20.7</v>
      </c>
      <c r="BL11" s="26">
        <v>33.799999999999997</v>
      </c>
      <c r="BM11" s="16">
        <f t="shared" si="6"/>
        <v>100</v>
      </c>
      <c r="BN11" s="21">
        <f t="shared" si="7"/>
        <v>3.21</v>
      </c>
      <c r="BO11" s="21">
        <f t="shared" si="8"/>
        <v>1.45</v>
      </c>
      <c r="BP11" s="21">
        <f t="shared" si="9"/>
        <v>2.38</v>
      </c>
      <c r="BQ11" s="14">
        <f t="shared" si="10"/>
        <v>7.04</v>
      </c>
      <c r="BR11" s="22" t="str">
        <f>IF(OR(AND(X11="Mourões", BQ11&gt;=6.5),AND(X11="Postes", BQ11&gt;=9.6),AND(X11="Dormentes", BQ11&gt;=9.6),AND(X11="Estacas", BQ11&gt;=6.5),AND(X11="Cruzetas", BQ11&gt;=6.5),AND(X11="Outros - Solo", BQ11&gt;=6.5),AND(X11="Outros - Suspenso",BQ11&gt;=4),AND(X11="Deck",BQ11&gt;=4)),'Listas suspensas'!$C$21,'Listas suspensas'!$C$22)</f>
        <v>Os resultados da análise química apresentaram uma retenção do produto de acordo com o padrão mínimo exigido pela norma ABNT NBR 16143</v>
      </c>
    </row>
    <row r="12" spans="1:70" x14ac:dyDescent="0.25">
      <c r="B12" s="8" t="s">
        <v>113</v>
      </c>
      <c r="C12" s="8" t="s">
        <v>71</v>
      </c>
      <c r="F12" s="11">
        <v>45358</v>
      </c>
      <c r="G12" s="11">
        <v>45358</v>
      </c>
      <c r="H12" s="11">
        <v>45364</v>
      </c>
      <c r="I12" s="8" t="s">
        <v>107</v>
      </c>
      <c r="J12" s="8" t="s">
        <v>108</v>
      </c>
      <c r="K12" s="8" t="s">
        <v>109</v>
      </c>
      <c r="L12" s="8" t="s">
        <v>15</v>
      </c>
      <c r="N12" s="8" t="s">
        <v>75</v>
      </c>
      <c r="O12" s="8" t="s">
        <v>94</v>
      </c>
      <c r="P12" s="28" t="s">
        <v>77</v>
      </c>
      <c r="Q12" s="8" t="s">
        <v>114</v>
      </c>
      <c r="X12" s="8" t="s">
        <v>79</v>
      </c>
      <c r="Y12" s="34">
        <f>IF(X12='Listas suspensas'!$A$21,'Listas suspensas'!$B$23,IF(X12='Listas suspensas'!$A$22,'Listas suspensas'!$B$23,IF(X12='Listas suspensas'!$A$23,'Listas suspensas'!$B$22,IF(X12='Listas suspensas'!$A$26,'Listas suspensas'!$B$22,IF(X12='Listas suspensas'!$A$32,'Listas suspensas'!$B$22,IF(X12='Listas suspensas'!$A$33,'Listas suspensas'!$B$21,IF(X12='Listas suspensas'!$A$24,'Listas suspensas'!$B$22,IF(X12='Listas suspensas'!$A$30,'Listas suspensas'!$B$21,""))))))))</f>
        <v>6.5</v>
      </c>
      <c r="Z12" s="8" t="s">
        <v>80</v>
      </c>
      <c r="AA12" s="8">
        <v>3</v>
      </c>
      <c r="AB12" s="8" t="str">
        <f>IF(AA12='Listas suspensas'!$A$2,'Listas suspensas'!$B$2,IF(AA12='Listas suspensas'!$A$3,'Listas suspensas'!$B$3,IF(AA12='Listas suspensas'!$A$4,'Listas suspensas'!$B$4,IF(AA12='Listas suspensas'!$A$5,'Listas suspensas'!$B$5,IF(AA12='Listas suspensas'!$A$6,'Listas suspensas'!$B$6,"")))))</f>
        <v xml:space="preserve"> Parcial e regular</v>
      </c>
      <c r="AC12" s="8" t="str">
        <f>IF(AA12='Listas suspensas'!$A$2,'Listas suspensas'!$C$2,IF(AA12='Listas suspensas'!$A$3,'Listas suspensas'!$C$3,IF(AA12='Listas suspensas'!$A$4,'Listas suspensas'!$C$4,IF(AA12='Listas suspensas'!$A$5,'Listas suspensas'!$C$5,IF(AA12='Listas suspensas'!$A$6,'Listas suspensas'!$C$6,"")))))</f>
        <v>Indica a penetração uniforme, mas não total pela extensão do alburno.</v>
      </c>
      <c r="AK12" s="8">
        <v>11.84</v>
      </c>
      <c r="AL12" s="8">
        <v>11.38</v>
      </c>
      <c r="AM12" s="8">
        <v>11.88</v>
      </c>
      <c r="AN12" s="8">
        <v>11.86</v>
      </c>
      <c r="AO12" s="8">
        <v>12.14</v>
      </c>
      <c r="AP12" s="8">
        <f t="shared" si="0"/>
        <v>1.1819999999999999</v>
      </c>
      <c r="AQ12" s="8">
        <v>4.51</v>
      </c>
      <c r="AR12" s="8">
        <v>4.6500000000000004</v>
      </c>
      <c r="AS12" s="8">
        <v>5.63</v>
      </c>
      <c r="AT12" s="8">
        <v>5.29</v>
      </c>
      <c r="AU12" s="8">
        <v>5.93</v>
      </c>
      <c r="AV12" s="8">
        <f t="shared" si="1"/>
        <v>0.5202</v>
      </c>
      <c r="AW12" s="20">
        <v>0.28820000000000001</v>
      </c>
      <c r="AX12" s="20">
        <v>0.3332</v>
      </c>
      <c r="AY12" s="20">
        <v>0.39090000000000003</v>
      </c>
      <c r="AZ12" s="20">
        <v>0.39119999999999999</v>
      </c>
      <c r="BA12" s="20">
        <v>0.44180000000000003</v>
      </c>
      <c r="BB12" s="20">
        <f t="shared" si="2"/>
        <v>0.36906</v>
      </c>
      <c r="BC12" s="20">
        <f t="shared" si="3"/>
        <v>0.57081474401674581</v>
      </c>
      <c r="BE12" s="18">
        <f t="shared" si="4"/>
        <v>646.54952218468452</v>
      </c>
      <c r="BI12" s="13">
        <f t="shared" si="5"/>
        <v>0</v>
      </c>
      <c r="BJ12" s="26"/>
      <c r="BK12" s="26"/>
      <c r="BL12" s="26"/>
      <c r="BM12" s="16">
        <f t="shared" si="6"/>
        <v>0</v>
      </c>
      <c r="BN12" s="21">
        <f t="shared" si="7"/>
        <v>0</v>
      </c>
      <c r="BO12" s="21">
        <f t="shared" si="8"/>
        <v>0</v>
      </c>
      <c r="BP12" s="21">
        <f t="shared" si="9"/>
        <v>0</v>
      </c>
      <c r="BQ12" s="14">
        <f t="shared" si="10"/>
        <v>0</v>
      </c>
      <c r="BR12" s="22" t="str">
        <f>IF(OR(AND(X12="Mourões", BQ12&gt;=6.5),AND(X12="Postes", BQ12&gt;=9.6),AND(X12="Dormentes", BQ12&gt;=9.6),AND(X12="Estacas", BQ12&gt;=6.5),AND(X12="Cruzetas", BQ12&gt;=6.5),AND(X12="Outros - Solo", BQ12&gt;=6.5),AND(X12="Outros - Suspenso",BQ12&gt;=4),AND(X12="Deck",BQ12&gt;=4)),'Listas suspensas'!$C$21,'Listas suspensas'!$C$22)</f>
        <v>Os resultados da análise química apresentaram uma retenção do produto inferior ao padrão mínimo exigido pela norma ABNT NBR 16143</v>
      </c>
    </row>
    <row r="13" spans="1:70" x14ac:dyDescent="0.25">
      <c r="B13" s="8" t="s">
        <v>115</v>
      </c>
      <c r="C13" s="8" t="s">
        <v>71</v>
      </c>
      <c r="F13" s="11">
        <v>45358</v>
      </c>
      <c r="G13" s="11">
        <v>45358</v>
      </c>
      <c r="H13" s="11">
        <v>45364</v>
      </c>
      <c r="I13" s="8" t="s">
        <v>107</v>
      </c>
      <c r="J13" s="8" t="s">
        <v>108</v>
      </c>
      <c r="K13" s="8" t="s">
        <v>109</v>
      </c>
      <c r="L13" s="8" t="s">
        <v>15</v>
      </c>
      <c r="N13" s="8" t="s">
        <v>75</v>
      </c>
      <c r="O13" s="8" t="s">
        <v>94</v>
      </c>
      <c r="P13" s="28" t="s">
        <v>77</v>
      </c>
      <c r="Q13" s="8" t="s">
        <v>116</v>
      </c>
      <c r="X13" s="8" t="s">
        <v>79</v>
      </c>
      <c r="Y13" s="34">
        <f>IF(X13='Listas suspensas'!$A$21,'Listas suspensas'!$B$23,IF(X13='Listas suspensas'!$A$22,'Listas suspensas'!$B$23,IF(X13='Listas suspensas'!$A$23,'Listas suspensas'!$B$22,IF(X13='Listas suspensas'!$A$26,'Listas suspensas'!$B$22,IF(X13='Listas suspensas'!$A$32,'Listas suspensas'!$B$22,IF(X13='Listas suspensas'!$A$33,'Listas suspensas'!$B$21,IF(X13='Listas suspensas'!$A$24,'Listas suspensas'!$B$22,IF(X13='Listas suspensas'!$A$30,'Listas suspensas'!$B$21,""))))))))</f>
        <v>6.5</v>
      </c>
      <c r="Z13" s="8" t="s">
        <v>80</v>
      </c>
      <c r="AA13" s="8">
        <v>2</v>
      </c>
      <c r="AB13" s="8" t="str">
        <f>IF(AA13='Listas suspensas'!$A$2,'Listas suspensas'!$B$2,IF(AA13='Listas suspensas'!$A$3,'Listas suspensas'!$B$3,IF(AA13='Listas suspensas'!$A$4,'Listas suspensas'!$B$4,IF(AA13='Listas suspensas'!$A$5,'Listas suspensas'!$B$5,IF(AA13='Listas suspensas'!$A$6,'Listas suspensas'!$B$6,"")))))</f>
        <v>Profunda e irregular</v>
      </c>
      <c r="AC13" s="8" t="str">
        <f>IF(AA13='Listas suspensas'!$A$2,'Listas suspensas'!$C$2,IF(AA13='Listas suspensas'!$A$3,'Listas suspensas'!$C$3,IF(AA13='Listas suspensas'!$A$4,'Listas suspensas'!$C$4,IF(AA13='Listas suspensas'!$A$5,'Listas suspensas'!$C$5,IF(AA13='Listas suspensas'!$A$6,'Listas suspensas'!$C$6,"")))))</f>
        <v>Indica a penetração profunda, mas desuniforme em toda a extensão do alburno.</v>
      </c>
      <c r="AK13" s="8">
        <v>11.47</v>
      </c>
      <c r="AL13" s="8">
        <v>11.16</v>
      </c>
      <c r="AM13" s="8">
        <v>11.94</v>
      </c>
      <c r="AN13" s="8">
        <v>11.17</v>
      </c>
      <c r="AO13" s="8">
        <v>11.22</v>
      </c>
      <c r="AP13" s="8">
        <f t="shared" si="0"/>
        <v>1.1392</v>
      </c>
      <c r="AQ13" s="8">
        <v>9.1999999999999993</v>
      </c>
      <c r="AR13" s="8">
        <v>10.02</v>
      </c>
      <c r="AS13" s="8">
        <v>9.86</v>
      </c>
      <c r="AT13" s="8">
        <v>8.33</v>
      </c>
      <c r="AU13" s="8">
        <v>12.51</v>
      </c>
      <c r="AV13" s="8">
        <f t="shared" si="1"/>
        <v>0.99839999999999984</v>
      </c>
      <c r="AW13" s="20">
        <v>0.77239999999999998</v>
      </c>
      <c r="AX13" s="20">
        <v>0.75060000000000004</v>
      </c>
      <c r="AY13" s="20">
        <v>0.73329999999999995</v>
      </c>
      <c r="AZ13" s="20">
        <v>0.64180000000000004</v>
      </c>
      <c r="BA13" s="20">
        <v>0.97589999999999999</v>
      </c>
      <c r="BB13" s="20">
        <f t="shared" si="2"/>
        <v>0.77479999999999993</v>
      </c>
      <c r="BC13" s="20">
        <f t="shared" si="3"/>
        <v>1.0176405553328214</v>
      </c>
      <c r="BE13" s="18">
        <f t="shared" si="4"/>
        <v>761.36902754096718</v>
      </c>
      <c r="BF13" s="8">
        <v>0.32700000000000001</v>
      </c>
      <c r="BG13" s="8">
        <v>0.14499999999999999</v>
      </c>
      <c r="BH13" s="8">
        <v>0.24299999999999999</v>
      </c>
      <c r="BI13" s="13">
        <f t="shared" si="5"/>
        <v>0.71499999999999997</v>
      </c>
      <c r="BJ13" s="26">
        <v>45.7</v>
      </c>
      <c r="BK13" s="26">
        <v>20.3</v>
      </c>
      <c r="BL13" s="26">
        <v>34</v>
      </c>
      <c r="BM13" s="16">
        <f t="shared" si="6"/>
        <v>100</v>
      </c>
      <c r="BN13" s="21">
        <f t="shared" si="7"/>
        <v>2.4900000000000002</v>
      </c>
      <c r="BO13" s="21">
        <f t="shared" si="8"/>
        <v>1.1000000000000001</v>
      </c>
      <c r="BP13" s="21">
        <f t="shared" si="9"/>
        <v>1.85</v>
      </c>
      <c r="BQ13" s="14">
        <f t="shared" si="10"/>
        <v>5.44</v>
      </c>
      <c r="BR13" s="22" t="str">
        <f>IF(OR(AND(X13="Mourões", BQ13&gt;=6.5),AND(X13="Postes", BQ13&gt;=9.6),AND(X13="Dormentes", BQ13&gt;=9.6),AND(X13="Estacas", BQ13&gt;=6.5),AND(X13="Cruzetas", BQ13&gt;=6.5),AND(X13="Outros - Solo", BQ13&gt;=6.5),AND(X13="Outros - Suspenso",BQ13&gt;=4),AND(X13="Deck",BQ13&gt;=4)),'Listas suspensas'!$C$21,'Listas suspensas'!$C$22)</f>
        <v>Os resultados da análise química apresentaram uma retenção do produto inferior ao padrão mínimo exigido pela norma ABNT NBR 16143</v>
      </c>
    </row>
    <row r="14" spans="1:70" x14ac:dyDescent="0.25">
      <c r="B14" s="8" t="s">
        <v>117</v>
      </c>
      <c r="C14" s="8" t="s">
        <v>71</v>
      </c>
      <c r="F14" s="11">
        <v>45358</v>
      </c>
      <c r="G14" s="11">
        <v>45358</v>
      </c>
      <c r="H14" s="11">
        <v>45364</v>
      </c>
      <c r="I14" s="8" t="s">
        <v>107</v>
      </c>
      <c r="J14" s="8" t="s">
        <v>108</v>
      </c>
      <c r="K14" s="8" t="s">
        <v>109</v>
      </c>
      <c r="L14" s="8" t="s">
        <v>15</v>
      </c>
      <c r="N14" s="8" t="s">
        <v>75</v>
      </c>
      <c r="O14" s="8" t="s">
        <v>94</v>
      </c>
      <c r="P14" s="28" t="s">
        <v>77</v>
      </c>
      <c r="Q14" s="16" t="s">
        <v>118</v>
      </c>
      <c r="X14" s="8" t="s">
        <v>79</v>
      </c>
      <c r="Y14" s="34">
        <f>IF(X14='Listas suspensas'!$A$21,'Listas suspensas'!$B$23,IF(X14='Listas suspensas'!$A$22,'Listas suspensas'!$B$23,IF(X14='Listas suspensas'!$A$23,'Listas suspensas'!$B$22,IF(X14='Listas suspensas'!$A$26,'Listas suspensas'!$B$22,IF(X14='Listas suspensas'!$A$32,'Listas suspensas'!$B$22,IF(X14='Listas suspensas'!$A$33,'Listas suspensas'!$B$21,IF(X14='Listas suspensas'!$A$24,'Listas suspensas'!$B$22,IF(X14='Listas suspensas'!$A$30,'Listas suspensas'!$B$21,""))))))))</f>
        <v>6.5</v>
      </c>
      <c r="Z14" s="8" t="s">
        <v>80</v>
      </c>
      <c r="AA14" s="8">
        <v>3</v>
      </c>
      <c r="AB14" s="8" t="str">
        <f>IF(AA14='Listas suspensas'!$A$2,'Listas suspensas'!$B$2,IF(AA14='Listas suspensas'!$A$3,'Listas suspensas'!$B$3,IF(AA14='Listas suspensas'!$A$4,'Listas suspensas'!$B$4,IF(AA14='Listas suspensas'!$A$5,'Listas suspensas'!$B$5,IF(AA14='Listas suspensas'!$A$6,'Listas suspensas'!$B$6,"")))))</f>
        <v xml:space="preserve"> Parcial e regular</v>
      </c>
      <c r="AC14" s="8" t="str">
        <f>IF(AA14='Listas suspensas'!$A$2,'Listas suspensas'!$C$2,IF(AA14='Listas suspensas'!$A$3,'Listas suspensas'!$C$3,IF(AA14='Listas suspensas'!$A$4,'Listas suspensas'!$C$4,IF(AA14='Listas suspensas'!$A$5,'Listas suspensas'!$C$5,IF(AA14='Listas suspensas'!$A$6,'Listas suspensas'!$C$6,"")))))</f>
        <v>Indica a penetração uniforme, mas não total pela extensão do alburno.</v>
      </c>
      <c r="AK14" s="8">
        <v>11.14</v>
      </c>
      <c r="AL14" s="8">
        <v>11.4</v>
      </c>
      <c r="AM14" s="8">
        <v>11.41</v>
      </c>
      <c r="AN14" s="8">
        <v>11.1</v>
      </c>
      <c r="AO14" s="8">
        <v>11.1</v>
      </c>
      <c r="AP14" s="8">
        <f t="shared" si="0"/>
        <v>1.123</v>
      </c>
      <c r="AQ14" s="8">
        <v>9.93</v>
      </c>
      <c r="AR14" s="8">
        <v>9.6199999999999992</v>
      </c>
      <c r="AS14" s="8">
        <v>9.0299999999999994</v>
      </c>
      <c r="AT14" s="8">
        <v>8</v>
      </c>
      <c r="AU14" s="8">
        <v>8.1199999999999992</v>
      </c>
      <c r="AV14" s="8">
        <f t="shared" si="1"/>
        <v>0.89399999999999991</v>
      </c>
      <c r="AW14" s="20">
        <v>0.8105</v>
      </c>
      <c r="AX14" s="20">
        <v>0.82050000000000001</v>
      </c>
      <c r="AY14" s="20">
        <v>0.73240000000000005</v>
      </c>
      <c r="AZ14" s="20">
        <v>0.60160000000000002</v>
      </c>
      <c r="BA14" s="20">
        <v>0.67059999999999997</v>
      </c>
      <c r="BB14" s="20">
        <f t="shared" si="2"/>
        <v>0.72711999999999999</v>
      </c>
      <c r="BC14" s="20">
        <f t="shared" si="3"/>
        <v>0.88549662996409084</v>
      </c>
      <c r="BE14" s="18">
        <f t="shared" si="4"/>
        <v>821.14372364069482</v>
      </c>
      <c r="BF14" s="8">
        <v>0.29099999999999998</v>
      </c>
      <c r="BG14" s="8">
        <v>0.115</v>
      </c>
      <c r="BH14" s="8">
        <v>0.17199999999999999</v>
      </c>
      <c r="BI14" s="13">
        <f t="shared" si="5"/>
        <v>0.57799999999999996</v>
      </c>
      <c r="BJ14" s="26">
        <v>50.4</v>
      </c>
      <c r="BK14" s="26">
        <v>19.8</v>
      </c>
      <c r="BL14" s="26">
        <v>29.8</v>
      </c>
      <c r="BM14" s="16">
        <f t="shared" si="6"/>
        <v>100</v>
      </c>
      <c r="BN14" s="21">
        <f t="shared" si="7"/>
        <v>2.39</v>
      </c>
      <c r="BO14" s="21">
        <f t="shared" si="8"/>
        <v>0.94</v>
      </c>
      <c r="BP14" s="21">
        <f t="shared" si="9"/>
        <v>1.41</v>
      </c>
      <c r="BQ14" s="14">
        <f t="shared" si="10"/>
        <v>4.74</v>
      </c>
      <c r="BR14" s="22" t="str">
        <f>IF(OR(AND(X14="Mourões", BQ14&gt;=6.5),AND(X14="Postes", BQ14&gt;=9.6),AND(X14="Dormentes", BQ14&gt;=9.6),AND(X14="Estacas", BQ14&gt;=6.5),AND(X14="Cruzetas", BQ14&gt;=6.5),AND(X14="Outros - Solo", BQ14&gt;=6.5),AND(X14="Outros - Suspenso",BQ14&gt;=4),AND(X14="Deck",BQ14&gt;=4)),'Listas suspensas'!$C$21,'Listas suspensas'!$C$22)</f>
        <v>Os resultados da análise química apresentaram uma retenção do produto inferior ao padrão mínimo exigido pela norma ABNT NBR 16143</v>
      </c>
    </row>
    <row r="15" spans="1:70" x14ac:dyDescent="0.25">
      <c r="B15" s="8" t="s">
        <v>119</v>
      </c>
      <c r="C15" s="8" t="s">
        <v>71</v>
      </c>
      <c r="F15" s="11">
        <v>45358</v>
      </c>
      <c r="G15" s="11">
        <v>45358</v>
      </c>
      <c r="H15" s="11">
        <v>45364</v>
      </c>
      <c r="I15" s="8" t="s">
        <v>107</v>
      </c>
      <c r="J15" s="8" t="s">
        <v>108</v>
      </c>
      <c r="K15" s="8" t="s">
        <v>109</v>
      </c>
      <c r="L15" s="8" t="s">
        <v>15</v>
      </c>
      <c r="N15" s="8" t="s">
        <v>75</v>
      </c>
      <c r="O15" s="8" t="s">
        <v>94</v>
      </c>
      <c r="P15" s="28" t="s">
        <v>77</v>
      </c>
      <c r="Q15" s="16" t="s">
        <v>120</v>
      </c>
      <c r="X15" s="8" t="s">
        <v>79</v>
      </c>
      <c r="Y15" s="34">
        <f>IF(X15='Listas suspensas'!$A$21,'Listas suspensas'!$B$23,IF(X15='Listas suspensas'!$A$22,'Listas suspensas'!$B$23,IF(X15='Listas suspensas'!$A$23,'Listas suspensas'!$B$22,IF(X15='Listas suspensas'!$A$26,'Listas suspensas'!$B$22,IF(X15='Listas suspensas'!$A$32,'Listas suspensas'!$B$22,IF(X15='Listas suspensas'!$A$33,'Listas suspensas'!$B$21,IF(X15='Listas suspensas'!$A$24,'Listas suspensas'!$B$22,IF(X15='Listas suspensas'!$A$30,'Listas suspensas'!$B$21,""))))))))</f>
        <v>6.5</v>
      </c>
      <c r="Z15" s="8" t="s">
        <v>80</v>
      </c>
      <c r="AA15" s="8">
        <v>4</v>
      </c>
      <c r="AB15" s="8" t="str">
        <f>IF(AA15='Listas suspensas'!$A$2,'Listas suspensas'!$B$2,IF(AA15='Listas suspensas'!$A$3,'Listas suspensas'!$B$3,IF(AA15='Listas suspensas'!$A$4,'Listas suspensas'!$B$4,IF(AA15='Listas suspensas'!$A$5,'Listas suspensas'!$B$5,IF(AA15='Listas suspensas'!$A$6,'Listas suspensas'!$B$6,"")))))</f>
        <v>Parcial e irregular</v>
      </c>
      <c r="AC15" s="8" t="str">
        <f>IF(AA15='Listas suspensas'!$A$2,'Listas suspensas'!$C$2,IF(AA15='Listas suspensas'!$A$3,'Listas suspensas'!$C$3,IF(AA15='Listas suspensas'!$A$4,'Listas suspensas'!$C$4,IF(AA15='Listas suspensas'!$A$5,'Listas suspensas'!$C$5,IF(AA15='Listas suspensas'!$A$6,'Listas suspensas'!$C$6,"")))))</f>
        <v>Indica a penetração desuniforme e não total pela extensão do alburno.</v>
      </c>
      <c r="AK15" s="8">
        <v>11.08</v>
      </c>
      <c r="AL15" s="8">
        <v>11.13</v>
      </c>
      <c r="AM15" s="8">
        <v>11.12</v>
      </c>
      <c r="AN15" s="8">
        <v>11.23</v>
      </c>
      <c r="AO15" s="8">
        <v>11.17</v>
      </c>
      <c r="AP15" s="8">
        <f t="shared" si="0"/>
        <v>1.1146</v>
      </c>
      <c r="AQ15" s="8">
        <v>12.5</v>
      </c>
      <c r="AR15" s="8">
        <v>12.52</v>
      </c>
      <c r="AS15" s="8">
        <v>12.51</v>
      </c>
      <c r="AT15" s="8">
        <v>11.21</v>
      </c>
      <c r="AU15" s="8">
        <v>11.13</v>
      </c>
      <c r="AV15" s="8">
        <f t="shared" si="1"/>
        <v>1.1974</v>
      </c>
      <c r="AW15" s="20">
        <v>1.1462000000000001</v>
      </c>
      <c r="AX15" s="20">
        <v>1.1811</v>
      </c>
      <c r="AY15" s="20">
        <v>1.2062999999999999</v>
      </c>
      <c r="AZ15" s="20">
        <v>1.0025999999999999</v>
      </c>
      <c r="BA15" s="20">
        <v>1.0387999999999999</v>
      </c>
      <c r="BB15" s="20">
        <f t="shared" si="2"/>
        <v>1.115</v>
      </c>
      <c r="BC15" s="20">
        <f t="shared" si="3"/>
        <v>1.1683345305563995</v>
      </c>
      <c r="BE15" s="18">
        <f t="shared" si="4"/>
        <v>954.34994929834022</v>
      </c>
      <c r="BF15" s="8">
        <v>0.28199999999999997</v>
      </c>
      <c r="BG15" s="8">
        <v>0.122</v>
      </c>
      <c r="BH15" s="8">
        <v>0.20899999999999999</v>
      </c>
      <c r="BI15" s="13">
        <f t="shared" si="5"/>
        <v>0.61299999999999999</v>
      </c>
      <c r="BJ15" s="26">
        <v>46</v>
      </c>
      <c r="BK15" s="26">
        <v>19.899999999999999</v>
      </c>
      <c r="BL15" s="26">
        <v>34.1</v>
      </c>
      <c r="BM15" s="16">
        <f t="shared" si="6"/>
        <v>100</v>
      </c>
      <c r="BN15" s="21">
        <f t="shared" si="7"/>
        <v>2.69</v>
      </c>
      <c r="BO15" s="21">
        <f t="shared" si="8"/>
        <v>1.1599999999999999</v>
      </c>
      <c r="BP15" s="21">
        <f t="shared" si="9"/>
        <v>1.99</v>
      </c>
      <c r="BQ15" s="14">
        <f t="shared" si="10"/>
        <v>5.84</v>
      </c>
      <c r="BR15" s="22" t="str">
        <f>IF(OR(AND(X15="Mourões", BQ15&gt;=6.5),AND(X15="Postes", BQ15&gt;=9.6),AND(X15="Dormentes", BQ15&gt;=9.6),AND(X15="Estacas", BQ15&gt;=6.5),AND(X15="Cruzetas", BQ15&gt;=6.5),AND(X15="Outros - Solo", BQ15&gt;=6.5),AND(X15="Outros - Suspenso",BQ15&gt;=4),AND(X15="Deck",BQ15&gt;=4)),'Listas suspensas'!$C$21,'Listas suspensas'!$C$22)</f>
        <v>Os resultados da análise química apresentaram uma retenção do produto inferior ao padrão mínimo exigido pela norma ABNT NBR 16143</v>
      </c>
    </row>
    <row r="16" spans="1:70" x14ac:dyDescent="0.25">
      <c r="B16" s="8" t="s">
        <v>121</v>
      </c>
      <c r="C16" s="8" t="s">
        <v>71</v>
      </c>
      <c r="F16" s="11">
        <v>45358</v>
      </c>
      <c r="G16" s="11">
        <v>45358</v>
      </c>
      <c r="H16" s="11">
        <v>45364</v>
      </c>
      <c r="I16" s="8" t="s">
        <v>107</v>
      </c>
      <c r="J16" s="8" t="s">
        <v>108</v>
      </c>
      <c r="K16" s="8" t="s">
        <v>109</v>
      </c>
      <c r="L16" s="8" t="s">
        <v>15</v>
      </c>
      <c r="N16" s="8" t="s">
        <v>75</v>
      </c>
      <c r="O16" s="8" t="s">
        <v>94</v>
      </c>
      <c r="P16" s="28" t="s">
        <v>77</v>
      </c>
      <c r="Q16" s="16" t="s">
        <v>122</v>
      </c>
      <c r="X16" s="8" t="s">
        <v>79</v>
      </c>
      <c r="Y16" s="34">
        <f>IF(X16='Listas suspensas'!$A$21,'Listas suspensas'!$B$23,IF(X16='Listas suspensas'!$A$22,'Listas suspensas'!$B$23,IF(X16='Listas suspensas'!$A$23,'Listas suspensas'!$B$22,IF(X16='Listas suspensas'!$A$26,'Listas suspensas'!$B$22,IF(X16='Listas suspensas'!$A$32,'Listas suspensas'!$B$22,IF(X16='Listas suspensas'!$A$33,'Listas suspensas'!$B$21,IF(X16='Listas suspensas'!$A$24,'Listas suspensas'!$B$22,IF(X16='Listas suspensas'!$A$30,'Listas suspensas'!$B$21,""))))))))</f>
        <v>6.5</v>
      </c>
      <c r="Z16" s="8" t="s">
        <v>80</v>
      </c>
      <c r="AA16" s="8">
        <v>4</v>
      </c>
      <c r="AB16" s="8" t="str">
        <f>IF(AA16='Listas suspensas'!$A$2,'Listas suspensas'!$B$2,IF(AA16='Listas suspensas'!$A$3,'Listas suspensas'!$B$3,IF(AA16='Listas suspensas'!$A$4,'Listas suspensas'!$B$4,IF(AA16='Listas suspensas'!$A$5,'Listas suspensas'!$B$5,IF(AA16='Listas suspensas'!$A$6,'Listas suspensas'!$B$6,"")))))</f>
        <v>Parcial e irregular</v>
      </c>
      <c r="AC16" s="8" t="str">
        <f>IF(AA16='Listas suspensas'!$A$2,'Listas suspensas'!$C$2,IF(AA16='Listas suspensas'!$A$3,'Listas suspensas'!$C$3,IF(AA16='Listas suspensas'!$A$4,'Listas suspensas'!$C$4,IF(AA16='Listas suspensas'!$A$5,'Listas suspensas'!$C$5,IF(AA16='Listas suspensas'!$A$6,'Listas suspensas'!$C$6,"")))))</f>
        <v>Indica a penetração desuniforme e não total pela extensão do alburno.</v>
      </c>
      <c r="AK16" s="8">
        <v>11.04</v>
      </c>
      <c r="AL16" s="8">
        <v>10.9</v>
      </c>
      <c r="AM16" s="8">
        <v>11.95</v>
      </c>
      <c r="AN16" s="8">
        <v>11.07</v>
      </c>
      <c r="AO16" s="8">
        <v>11.09</v>
      </c>
      <c r="AP16" s="8">
        <f t="shared" si="0"/>
        <v>1.121</v>
      </c>
      <c r="AQ16" s="8">
        <v>8.52</v>
      </c>
      <c r="AR16" s="8">
        <v>11.99</v>
      </c>
      <c r="AS16" s="8">
        <v>10.09</v>
      </c>
      <c r="AT16" s="8">
        <v>11.23</v>
      </c>
      <c r="AU16" s="8">
        <v>9.07</v>
      </c>
      <c r="AV16" s="8">
        <f t="shared" si="1"/>
        <v>1.018</v>
      </c>
      <c r="AW16" s="20">
        <v>0.81110000000000004</v>
      </c>
      <c r="AX16" s="20">
        <v>1.0545</v>
      </c>
      <c r="AY16" s="20">
        <v>0.96870000000000001</v>
      </c>
      <c r="AZ16" s="20">
        <v>1.0773999999999999</v>
      </c>
      <c r="BA16" s="20">
        <v>0.83909999999999996</v>
      </c>
      <c r="BB16" s="20">
        <f t="shared" si="2"/>
        <v>0.95016</v>
      </c>
      <c r="BC16" s="20">
        <f t="shared" si="3"/>
        <v>1.0047288770520315</v>
      </c>
      <c r="BE16" s="18">
        <f t="shared" si="4"/>
        <v>945.68795791742173</v>
      </c>
      <c r="BF16" s="8">
        <v>0.26100000000000001</v>
      </c>
      <c r="BG16" s="8">
        <v>0.107</v>
      </c>
      <c r="BH16" s="8">
        <v>0.193</v>
      </c>
      <c r="BI16" s="13">
        <f t="shared" si="5"/>
        <v>0.56099999999999994</v>
      </c>
      <c r="BJ16" s="26">
        <v>46.5</v>
      </c>
      <c r="BK16" s="26">
        <v>19.100000000000001</v>
      </c>
      <c r="BL16" s="26">
        <v>34.4</v>
      </c>
      <c r="BM16" s="16">
        <f t="shared" si="6"/>
        <v>100</v>
      </c>
      <c r="BN16" s="21">
        <f t="shared" si="7"/>
        <v>2.4700000000000002</v>
      </c>
      <c r="BO16" s="21">
        <f t="shared" si="8"/>
        <v>1.01</v>
      </c>
      <c r="BP16" s="21">
        <f t="shared" si="9"/>
        <v>1.83</v>
      </c>
      <c r="BQ16" s="14">
        <f t="shared" si="10"/>
        <v>5.31</v>
      </c>
      <c r="BR16" s="22" t="str">
        <f>IF(OR(AND(X16="Mourões", BQ16&gt;=6.5),AND(X16="Postes", BQ16&gt;=9.6),AND(X16="Dormentes", BQ16&gt;=9.6),AND(X16="Estacas", BQ16&gt;=6.5),AND(X16="Cruzetas", BQ16&gt;=6.5),AND(X16="Outros - Solo", BQ16&gt;=6.5),AND(X16="Outros - Suspenso",BQ16&gt;=4),AND(X16="Deck",BQ16&gt;=4)),'Listas suspensas'!$C$21,'Listas suspensas'!$C$22)</f>
        <v>Os resultados da análise química apresentaram uma retenção do produto inferior ao padrão mínimo exigido pela norma ABNT NBR 16143</v>
      </c>
    </row>
    <row r="17" spans="1:70" x14ac:dyDescent="0.25">
      <c r="B17" s="8" t="s">
        <v>123</v>
      </c>
      <c r="C17" s="8" t="s">
        <v>71</v>
      </c>
      <c r="F17" s="11">
        <v>45358</v>
      </c>
      <c r="G17" s="11">
        <v>45358</v>
      </c>
      <c r="H17" s="11">
        <v>45364</v>
      </c>
      <c r="I17" s="8" t="s">
        <v>107</v>
      </c>
      <c r="J17" s="8" t="s">
        <v>108</v>
      </c>
      <c r="K17" s="8" t="s">
        <v>109</v>
      </c>
      <c r="L17" s="8" t="s">
        <v>15</v>
      </c>
      <c r="N17" s="8" t="s">
        <v>75</v>
      </c>
      <c r="O17" s="8" t="s">
        <v>94</v>
      </c>
      <c r="P17" s="28" t="s">
        <v>124</v>
      </c>
      <c r="Q17" s="16" t="s">
        <v>125</v>
      </c>
      <c r="X17" s="8" t="s">
        <v>79</v>
      </c>
      <c r="Y17" s="34">
        <f>IF(X17='Listas suspensas'!$A$21,'Listas suspensas'!$B$23,IF(X17='Listas suspensas'!$A$22,'Listas suspensas'!$B$23,IF(X17='Listas suspensas'!$A$23,'Listas suspensas'!$B$22,IF(X17='Listas suspensas'!$A$26,'Listas suspensas'!$B$22,IF(X17='Listas suspensas'!$A$32,'Listas suspensas'!$B$22,IF(X17='Listas suspensas'!$A$33,'Listas suspensas'!$B$21,IF(X17='Listas suspensas'!$A$24,'Listas suspensas'!$B$22,IF(X17='Listas suspensas'!$A$30,'Listas suspensas'!$B$21,""))))))))</f>
        <v>6.5</v>
      </c>
      <c r="Z17" s="8" t="s">
        <v>80</v>
      </c>
      <c r="AA17" s="8">
        <v>1</v>
      </c>
      <c r="AB17" s="8" t="str">
        <f>IF(AA17='Listas suspensas'!$A$2,'Listas suspensas'!$B$2,IF(AA17='Listas suspensas'!$A$3,'Listas suspensas'!$B$3,IF(AA17='Listas suspensas'!$A$4,'Listas suspensas'!$B$4,IF(AA17='Listas suspensas'!$A$5,'Listas suspensas'!$B$5,IF(AA17='Listas suspensas'!$A$6,'Listas suspensas'!$B$6,"")))))</f>
        <v>Profunda e regular</v>
      </c>
      <c r="AC17" s="8" t="str">
        <f>IF(AA17='Listas suspensas'!$A$2,'Listas suspensas'!$C$2,IF(AA17='Listas suspensas'!$A$3,'Listas suspensas'!$C$3,IF(AA17='Listas suspensas'!$A$4,'Listas suspensas'!$C$4,IF(AA17='Listas suspensas'!$A$5,'Listas suspensas'!$C$5,IF(AA17='Listas suspensas'!$A$6,'Listas suspensas'!$C$6,"")))))</f>
        <v>Indica a penetração profunda e uniforme em toda a extensão do alburno.</v>
      </c>
      <c r="AK17" s="8">
        <v>11.43</v>
      </c>
      <c r="AL17" s="8">
        <v>11.24</v>
      </c>
      <c r="AM17" s="8">
        <v>11.18</v>
      </c>
      <c r="AN17" s="8">
        <v>11.43</v>
      </c>
      <c r="AO17" s="8">
        <v>11.18</v>
      </c>
      <c r="AP17" s="8">
        <f t="shared" si="0"/>
        <v>1.1292</v>
      </c>
      <c r="AQ17" s="8">
        <v>23.16</v>
      </c>
      <c r="AR17" s="8">
        <v>24.9</v>
      </c>
      <c r="AS17" s="8">
        <v>20.399999999999999</v>
      </c>
      <c r="AT17" s="8">
        <v>29.51</v>
      </c>
      <c r="AU17" s="8">
        <v>34.1</v>
      </c>
      <c r="AV17" s="8">
        <f t="shared" si="1"/>
        <v>2.6414000000000004</v>
      </c>
      <c r="AW17" s="20">
        <v>2.0495999999999999</v>
      </c>
      <c r="AX17" s="20">
        <v>1.8897999999999999</v>
      </c>
      <c r="AY17" s="20">
        <v>1.79</v>
      </c>
      <c r="AZ17" s="20">
        <v>2.5661</v>
      </c>
      <c r="BA17" s="20">
        <v>2.9373</v>
      </c>
      <c r="BB17" s="20">
        <f t="shared" si="2"/>
        <v>2.2465600000000001</v>
      </c>
      <c r="BC17" s="20">
        <f t="shared" si="3"/>
        <v>2.6452443400951386</v>
      </c>
      <c r="BE17" s="18">
        <f t="shared" si="4"/>
        <v>849.28260348123479</v>
      </c>
      <c r="BF17" s="8">
        <v>0.308</v>
      </c>
      <c r="BG17" s="8">
        <v>0.20599999999999999</v>
      </c>
      <c r="BH17" s="8">
        <v>0.375</v>
      </c>
      <c r="BI17" s="13">
        <f t="shared" si="5"/>
        <v>0.88900000000000001</v>
      </c>
      <c r="BJ17" s="26">
        <v>34.6</v>
      </c>
      <c r="BK17" s="26">
        <v>23.2</v>
      </c>
      <c r="BL17" s="26">
        <v>42.2</v>
      </c>
      <c r="BM17" s="16">
        <f t="shared" si="6"/>
        <v>100</v>
      </c>
      <c r="BN17" s="21">
        <f t="shared" si="7"/>
        <v>2.62</v>
      </c>
      <c r="BO17" s="21">
        <f t="shared" si="8"/>
        <v>1.75</v>
      </c>
      <c r="BP17" s="21">
        <f t="shared" si="9"/>
        <v>3.18</v>
      </c>
      <c r="BQ17" s="14">
        <f t="shared" si="10"/>
        <v>7.55</v>
      </c>
      <c r="BR17" s="22" t="str">
        <f>IF(OR(AND(X17="Mourões", BQ17&gt;=6.5),AND(X17="Postes", BQ17&gt;=9.6),AND(X17="Dormentes", BQ17&gt;=9.6),AND(X17="Estacas", BQ17&gt;=6.5),AND(X17="Cruzetas", BQ17&gt;=6.5),AND(X17="Outros - Solo", BQ17&gt;=6.5),AND(X17="Outros - Suspenso",BQ17&gt;=4),AND(X17="Deck",BQ17&gt;=4)),'Listas suspensas'!$C$21,'Listas suspensas'!$C$22)</f>
        <v>Os resultados da análise química apresentaram uma retenção do produto de acordo com o padrão mínimo exigido pela norma ABNT NBR 16143</v>
      </c>
    </row>
    <row r="18" spans="1:70" x14ac:dyDescent="0.25">
      <c r="B18" s="8" t="s">
        <v>126</v>
      </c>
      <c r="C18" s="8" t="s">
        <v>71</v>
      </c>
      <c r="F18" s="11">
        <v>45358</v>
      </c>
      <c r="G18" s="11">
        <v>45358</v>
      </c>
      <c r="H18" s="11">
        <v>45364</v>
      </c>
      <c r="I18" s="8" t="s">
        <v>107</v>
      </c>
      <c r="J18" s="8" t="s">
        <v>108</v>
      </c>
      <c r="K18" s="8" t="s">
        <v>109</v>
      </c>
      <c r="L18" s="8" t="s">
        <v>15</v>
      </c>
      <c r="N18" s="8" t="s">
        <v>75</v>
      </c>
      <c r="O18" s="8" t="s">
        <v>94</v>
      </c>
      <c r="P18" s="28" t="s">
        <v>124</v>
      </c>
      <c r="Q18" s="16" t="s">
        <v>127</v>
      </c>
      <c r="X18" s="8" t="s">
        <v>79</v>
      </c>
      <c r="Y18" s="34">
        <f>IF(X18='Listas suspensas'!$A$21,'Listas suspensas'!$B$23,IF(X18='Listas suspensas'!$A$22,'Listas suspensas'!$B$23,IF(X18='Listas suspensas'!$A$23,'Listas suspensas'!$B$22,IF(X18='Listas suspensas'!$A$26,'Listas suspensas'!$B$22,IF(X18='Listas suspensas'!$A$32,'Listas suspensas'!$B$22,IF(X18='Listas suspensas'!$A$33,'Listas suspensas'!$B$21,IF(X18='Listas suspensas'!$A$24,'Listas suspensas'!$B$22,IF(X18='Listas suspensas'!$A$30,'Listas suspensas'!$B$21,""))))))))</f>
        <v>6.5</v>
      </c>
      <c r="Z18" s="8" t="s">
        <v>80</v>
      </c>
      <c r="AA18" s="8">
        <v>1</v>
      </c>
      <c r="AB18" s="8" t="str">
        <f>IF(AA18='Listas suspensas'!$A$2,'Listas suspensas'!$B$2,IF(AA18='Listas suspensas'!$A$3,'Listas suspensas'!$B$3,IF(AA18='Listas suspensas'!$A$4,'Listas suspensas'!$B$4,IF(AA18='Listas suspensas'!$A$5,'Listas suspensas'!$B$5,IF(AA18='Listas suspensas'!$A$6,'Listas suspensas'!$B$6,"")))))</f>
        <v>Profunda e regular</v>
      </c>
      <c r="AC18" s="8" t="str">
        <f>IF(AA18='Listas suspensas'!$A$2,'Listas suspensas'!$C$2,IF(AA18='Listas suspensas'!$A$3,'Listas suspensas'!$C$3,IF(AA18='Listas suspensas'!$A$4,'Listas suspensas'!$C$4,IF(AA18='Listas suspensas'!$A$5,'Listas suspensas'!$C$5,IF(AA18='Listas suspensas'!$A$6,'Listas suspensas'!$C$6,"")))))</f>
        <v>Indica a penetração profunda e uniforme em toda a extensão do alburno.</v>
      </c>
      <c r="AK18" s="8">
        <v>11.31</v>
      </c>
      <c r="AL18" s="8">
        <v>11.17</v>
      </c>
      <c r="AM18" s="8">
        <v>11.74</v>
      </c>
      <c r="AN18" s="8">
        <v>11.44</v>
      </c>
      <c r="AO18" s="8">
        <v>11.38</v>
      </c>
      <c r="AP18" s="8">
        <f t="shared" si="0"/>
        <v>1.1408</v>
      </c>
      <c r="AQ18" s="8">
        <v>26.45</v>
      </c>
      <c r="AR18" s="8">
        <v>29.43</v>
      </c>
      <c r="AS18" s="8">
        <v>22.21</v>
      </c>
      <c r="AT18" s="8">
        <v>26.87</v>
      </c>
      <c r="AU18" s="8">
        <v>32.67</v>
      </c>
      <c r="AV18" s="8">
        <f t="shared" si="1"/>
        <v>2.7526000000000002</v>
      </c>
      <c r="AW18" s="20">
        <v>2.1789999999999998</v>
      </c>
      <c r="AX18" s="20">
        <v>2.431</v>
      </c>
      <c r="AY18" s="20">
        <v>1.7270000000000001</v>
      </c>
      <c r="AZ18" s="20">
        <v>2.1583999999999999</v>
      </c>
      <c r="BA18" s="20">
        <v>2.6177999999999999</v>
      </c>
      <c r="BB18" s="20">
        <f t="shared" si="2"/>
        <v>2.2226399999999997</v>
      </c>
      <c r="BC18" s="20">
        <f t="shared" si="3"/>
        <v>2.813532990611856</v>
      </c>
      <c r="BE18" s="18">
        <f t="shared" si="4"/>
        <v>789.98185108063888</v>
      </c>
      <c r="BF18" s="8">
        <v>0.33600000000000002</v>
      </c>
      <c r="BG18" s="8">
        <v>0.219</v>
      </c>
      <c r="BH18" s="8">
        <v>0.41099999999999998</v>
      </c>
      <c r="BI18" s="13">
        <f t="shared" si="5"/>
        <v>0.96599999999999997</v>
      </c>
      <c r="BJ18" s="26">
        <v>34.799999999999997</v>
      </c>
      <c r="BK18" s="26">
        <v>22.7</v>
      </c>
      <c r="BL18" s="26">
        <v>42.5</v>
      </c>
      <c r="BM18" s="16">
        <f t="shared" si="6"/>
        <v>100</v>
      </c>
      <c r="BN18" s="21">
        <f t="shared" si="7"/>
        <v>2.65</v>
      </c>
      <c r="BO18" s="21">
        <f t="shared" si="8"/>
        <v>1.73</v>
      </c>
      <c r="BP18" s="21">
        <f t="shared" si="9"/>
        <v>3.25</v>
      </c>
      <c r="BQ18" s="14">
        <f t="shared" si="10"/>
        <v>7.63</v>
      </c>
      <c r="BR18" s="22" t="str">
        <f>IF(OR(AND(X18="Mourões", BQ18&gt;=6.5),AND(X18="Postes", BQ18&gt;=9.6),AND(X18="Dormentes", BQ18&gt;=9.6),AND(X18="Estacas", BQ18&gt;=6.5),AND(X18="Cruzetas", BQ18&gt;=6.5),AND(X18="Outros - Solo", BQ18&gt;=6.5),AND(X18="Outros - Suspenso",BQ18&gt;=4),AND(X18="Deck",BQ18&gt;=4)),'Listas suspensas'!$C$21,'Listas suspensas'!$C$22)</f>
        <v>Os resultados da análise química apresentaram uma retenção do produto de acordo com o padrão mínimo exigido pela norma ABNT NBR 16143</v>
      </c>
    </row>
    <row r="19" spans="1:70" x14ac:dyDescent="0.25">
      <c r="A19" s="8">
        <v>54888</v>
      </c>
      <c r="B19" s="8" t="s">
        <v>128</v>
      </c>
      <c r="C19" s="8" t="s">
        <v>71</v>
      </c>
      <c r="D19" s="8" t="s">
        <v>129</v>
      </c>
      <c r="F19" s="11">
        <v>45370</v>
      </c>
      <c r="G19" s="11">
        <v>45370</v>
      </c>
      <c r="H19" s="11">
        <v>45373</v>
      </c>
      <c r="I19" s="8" t="s">
        <v>130</v>
      </c>
      <c r="J19" s="8" t="s">
        <v>131</v>
      </c>
      <c r="K19" s="8" t="s">
        <v>74</v>
      </c>
      <c r="L19" s="8" t="s">
        <v>15</v>
      </c>
      <c r="M19" s="8" t="s">
        <v>132</v>
      </c>
      <c r="N19" s="8" t="s">
        <v>75</v>
      </c>
      <c r="O19" s="8" t="s">
        <v>76</v>
      </c>
      <c r="P19" s="28" t="s">
        <v>77</v>
      </c>
      <c r="Q19" s="16" t="s">
        <v>133</v>
      </c>
      <c r="X19" s="8" t="s">
        <v>79</v>
      </c>
      <c r="Y19" s="34">
        <f>IF(X19='Listas suspensas'!$A$21,'Listas suspensas'!$B$23,IF(X19='Listas suspensas'!$A$22,'Listas suspensas'!$B$23,IF(X19='Listas suspensas'!$A$23,'Listas suspensas'!$B$22,IF(X19='Listas suspensas'!$A$26,'Listas suspensas'!$B$22,IF(X19='Listas suspensas'!$A$32,'Listas suspensas'!$B$22,IF(X19='Listas suspensas'!$A$33,'Listas suspensas'!$B$21,IF(X19='Listas suspensas'!$A$24,'Listas suspensas'!$B$22,IF(X19='Listas suspensas'!$A$30,'Listas suspensas'!$B$21,""))))))))</f>
        <v>6.5</v>
      </c>
      <c r="Z19" s="8" t="s">
        <v>80</v>
      </c>
      <c r="AA19" s="8">
        <v>4</v>
      </c>
      <c r="AB19" s="8" t="str">
        <f>IF(AA19='Listas suspensas'!$A$2,'Listas suspensas'!$B$2,IF(AA19='Listas suspensas'!$A$3,'Listas suspensas'!$B$3,IF(AA19='Listas suspensas'!$A$4,'Listas suspensas'!$B$4,IF(AA19='Listas suspensas'!$A$5,'Listas suspensas'!$B$5,IF(AA19='Listas suspensas'!$A$6,'Listas suspensas'!$B$6,"")))))</f>
        <v>Parcial e irregular</v>
      </c>
      <c r="AC19" s="8" t="str">
        <f>IF(AA19='Listas suspensas'!$A$2,'Listas suspensas'!$C$2,IF(AA19='Listas suspensas'!$A$3,'Listas suspensas'!$C$3,IF(AA19='Listas suspensas'!$A$4,'Listas suspensas'!$C$4,IF(AA19='Listas suspensas'!$A$5,'Listas suspensas'!$C$5,IF(AA19='Listas suspensas'!$A$6,'Listas suspensas'!$C$6,"")))))</f>
        <v>Indica a penetração desuniforme e não total pela extensão do alburno.</v>
      </c>
      <c r="AK19" s="8">
        <v>11.42</v>
      </c>
      <c r="AL19" s="8">
        <v>11.56</v>
      </c>
      <c r="AM19" s="8">
        <v>11.57</v>
      </c>
      <c r="AN19" s="8">
        <v>11.25</v>
      </c>
      <c r="AO19" s="8">
        <v>11.5</v>
      </c>
      <c r="AP19" s="8">
        <f t="shared" si="0"/>
        <v>1.1459999999999999</v>
      </c>
      <c r="AQ19" s="8">
        <v>11.68</v>
      </c>
      <c r="AR19" s="8">
        <v>11.42</v>
      </c>
      <c r="AS19" s="8">
        <v>12.34</v>
      </c>
      <c r="AT19" s="8">
        <v>11.44</v>
      </c>
      <c r="AU19" s="8">
        <v>13.66</v>
      </c>
      <c r="AV19" s="8">
        <f t="shared" si="1"/>
        <v>1.2107999999999999</v>
      </c>
      <c r="AW19" s="20">
        <v>1.0616000000000001</v>
      </c>
      <c r="AX19" s="20">
        <v>1.0277000000000001</v>
      </c>
      <c r="AY19" s="20">
        <v>1.1120000000000001</v>
      </c>
      <c r="AZ19" s="20">
        <v>0.96030000000000004</v>
      </c>
      <c r="BA19" s="20">
        <v>1.198</v>
      </c>
      <c r="BB19" s="20">
        <f t="shared" si="2"/>
        <v>1.07192</v>
      </c>
      <c r="BC19" s="20">
        <f t="shared" si="3"/>
        <v>1.2489111097556727</v>
      </c>
      <c r="BE19" s="18">
        <f t="shared" si="4"/>
        <v>858.28366136458033</v>
      </c>
      <c r="BF19" s="8">
        <v>0.152</v>
      </c>
      <c r="BG19" s="8">
        <v>6.8000000000000005E-2</v>
      </c>
      <c r="BH19" s="8">
        <v>0.10100000000000001</v>
      </c>
      <c r="BI19" s="13">
        <f t="shared" si="5"/>
        <v>0.32100000000000001</v>
      </c>
      <c r="BJ19" s="26">
        <v>47.4</v>
      </c>
      <c r="BK19" s="26">
        <v>21.2</v>
      </c>
      <c r="BL19" s="26">
        <v>31.4</v>
      </c>
      <c r="BM19" s="16">
        <f t="shared" si="6"/>
        <v>100</v>
      </c>
      <c r="BN19" s="21">
        <f t="shared" si="7"/>
        <v>1.3</v>
      </c>
      <c r="BO19" s="21">
        <f t="shared" si="8"/>
        <v>0.57999999999999996</v>
      </c>
      <c r="BP19" s="21">
        <f t="shared" si="9"/>
        <v>0.87</v>
      </c>
      <c r="BQ19" s="14">
        <f t="shared" si="10"/>
        <v>2.75</v>
      </c>
      <c r="BR19" s="22" t="str">
        <f>IF(OR(AND(X19="Mourões", BQ19&gt;=6.5),AND(X19="Postes", BQ19&gt;=9.6),AND(X19="Dormentes", BQ19&gt;=9.6),AND(X19="Estacas", BQ19&gt;=6.5),AND(X19="Cruzetas", BQ19&gt;=6.5),AND(X19="Outros - Solo", BQ19&gt;=6.5),AND(X19="Outros - Suspenso",BQ19&gt;=4),AND(X19="Deck",BQ19&gt;=4)),'Listas suspensas'!$C$21,'Listas suspensas'!$C$22)</f>
        <v>Os resultados da análise química apresentaram uma retenção do produto inferior ao padrão mínimo exigido pela norma ABNT NBR 16143</v>
      </c>
    </row>
    <row r="20" spans="1:70" x14ac:dyDescent="0.25">
      <c r="A20" s="8">
        <v>54888</v>
      </c>
      <c r="B20" s="8" t="s">
        <v>134</v>
      </c>
      <c r="C20" s="8" t="s">
        <v>71</v>
      </c>
      <c r="D20" s="8" t="s">
        <v>129</v>
      </c>
      <c r="F20" s="11">
        <v>45370</v>
      </c>
      <c r="G20" s="11">
        <v>45370</v>
      </c>
      <c r="H20" s="11">
        <v>45376</v>
      </c>
      <c r="I20" s="8" t="s">
        <v>130</v>
      </c>
      <c r="J20" s="8" t="s">
        <v>131</v>
      </c>
      <c r="K20" s="8" t="s">
        <v>74</v>
      </c>
      <c r="L20" s="8" t="s">
        <v>15</v>
      </c>
      <c r="M20" s="8" t="s">
        <v>132</v>
      </c>
      <c r="N20" s="8" t="s">
        <v>75</v>
      </c>
      <c r="O20" s="8" t="s">
        <v>76</v>
      </c>
      <c r="P20" s="28" t="s">
        <v>77</v>
      </c>
      <c r="Q20" s="16" t="s">
        <v>135</v>
      </c>
      <c r="X20" s="8" t="s">
        <v>79</v>
      </c>
      <c r="Y20" s="34">
        <f>IF(X20='Listas suspensas'!$A$21,'Listas suspensas'!$B$23,IF(X20='Listas suspensas'!$A$22,'Listas suspensas'!$B$23,IF(X20='Listas suspensas'!$A$23,'Listas suspensas'!$B$22,IF(X20='Listas suspensas'!$A$26,'Listas suspensas'!$B$22,IF(X20='Listas suspensas'!$A$32,'Listas suspensas'!$B$22,IF(X20='Listas suspensas'!$A$33,'Listas suspensas'!$B$21,IF(X20='Listas suspensas'!$A$24,'Listas suspensas'!$B$22,IF(X20='Listas suspensas'!$A$30,'Listas suspensas'!$B$21,""))))))))</f>
        <v>6.5</v>
      </c>
      <c r="Z20" s="8" t="s">
        <v>80</v>
      </c>
      <c r="AA20" s="8">
        <v>2</v>
      </c>
      <c r="AB20" s="8" t="str">
        <f>IF(AA20='Listas suspensas'!$A$2,'Listas suspensas'!$B$2,IF(AA20='Listas suspensas'!$A$3,'Listas suspensas'!$B$3,IF(AA20='Listas suspensas'!$A$4,'Listas suspensas'!$B$4,IF(AA20='Listas suspensas'!$A$5,'Listas suspensas'!$B$5,IF(AA20='Listas suspensas'!$A$6,'Listas suspensas'!$B$6,"")))))</f>
        <v>Profunda e irregular</v>
      </c>
      <c r="AC20" s="8" t="str">
        <f>IF(AA20='Listas suspensas'!$A$2,'Listas suspensas'!$C$2,IF(AA20='Listas suspensas'!$A$3,'Listas suspensas'!$C$3,IF(AA20='Listas suspensas'!$A$4,'Listas suspensas'!$C$4,IF(AA20='Listas suspensas'!$A$5,'Listas suspensas'!$C$5,IF(AA20='Listas suspensas'!$A$6,'Listas suspensas'!$C$6,"")))))</f>
        <v>Indica a penetração profunda, mas desuniforme em toda a extensão do alburno.</v>
      </c>
      <c r="AK20" s="8">
        <v>11.54</v>
      </c>
      <c r="AL20" s="8">
        <v>11.44</v>
      </c>
      <c r="AM20" s="8">
        <v>11.6</v>
      </c>
      <c r="AN20" s="8">
        <v>11.7</v>
      </c>
      <c r="AO20" s="8">
        <v>11.2</v>
      </c>
      <c r="AP20" s="8">
        <f t="shared" si="0"/>
        <v>1.1496</v>
      </c>
      <c r="AQ20" s="8">
        <v>9.83</v>
      </c>
      <c r="AR20" s="8">
        <v>9.73</v>
      </c>
      <c r="AS20" s="8">
        <v>8.7899999999999991</v>
      </c>
      <c r="AT20" s="8">
        <v>11.33</v>
      </c>
      <c r="AU20" s="8">
        <v>8.58</v>
      </c>
      <c r="AV20" s="8">
        <f t="shared" si="1"/>
        <v>0.96519999999999995</v>
      </c>
      <c r="AW20" s="20">
        <v>0.74299999999999999</v>
      </c>
      <c r="AX20" s="20">
        <v>0.73909999999999998</v>
      </c>
      <c r="AY20" s="20">
        <v>0.68410000000000004</v>
      </c>
      <c r="AZ20" s="20">
        <v>0.91090000000000004</v>
      </c>
      <c r="BA20" s="20">
        <v>0.69950000000000001</v>
      </c>
      <c r="BB20" s="20">
        <f t="shared" si="2"/>
        <v>0.75531999999999999</v>
      </c>
      <c r="BC20" s="20">
        <f t="shared" si="3"/>
        <v>1.0018453917069674</v>
      </c>
      <c r="BE20" s="18">
        <f t="shared" si="4"/>
        <v>753.92870621790087</v>
      </c>
      <c r="BF20" s="8">
        <v>0.24099999999999999</v>
      </c>
      <c r="BG20" s="8">
        <v>0.123</v>
      </c>
      <c r="BH20" s="8">
        <v>0.215</v>
      </c>
      <c r="BI20" s="13">
        <f t="shared" si="5"/>
        <v>0.57899999999999996</v>
      </c>
      <c r="BJ20" s="26">
        <v>41.7</v>
      </c>
      <c r="BK20" s="26">
        <v>21.2</v>
      </c>
      <c r="BL20" s="26">
        <v>37.1</v>
      </c>
      <c r="BM20" s="16">
        <f t="shared" si="6"/>
        <v>100</v>
      </c>
      <c r="BN20" s="21">
        <f t="shared" si="7"/>
        <v>1.82</v>
      </c>
      <c r="BO20" s="21">
        <f t="shared" si="8"/>
        <v>0.93</v>
      </c>
      <c r="BP20" s="21">
        <f t="shared" si="9"/>
        <v>1.62</v>
      </c>
      <c r="BQ20" s="14">
        <f t="shared" si="10"/>
        <v>4.37</v>
      </c>
      <c r="BR20" s="22" t="str">
        <f>IF(OR(AND(X20="Mourões", BQ20&gt;=6.5),AND(X20="Postes", BQ20&gt;=9.6),AND(X20="Dormentes", BQ20&gt;=9.6),AND(X20="Estacas", BQ20&gt;=6.5),AND(X20="Cruzetas", BQ20&gt;=6.5),AND(X20="Outros - Solo", BQ20&gt;=6.5),AND(X20="Outros - Suspenso",BQ20&gt;=4),AND(X20="Deck",BQ20&gt;=4)),'Listas suspensas'!$C$21,'Listas suspensas'!$C$22)</f>
        <v>Os resultados da análise química apresentaram uma retenção do produto inferior ao padrão mínimo exigido pela norma ABNT NBR 16143</v>
      </c>
    </row>
    <row r="21" spans="1:70" x14ac:dyDescent="0.25">
      <c r="A21" s="8">
        <v>54888</v>
      </c>
      <c r="B21" s="8" t="s">
        <v>136</v>
      </c>
      <c r="C21" s="8" t="s">
        <v>71</v>
      </c>
      <c r="D21" s="8" t="s">
        <v>129</v>
      </c>
      <c r="F21" s="11">
        <v>45370</v>
      </c>
      <c r="G21" s="11">
        <v>45370</v>
      </c>
      <c r="H21" s="11">
        <v>45376</v>
      </c>
      <c r="I21" s="8" t="s">
        <v>130</v>
      </c>
      <c r="J21" s="8" t="s">
        <v>131</v>
      </c>
      <c r="K21" s="8" t="s">
        <v>74</v>
      </c>
      <c r="L21" s="8" t="s">
        <v>15</v>
      </c>
      <c r="M21" s="8" t="s">
        <v>132</v>
      </c>
      <c r="N21" s="8" t="s">
        <v>75</v>
      </c>
      <c r="O21" s="8" t="s">
        <v>76</v>
      </c>
      <c r="P21" s="28" t="s">
        <v>77</v>
      </c>
      <c r="Q21" s="16" t="s">
        <v>137</v>
      </c>
      <c r="X21" s="8" t="s">
        <v>79</v>
      </c>
      <c r="Y21" s="34">
        <f>IF(X21='Listas suspensas'!$A$21,'Listas suspensas'!$B$23,IF(X21='Listas suspensas'!$A$22,'Listas suspensas'!$B$23,IF(X21='Listas suspensas'!$A$23,'Listas suspensas'!$B$22,IF(X21='Listas suspensas'!$A$26,'Listas suspensas'!$B$22,IF(X21='Listas suspensas'!$A$32,'Listas suspensas'!$B$22,IF(X21='Listas suspensas'!$A$33,'Listas suspensas'!$B$21,IF(X21='Listas suspensas'!$A$24,'Listas suspensas'!$B$22,IF(X21='Listas suspensas'!$A$30,'Listas suspensas'!$B$21,""))))))))</f>
        <v>6.5</v>
      </c>
      <c r="Z21" s="8" t="s">
        <v>80</v>
      </c>
      <c r="AA21" s="8">
        <v>2</v>
      </c>
      <c r="AB21" s="8" t="str">
        <f>IF(AA21='Listas suspensas'!$A$2,'Listas suspensas'!$B$2,IF(AA21='Listas suspensas'!$A$3,'Listas suspensas'!$B$3,IF(AA21='Listas suspensas'!$A$4,'Listas suspensas'!$B$4,IF(AA21='Listas suspensas'!$A$5,'Listas suspensas'!$B$5,IF(AA21='Listas suspensas'!$A$6,'Listas suspensas'!$B$6,"")))))</f>
        <v>Profunda e irregular</v>
      </c>
      <c r="AC21" s="8" t="str">
        <f>IF(AA21='Listas suspensas'!$A$2,'Listas suspensas'!$C$2,IF(AA21='Listas suspensas'!$A$3,'Listas suspensas'!$C$3,IF(AA21='Listas suspensas'!$A$4,'Listas suspensas'!$C$4,IF(AA21='Listas suspensas'!$A$5,'Listas suspensas'!$C$5,IF(AA21='Listas suspensas'!$A$6,'Listas suspensas'!$C$6,"")))))</f>
        <v>Indica a penetração profunda, mas desuniforme em toda a extensão do alburno.</v>
      </c>
      <c r="AK21" s="8">
        <v>11.25</v>
      </c>
      <c r="AL21" s="8">
        <v>11.36</v>
      </c>
      <c r="AM21" s="8">
        <v>11.35</v>
      </c>
      <c r="AN21" s="8">
        <v>11.38</v>
      </c>
      <c r="AO21" s="8">
        <v>11.37</v>
      </c>
      <c r="AP21" s="8">
        <f t="shared" si="0"/>
        <v>1.1342000000000001</v>
      </c>
      <c r="AQ21" s="8">
        <v>8.36</v>
      </c>
      <c r="AR21" s="8">
        <v>6.41</v>
      </c>
      <c r="AS21" s="8">
        <v>7.23</v>
      </c>
      <c r="AT21" s="8">
        <v>9.9600000000000009</v>
      </c>
      <c r="AU21" s="8">
        <v>10.84</v>
      </c>
      <c r="AV21" s="8">
        <f t="shared" si="1"/>
        <v>0.85599999999999987</v>
      </c>
      <c r="AW21" s="20">
        <v>0.61460000000000004</v>
      </c>
      <c r="AX21" s="20">
        <v>0.50560000000000005</v>
      </c>
      <c r="AY21" s="20">
        <v>0.55820000000000003</v>
      </c>
      <c r="AZ21" s="20">
        <v>0.80400000000000005</v>
      </c>
      <c r="BA21" s="20">
        <v>0.87680000000000002</v>
      </c>
      <c r="BB21" s="20">
        <f t="shared" si="2"/>
        <v>0.6718400000000001</v>
      </c>
      <c r="BC21" s="20">
        <f t="shared" si="3"/>
        <v>0.86485426594965331</v>
      </c>
      <c r="BE21" s="18">
        <f t="shared" si="4"/>
        <v>776.82451998116255</v>
      </c>
      <c r="BF21" s="8">
        <v>0.26100000000000001</v>
      </c>
      <c r="BG21" s="8">
        <v>0.125</v>
      </c>
      <c r="BH21" s="8">
        <v>0.222</v>
      </c>
      <c r="BI21" s="13">
        <f t="shared" si="5"/>
        <v>0.60799999999999998</v>
      </c>
      <c r="BJ21" s="26">
        <v>43</v>
      </c>
      <c r="BK21" s="26">
        <v>20.5</v>
      </c>
      <c r="BL21" s="26">
        <v>36.5</v>
      </c>
      <c r="BM21" s="16">
        <f t="shared" si="6"/>
        <v>100</v>
      </c>
      <c r="BN21" s="21">
        <f t="shared" si="7"/>
        <v>2.0299999999999998</v>
      </c>
      <c r="BO21" s="21">
        <f t="shared" si="8"/>
        <v>0.97</v>
      </c>
      <c r="BP21" s="21">
        <f t="shared" si="9"/>
        <v>1.72</v>
      </c>
      <c r="BQ21" s="14">
        <f t="shared" si="10"/>
        <v>4.72</v>
      </c>
      <c r="BR21" s="22" t="str">
        <f>IF(OR(AND(X21="Mourões", BQ21&gt;=6.5),AND(X21="Postes", BQ21&gt;=9.6),AND(X21="Dormentes", BQ21&gt;=9.6),AND(X21="Estacas", BQ21&gt;=6.5),AND(X21="Cruzetas", BQ21&gt;=6.5),AND(X21="Outros - Solo", BQ21&gt;=6.5),AND(X21="Outros - Suspenso",BQ21&gt;=4),AND(X21="Deck",BQ21&gt;=4)),'Listas suspensas'!$C$21,'Listas suspensas'!$C$22)</f>
        <v>Os resultados da análise química apresentaram uma retenção do produto inferior ao padrão mínimo exigido pela norma ABNT NBR 16143</v>
      </c>
    </row>
    <row r="22" spans="1:70" x14ac:dyDescent="0.25">
      <c r="B22" s="8" t="s">
        <v>138</v>
      </c>
      <c r="C22" s="8" t="s">
        <v>71</v>
      </c>
      <c r="D22" s="8" t="s">
        <v>89</v>
      </c>
      <c r="F22" s="11">
        <v>45371</v>
      </c>
      <c r="G22" s="11">
        <v>45372</v>
      </c>
      <c r="H22" s="11">
        <v>45376</v>
      </c>
      <c r="I22" s="8" t="s">
        <v>90</v>
      </c>
      <c r="J22" s="8" t="s">
        <v>91</v>
      </c>
      <c r="K22" s="8" t="s">
        <v>92</v>
      </c>
      <c r="L22" s="8" t="s">
        <v>15</v>
      </c>
      <c r="M22" s="8" t="s">
        <v>93</v>
      </c>
      <c r="N22" s="8" t="s">
        <v>75</v>
      </c>
      <c r="O22" s="8" t="s">
        <v>94</v>
      </c>
      <c r="P22" s="28" t="s">
        <v>139</v>
      </c>
      <c r="Q22" s="16" t="s">
        <v>140</v>
      </c>
      <c r="X22" s="8" t="s">
        <v>79</v>
      </c>
      <c r="Y22" s="34">
        <f>IF(X22='Listas suspensas'!$A$21,'Listas suspensas'!$B$23,IF(X22='Listas suspensas'!$A$22,'Listas suspensas'!$B$23,IF(X22='Listas suspensas'!$A$23,'Listas suspensas'!$B$22,IF(X22='Listas suspensas'!$A$26,'Listas suspensas'!$B$22,IF(X22='Listas suspensas'!$A$32,'Listas suspensas'!$B$22,IF(X22='Listas suspensas'!$A$33,'Listas suspensas'!$B$21,IF(X22='Listas suspensas'!$A$24,'Listas suspensas'!$B$22,IF(X22='Listas suspensas'!$A$30,'Listas suspensas'!$B$21,""))))))))</f>
        <v>6.5</v>
      </c>
      <c r="Z22" s="8" t="s">
        <v>80</v>
      </c>
      <c r="AA22" s="8">
        <v>1</v>
      </c>
      <c r="AB22" s="8" t="str">
        <f>IF(AA22='Listas suspensas'!$A$2,'Listas suspensas'!$B$2,IF(AA22='Listas suspensas'!$A$3,'Listas suspensas'!$B$3,IF(AA22='Listas suspensas'!$A$4,'Listas suspensas'!$B$4,IF(AA22='Listas suspensas'!$A$5,'Listas suspensas'!$B$5,IF(AA22='Listas suspensas'!$A$6,'Listas suspensas'!$B$6,"")))))</f>
        <v>Profunda e regular</v>
      </c>
      <c r="AC22" s="8" t="str">
        <f>IF(AA22='Listas suspensas'!$A$2,'Listas suspensas'!$C$2,IF(AA22='Listas suspensas'!$A$3,'Listas suspensas'!$C$3,IF(AA22='Listas suspensas'!$A$4,'Listas suspensas'!$C$4,IF(AA22='Listas suspensas'!$A$5,'Listas suspensas'!$C$5,IF(AA22='Listas suspensas'!$A$6,'Listas suspensas'!$C$6,"")))))</f>
        <v>Indica a penetração profunda e uniforme em toda a extensão do alburno.</v>
      </c>
      <c r="AK22" s="8">
        <v>11.07</v>
      </c>
      <c r="AL22" s="8">
        <v>11.12</v>
      </c>
      <c r="AM22" s="8">
        <v>11.83</v>
      </c>
      <c r="AN22" s="8">
        <v>10.89</v>
      </c>
      <c r="AO22" s="8">
        <v>11.03</v>
      </c>
      <c r="AP22" s="8">
        <f t="shared" si="0"/>
        <v>1.1187999999999998</v>
      </c>
      <c r="AQ22" s="8">
        <v>21.54</v>
      </c>
      <c r="AR22" s="8">
        <v>21.85</v>
      </c>
      <c r="AS22" s="8">
        <v>26.06</v>
      </c>
      <c r="AT22" s="8">
        <v>21.06</v>
      </c>
      <c r="AU22" s="8">
        <v>21.29</v>
      </c>
      <c r="AV22" s="8">
        <f t="shared" si="1"/>
        <v>2.2360000000000002</v>
      </c>
      <c r="AW22" s="20">
        <v>1.9721</v>
      </c>
      <c r="AX22" s="20">
        <v>2.0097</v>
      </c>
      <c r="AY22" s="20">
        <v>2.4729000000000001</v>
      </c>
      <c r="AZ22" s="20">
        <v>1.9235</v>
      </c>
      <c r="BA22" s="20">
        <v>1.9340999999999999</v>
      </c>
      <c r="BB22" s="20">
        <f t="shared" si="2"/>
        <v>2.0624600000000002</v>
      </c>
      <c r="BC22" s="20">
        <f t="shared" si="3"/>
        <v>2.1981969248545168</v>
      </c>
      <c r="BE22" s="18">
        <f t="shared" si="4"/>
        <v>938.25078939936191</v>
      </c>
      <c r="BF22" s="8">
        <v>0.248</v>
      </c>
      <c r="BG22" s="8">
        <v>0.129</v>
      </c>
      <c r="BH22" s="8">
        <v>0.26400000000000001</v>
      </c>
      <c r="BI22" s="13">
        <f t="shared" si="5"/>
        <v>0.64100000000000001</v>
      </c>
      <c r="BJ22" s="26">
        <v>38.700000000000003</v>
      </c>
      <c r="BK22" s="26">
        <v>20.2</v>
      </c>
      <c r="BL22" s="26">
        <v>41.1</v>
      </c>
      <c r="BM22" s="16">
        <f t="shared" si="6"/>
        <v>100</v>
      </c>
      <c r="BN22" s="21">
        <f t="shared" si="7"/>
        <v>2.33</v>
      </c>
      <c r="BO22" s="21">
        <f t="shared" si="8"/>
        <v>1.21</v>
      </c>
      <c r="BP22" s="21">
        <f t="shared" si="9"/>
        <v>2.48</v>
      </c>
      <c r="BQ22" s="14">
        <f t="shared" si="10"/>
        <v>6.02</v>
      </c>
      <c r="BR22" s="22" t="str">
        <f>IF(OR(AND(X22="Mourões", BQ22&gt;=6.5),AND(X22="Postes", BQ22&gt;=9.6),AND(X22="Dormentes", BQ22&gt;=9.6),AND(X22="Estacas", BQ22&gt;=6.5),AND(X22="Cruzetas", BQ22&gt;=6.5),AND(X22="Outros - Solo", BQ22&gt;=6.5),AND(X22="Outros - Suspenso",BQ22&gt;=4),AND(X22="Deck",BQ22&gt;=4)),'Listas suspensas'!$C$21,'Listas suspensas'!$C$22)</f>
        <v>Os resultados da análise química apresentaram uma retenção do produto inferior ao padrão mínimo exigido pela norma ABNT NBR 16143</v>
      </c>
    </row>
    <row r="23" spans="1:70" x14ac:dyDescent="0.25">
      <c r="B23" s="8" t="s">
        <v>141</v>
      </c>
      <c r="C23" s="8" t="s">
        <v>71</v>
      </c>
      <c r="F23" s="11">
        <v>45377</v>
      </c>
      <c r="G23" s="11">
        <v>45377</v>
      </c>
      <c r="H23" s="11">
        <v>45383</v>
      </c>
      <c r="I23" s="8" t="s">
        <v>142</v>
      </c>
      <c r="J23" s="8" t="s">
        <v>143</v>
      </c>
      <c r="K23" s="8" t="s">
        <v>144</v>
      </c>
      <c r="L23" s="8" t="s">
        <v>15</v>
      </c>
      <c r="M23" s="30" t="s">
        <v>145</v>
      </c>
      <c r="N23" s="8" t="s">
        <v>75</v>
      </c>
      <c r="O23" s="8" t="s">
        <v>76</v>
      </c>
      <c r="P23" s="28" t="s">
        <v>146</v>
      </c>
      <c r="Q23" s="16" t="s">
        <v>147</v>
      </c>
      <c r="X23" s="8" t="s">
        <v>79</v>
      </c>
      <c r="Y23" s="34">
        <f>IF(X23='Listas suspensas'!$A$21,'Listas suspensas'!$B$23,IF(X23='Listas suspensas'!$A$22,'Listas suspensas'!$B$23,IF(X23='Listas suspensas'!$A$23,'Listas suspensas'!$B$22,IF(X23='Listas suspensas'!$A$26,'Listas suspensas'!$B$22,IF(X23='Listas suspensas'!$A$32,'Listas suspensas'!$B$22,IF(X23='Listas suspensas'!$A$33,'Listas suspensas'!$B$21,IF(X23='Listas suspensas'!$A$24,'Listas suspensas'!$B$22,IF(X23='Listas suspensas'!$A$30,'Listas suspensas'!$B$21,""))))))))</f>
        <v>6.5</v>
      </c>
      <c r="Z23" s="8" t="s">
        <v>80</v>
      </c>
      <c r="AA23" s="8">
        <v>1</v>
      </c>
      <c r="AB23" s="8" t="str">
        <f>IF(AA23='Listas suspensas'!$A$2,'Listas suspensas'!$B$2,IF(AA23='Listas suspensas'!$A$3,'Listas suspensas'!$B$3,IF(AA23='Listas suspensas'!$A$4,'Listas suspensas'!$B$4,IF(AA23='Listas suspensas'!$A$5,'Listas suspensas'!$B$5,IF(AA23='Listas suspensas'!$A$6,'Listas suspensas'!$B$6,"")))))</f>
        <v>Profunda e regular</v>
      </c>
      <c r="AC23" s="8" t="str">
        <f>IF(AA23='Listas suspensas'!$A$2,'Listas suspensas'!$C$2,IF(AA23='Listas suspensas'!$A$3,'Listas suspensas'!$C$3,IF(AA23='Listas suspensas'!$A$4,'Listas suspensas'!$C$4,IF(AA23='Listas suspensas'!$A$5,'Listas suspensas'!$C$5,IF(AA23='Listas suspensas'!$A$6,'Listas suspensas'!$C$6,"")))))</f>
        <v>Indica a penetração profunda e uniforme em toda a extensão do alburno.</v>
      </c>
      <c r="AK23" s="8">
        <v>11.92</v>
      </c>
      <c r="AL23" s="8">
        <v>11.82</v>
      </c>
      <c r="AM23" s="8">
        <v>11.56</v>
      </c>
      <c r="AN23" s="8">
        <v>11.81</v>
      </c>
      <c r="AO23" s="8">
        <v>11.96</v>
      </c>
      <c r="AP23" s="8">
        <f t="shared" si="0"/>
        <v>1.1814000000000002</v>
      </c>
      <c r="AQ23" s="8">
        <v>8.89</v>
      </c>
      <c r="AR23" s="8">
        <v>12.08</v>
      </c>
      <c r="AS23" s="8">
        <v>20.32</v>
      </c>
      <c r="AT23" s="8">
        <v>15.24</v>
      </c>
      <c r="AU23" s="8">
        <v>13.76</v>
      </c>
      <c r="AV23" s="8">
        <f t="shared" si="1"/>
        <v>1.4058000000000002</v>
      </c>
      <c r="AW23" s="20">
        <v>0.41830000000000001</v>
      </c>
      <c r="AX23" s="20">
        <v>0.60389999999999999</v>
      </c>
      <c r="AY23" s="20">
        <v>0.97589999999999999</v>
      </c>
      <c r="AZ23" s="20">
        <v>0.75729999999999997</v>
      </c>
      <c r="BA23" s="20">
        <v>0.68300000000000005</v>
      </c>
      <c r="BB23" s="20">
        <f t="shared" si="2"/>
        <v>0.68767999999999996</v>
      </c>
      <c r="BC23" s="20">
        <f t="shared" si="3"/>
        <v>1.5410167290838581</v>
      </c>
      <c r="BE23" s="18">
        <f t="shared" si="4"/>
        <v>446.25083363554984</v>
      </c>
      <c r="BF23" s="8">
        <v>1.617</v>
      </c>
      <c r="BG23" s="8">
        <v>0.308</v>
      </c>
      <c r="BH23" s="8">
        <v>0.94399999999999995</v>
      </c>
      <c r="BI23" s="13">
        <f t="shared" si="5"/>
        <v>2.8689999999999998</v>
      </c>
      <c r="BJ23" s="26">
        <v>56.4</v>
      </c>
      <c r="BK23" s="26">
        <v>10.7</v>
      </c>
      <c r="BL23" s="26">
        <v>32.9</v>
      </c>
      <c r="BM23" s="16">
        <f t="shared" si="6"/>
        <v>100</v>
      </c>
      <c r="BN23" s="21">
        <f t="shared" si="7"/>
        <v>7.22</v>
      </c>
      <c r="BO23" s="21">
        <f t="shared" si="8"/>
        <v>1.37</v>
      </c>
      <c r="BP23" s="21">
        <f t="shared" si="9"/>
        <v>4.21</v>
      </c>
      <c r="BQ23" s="14">
        <f t="shared" si="10"/>
        <v>12.8</v>
      </c>
      <c r="BR23" s="22" t="str">
        <f>IF(OR(AND(X23="Mourões", BQ23&gt;=6.5),AND(X23="Postes", BQ23&gt;=9.6),AND(X23="Dormentes", BQ23&gt;=9.6),AND(X23="Estacas", BQ23&gt;=6.5),AND(X23="Cruzetas", BQ23&gt;=6.5),AND(X23="Outros - Solo", BQ23&gt;=6.5),AND(X23="Outros - Suspenso",BQ23&gt;=4),AND(X23="Deck",BQ23&gt;=4)),'Listas suspensas'!$C$21,'Listas suspensas'!$C$22)</f>
        <v>Os resultados da análise química apresentaram uma retenção do produto de acordo com o padrão mínimo exigido pela norma ABNT NBR 16143</v>
      </c>
    </row>
    <row r="24" spans="1:70" x14ac:dyDescent="0.25">
      <c r="B24" s="8" t="s">
        <v>148</v>
      </c>
      <c r="C24" s="8" t="s">
        <v>71</v>
      </c>
      <c r="F24" s="11">
        <v>45377</v>
      </c>
      <c r="G24" s="11">
        <v>45377</v>
      </c>
      <c r="H24" s="11">
        <v>45383</v>
      </c>
      <c r="I24" s="8" t="s">
        <v>142</v>
      </c>
      <c r="J24" s="8" t="s">
        <v>143</v>
      </c>
      <c r="K24" s="8" t="s">
        <v>144</v>
      </c>
      <c r="L24" s="8" t="s">
        <v>15</v>
      </c>
      <c r="M24" s="30" t="s">
        <v>145</v>
      </c>
      <c r="N24" s="8" t="s">
        <v>75</v>
      </c>
      <c r="O24" s="8" t="s">
        <v>76</v>
      </c>
      <c r="P24" s="28" t="s">
        <v>146</v>
      </c>
      <c r="Q24" s="16" t="s">
        <v>149</v>
      </c>
      <c r="X24" s="8" t="s">
        <v>79</v>
      </c>
      <c r="Y24" s="34">
        <f>IF(X24='Listas suspensas'!$A$21,'Listas suspensas'!$B$23,IF(X24='Listas suspensas'!$A$22,'Listas suspensas'!$B$23,IF(X24='Listas suspensas'!$A$23,'Listas suspensas'!$B$22,IF(X24='Listas suspensas'!$A$26,'Listas suspensas'!$B$22,IF(X24='Listas suspensas'!$A$32,'Listas suspensas'!$B$22,IF(X24='Listas suspensas'!$A$33,'Listas suspensas'!$B$21,IF(X24='Listas suspensas'!$A$24,'Listas suspensas'!$B$22,IF(X24='Listas suspensas'!$A$30,'Listas suspensas'!$B$21,""))))))))</f>
        <v>6.5</v>
      </c>
      <c r="Z24" s="8" t="s">
        <v>80</v>
      </c>
      <c r="AA24" s="8">
        <v>1</v>
      </c>
      <c r="AB24" s="8" t="str">
        <f>IF(AA24='Listas suspensas'!$A$2,'Listas suspensas'!$B$2,IF(AA24='Listas suspensas'!$A$3,'Listas suspensas'!$B$3,IF(AA24='Listas suspensas'!$A$4,'Listas suspensas'!$B$4,IF(AA24='Listas suspensas'!$A$5,'Listas suspensas'!$B$5,IF(AA24='Listas suspensas'!$A$6,'Listas suspensas'!$B$6,"")))))</f>
        <v>Profunda e regular</v>
      </c>
      <c r="AC24" s="8" t="str">
        <f>IF(AA24='Listas suspensas'!$A$2,'Listas suspensas'!$C$2,IF(AA24='Listas suspensas'!$A$3,'Listas suspensas'!$C$3,IF(AA24='Listas suspensas'!$A$4,'Listas suspensas'!$C$4,IF(AA24='Listas suspensas'!$A$5,'Listas suspensas'!$C$5,IF(AA24='Listas suspensas'!$A$6,'Listas suspensas'!$C$6,"")))))</f>
        <v>Indica a penetração profunda e uniforme em toda a extensão do alburno.</v>
      </c>
      <c r="AK24" s="8">
        <v>11.33</v>
      </c>
      <c r="AL24" s="8">
        <v>11.16</v>
      </c>
      <c r="AM24" s="8">
        <v>11.94</v>
      </c>
      <c r="AN24" s="8">
        <v>10.91</v>
      </c>
      <c r="AO24" s="8">
        <v>11.2</v>
      </c>
      <c r="AP24" s="8">
        <f t="shared" si="0"/>
        <v>1.1308000000000002</v>
      </c>
      <c r="AQ24" s="8">
        <v>8.93</v>
      </c>
      <c r="AR24" s="8">
        <v>8.11</v>
      </c>
      <c r="AS24" s="8">
        <v>9.31</v>
      </c>
      <c r="AT24" s="8">
        <v>14.46</v>
      </c>
      <c r="AU24" s="8">
        <v>12.59</v>
      </c>
      <c r="AV24" s="8">
        <f t="shared" si="1"/>
        <v>1.0680000000000001</v>
      </c>
      <c r="AW24" s="20">
        <v>0.56610000000000005</v>
      </c>
      <c r="AX24" s="20">
        <v>0.47160000000000002</v>
      </c>
      <c r="AY24" s="20">
        <v>0.61050000000000004</v>
      </c>
      <c r="AZ24" s="20">
        <v>0.89970000000000006</v>
      </c>
      <c r="BA24" s="20">
        <v>0.79379999999999995</v>
      </c>
      <c r="BB24" s="20">
        <f t="shared" si="2"/>
        <v>0.66834000000000005</v>
      </c>
      <c r="BC24" s="20">
        <f t="shared" si="3"/>
        <v>1.0725875057580481</v>
      </c>
      <c r="BE24" s="18">
        <f t="shared" si="4"/>
        <v>623.10999933534822</v>
      </c>
      <c r="BF24" s="8">
        <v>0.69199999999999995</v>
      </c>
      <c r="BG24" s="8">
        <v>0.16700000000000001</v>
      </c>
      <c r="BH24" s="8">
        <v>0.52700000000000002</v>
      </c>
      <c r="BI24" s="13">
        <f t="shared" si="5"/>
        <v>1.3860000000000001</v>
      </c>
      <c r="BJ24" s="26">
        <v>49.9</v>
      </c>
      <c r="BK24" s="26">
        <v>12.1</v>
      </c>
      <c r="BL24" s="26">
        <v>38</v>
      </c>
      <c r="BM24" s="16">
        <f t="shared" si="6"/>
        <v>100</v>
      </c>
      <c r="BN24" s="21">
        <f t="shared" si="7"/>
        <v>4.3099999999999996</v>
      </c>
      <c r="BO24" s="21">
        <f t="shared" si="8"/>
        <v>1.04</v>
      </c>
      <c r="BP24" s="21">
        <f t="shared" si="9"/>
        <v>3.28</v>
      </c>
      <c r="BQ24" s="14">
        <f t="shared" si="10"/>
        <v>8.6300000000000008</v>
      </c>
      <c r="BR24" s="22" t="str">
        <f>IF(OR(AND(X24="Mourões", BQ24&gt;=6.5),AND(X24="Postes", BQ24&gt;=9.6),AND(X24="Dormentes", BQ24&gt;=9.6),AND(X24="Estacas", BQ24&gt;=6.5),AND(X24="Cruzetas", BQ24&gt;=6.5),AND(X24="Outros - Solo", BQ24&gt;=6.5),AND(X24="Outros - Suspenso",BQ24&gt;=4),AND(X24="Deck",BQ24&gt;=4)),'Listas suspensas'!$C$21,'Listas suspensas'!$C$22)</f>
        <v>Os resultados da análise química apresentaram uma retenção do produto de acordo com o padrão mínimo exigido pela norma ABNT NBR 16143</v>
      </c>
    </row>
    <row r="25" spans="1:70" x14ac:dyDescent="0.25">
      <c r="B25" s="8" t="s">
        <v>150</v>
      </c>
      <c r="C25" s="8" t="s">
        <v>71</v>
      </c>
      <c r="F25" s="11">
        <v>45377</v>
      </c>
      <c r="G25" s="11">
        <v>45377</v>
      </c>
      <c r="H25" s="11">
        <v>45383</v>
      </c>
      <c r="I25" s="8" t="s">
        <v>142</v>
      </c>
      <c r="J25" s="8" t="s">
        <v>143</v>
      </c>
      <c r="K25" s="8" t="s">
        <v>144</v>
      </c>
      <c r="L25" s="8" t="s">
        <v>15</v>
      </c>
      <c r="M25" s="30" t="s">
        <v>145</v>
      </c>
      <c r="N25" s="8" t="s">
        <v>75</v>
      </c>
      <c r="O25" s="8" t="s">
        <v>76</v>
      </c>
      <c r="P25" s="28" t="s">
        <v>146</v>
      </c>
      <c r="Q25" s="16" t="s">
        <v>151</v>
      </c>
      <c r="X25" s="8" t="s">
        <v>79</v>
      </c>
      <c r="Y25" s="34">
        <f>IF(X25='Listas suspensas'!$A$21,'Listas suspensas'!$B$23,IF(X25='Listas suspensas'!$A$22,'Listas suspensas'!$B$23,IF(X25='Listas suspensas'!$A$23,'Listas suspensas'!$B$22,IF(X25='Listas suspensas'!$A$26,'Listas suspensas'!$B$22,IF(X25='Listas suspensas'!$A$32,'Listas suspensas'!$B$22,IF(X25='Listas suspensas'!$A$33,'Listas suspensas'!$B$21,IF(X25='Listas suspensas'!$A$24,'Listas suspensas'!$B$22,IF(X25='Listas suspensas'!$A$30,'Listas suspensas'!$B$21,""))))))))</f>
        <v>6.5</v>
      </c>
      <c r="Z25" s="8" t="s">
        <v>80</v>
      </c>
      <c r="AA25" s="8">
        <v>1</v>
      </c>
      <c r="AB25" s="8" t="str">
        <f>IF(AA25='Listas suspensas'!$A$2,'Listas suspensas'!$B$2,IF(AA25='Listas suspensas'!$A$3,'Listas suspensas'!$B$3,IF(AA25='Listas suspensas'!$A$4,'Listas suspensas'!$B$4,IF(AA25='Listas suspensas'!$A$5,'Listas suspensas'!$B$5,IF(AA25='Listas suspensas'!$A$6,'Listas suspensas'!$B$6,"")))))</f>
        <v>Profunda e regular</v>
      </c>
      <c r="AC25" s="8" t="str">
        <f>IF(AA25='Listas suspensas'!$A$2,'Listas suspensas'!$C$2,IF(AA25='Listas suspensas'!$A$3,'Listas suspensas'!$C$3,IF(AA25='Listas suspensas'!$A$4,'Listas suspensas'!$C$4,IF(AA25='Listas suspensas'!$A$5,'Listas suspensas'!$C$5,IF(AA25='Listas suspensas'!$A$6,'Listas suspensas'!$C$6,"")))))</f>
        <v>Indica a penetração profunda e uniforme em toda a extensão do alburno.</v>
      </c>
      <c r="AK25" s="8">
        <v>11.96</v>
      </c>
      <c r="AL25" s="8">
        <v>11.44</v>
      </c>
      <c r="AM25" s="8">
        <v>11.72</v>
      </c>
      <c r="AN25" s="8">
        <v>11.62</v>
      </c>
      <c r="AO25" s="8">
        <v>11.78</v>
      </c>
      <c r="AP25" s="8">
        <f t="shared" si="0"/>
        <v>1.1703999999999999</v>
      </c>
      <c r="AQ25" s="8">
        <v>13.4</v>
      </c>
      <c r="AR25" s="8">
        <v>18.100000000000001</v>
      </c>
      <c r="AS25" s="8">
        <v>19.079999999999998</v>
      </c>
      <c r="AT25" s="8">
        <v>9.68</v>
      </c>
      <c r="AU25" s="8">
        <v>20.5</v>
      </c>
      <c r="AV25" s="8">
        <f t="shared" si="1"/>
        <v>1.6151999999999997</v>
      </c>
      <c r="AW25" s="20">
        <v>0.58130000000000004</v>
      </c>
      <c r="AX25" s="20">
        <v>0.8206</v>
      </c>
      <c r="AY25" s="20">
        <v>0.90280000000000005</v>
      </c>
      <c r="AZ25" s="20">
        <v>0.46839999999999998</v>
      </c>
      <c r="BA25" s="20">
        <v>0.92269999999999996</v>
      </c>
      <c r="BB25" s="20">
        <f t="shared" si="2"/>
        <v>0.73915999999999993</v>
      </c>
      <c r="BC25" s="20">
        <f t="shared" si="3"/>
        <v>1.7377400621751953</v>
      </c>
      <c r="BE25" s="18">
        <f t="shared" si="4"/>
        <v>425.35705776085132</v>
      </c>
      <c r="BF25" s="8">
        <v>0.95099999999999996</v>
      </c>
      <c r="BG25" s="8">
        <v>0.215</v>
      </c>
      <c r="BH25" s="8">
        <v>0.56899999999999995</v>
      </c>
      <c r="BI25" s="13">
        <f t="shared" si="5"/>
        <v>1.7349999999999999</v>
      </c>
      <c r="BJ25" s="26">
        <v>54.8</v>
      </c>
      <c r="BK25" s="26">
        <v>12.4</v>
      </c>
      <c r="BL25" s="26">
        <v>32.799999999999997</v>
      </c>
      <c r="BM25" s="16">
        <f t="shared" si="6"/>
        <v>100</v>
      </c>
      <c r="BN25" s="21">
        <f t="shared" si="7"/>
        <v>4.05</v>
      </c>
      <c r="BO25" s="21">
        <f t="shared" si="8"/>
        <v>0.91</v>
      </c>
      <c r="BP25" s="21">
        <f t="shared" si="9"/>
        <v>2.42</v>
      </c>
      <c r="BQ25" s="14">
        <f t="shared" si="10"/>
        <v>7.38</v>
      </c>
      <c r="BR25" s="22" t="str">
        <f>IF(OR(AND(X25="Mourões", BQ25&gt;=6.5),AND(X25="Postes", BQ25&gt;=9.6),AND(X25="Dormentes", BQ25&gt;=9.6),AND(X25="Estacas", BQ25&gt;=6.5),AND(X25="Cruzetas", BQ25&gt;=6.5),AND(X25="Outros - Solo", BQ25&gt;=6.5),AND(X25="Outros - Suspenso",BQ25&gt;=4),AND(X25="Deck",BQ25&gt;=4)),'Listas suspensas'!$C$21,'Listas suspensas'!$C$22)</f>
        <v>Os resultados da análise química apresentaram uma retenção do produto de acordo com o padrão mínimo exigido pela norma ABNT NBR 16143</v>
      </c>
    </row>
    <row r="26" spans="1:70" x14ac:dyDescent="0.25">
      <c r="B26" s="8" t="s">
        <v>152</v>
      </c>
      <c r="C26" s="8" t="s">
        <v>71</v>
      </c>
      <c r="F26" s="11">
        <v>45377</v>
      </c>
      <c r="G26" s="11">
        <v>45377</v>
      </c>
      <c r="H26" s="11">
        <v>45383</v>
      </c>
      <c r="I26" s="8" t="s">
        <v>142</v>
      </c>
      <c r="J26" s="8" t="s">
        <v>143</v>
      </c>
      <c r="K26" s="8" t="s">
        <v>144</v>
      </c>
      <c r="L26" s="8" t="s">
        <v>15</v>
      </c>
      <c r="M26" s="30" t="s">
        <v>145</v>
      </c>
      <c r="N26" s="8" t="s">
        <v>75</v>
      </c>
      <c r="O26" s="8" t="s">
        <v>76</v>
      </c>
      <c r="P26" s="28" t="s">
        <v>146</v>
      </c>
      <c r="Q26" s="16" t="s">
        <v>153</v>
      </c>
      <c r="X26" s="8" t="s">
        <v>79</v>
      </c>
      <c r="Y26" s="34">
        <f>IF(X26='Listas suspensas'!$A$21,'Listas suspensas'!$B$23,IF(X26='Listas suspensas'!$A$22,'Listas suspensas'!$B$23,IF(X26='Listas suspensas'!$A$23,'Listas suspensas'!$B$22,IF(X26='Listas suspensas'!$A$26,'Listas suspensas'!$B$22,IF(X26='Listas suspensas'!$A$32,'Listas suspensas'!$B$22,IF(X26='Listas suspensas'!$A$33,'Listas suspensas'!$B$21,IF(X26='Listas suspensas'!$A$24,'Listas suspensas'!$B$22,IF(X26='Listas suspensas'!$A$30,'Listas suspensas'!$B$21,""))))))))</f>
        <v>6.5</v>
      </c>
      <c r="Z26" s="8" t="s">
        <v>80</v>
      </c>
      <c r="AA26" s="8">
        <v>1</v>
      </c>
      <c r="AB26" s="8" t="str">
        <f>IF(AA26='Listas suspensas'!$A$2,'Listas suspensas'!$B$2,IF(AA26='Listas suspensas'!$A$3,'Listas suspensas'!$B$3,IF(AA26='Listas suspensas'!$A$4,'Listas suspensas'!$B$4,IF(AA26='Listas suspensas'!$A$5,'Listas suspensas'!$B$5,IF(AA26='Listas suspensas'!$A$6,'Listas suspensas'!$B$6,"")))))</f>
        <v>Profunda e regular</v>
      </c>
      <c r="AC26" s="8" t="str">
        <f>IF(AA26='Listas suspensas'!$A$2,'Listas suspensas'!$C$2,IF(AA26='Listas suspensas'!$A$3,'Listas suspensas'!$C$3,IF(AA26='Listas suspensas'!$A$4,'Listas suspensas'!$C$4,IF(AA26='Listas suspensas'!$A$5,'Listas suspensas'!$C$5,IF(AA26='Listas suspensas'!$A$6,'Listas suspensas'!$C$6,"")))))</f>
        <v>Indica a penetração profunda e uniforme em toda a extensão do alburno.</v>
      </c>
      <c r="AK26" s="8">
        <v>11.94</v>
      </c>
      <c r="AL26" s="8">
        <v>11.82</v>
      </c>
      <c r="AM26" s="8">
        <v>11.97</v>
      </c>
      <c r="AN26" s="8">
        <v>11.52</v>
      </c>
      <c r="AO26" s="8">
        <v>11.93</v>
      </c>
      <c r="AP26" s="8">
        <f t="shared" si="0"/>
        <v>1.1836</v>
      </c>
      <c r="AQ26" s="8">
        <v>11.03</v>
      </c>
      <c r="AR26" s="8">
        <v>14.64</v>
      </c>
      <c r="AS26" s="8">
        <v>15.26</v>
      </c>
      <c r="AT26" s="8">
        <v>16.059999999999999</v>
      </c>
      <c r="AU26" s="8">
        <v>10.050000000000001</v>
      </c>
      <c r="AV26" s="8">
        <f t="shared" si="1"/>
        <v>1.3407999999999998</v>
      </c>
      <c r="AW26" s="20">
        <v>0.71130000000000004</v>
      </c>
      <c r="AX26" s="20">
        <v>0.88290000000000002</v>
      </c>
      <c r="AY26" s="20">
        <v>0.92010000000000003</v>
      </c>
      <c r="AZ26" s="20">
        <v>0.90639999999999998</v>
      </c>
      <c r="BA26" s="20">
        <v>0.63670000000000004</v>
      </c>
      <c r="BB26" s="20">
        <f t="shared" si="2"/>
        <v>0.81148000000000009</v>
      </c>
      <c r="BC26" s="20">
        <f t="shared" si="3"/>
        <v>1.475243791582596</v>
      </c>
      <c r="BE26" s="18">
        <f t="shared" si="4"/>
        <v>550.06501612148418</v>
      </c>
      <c r="BF26" s="8">
        <v>0.64200000000000002</v>
      </c>
      <c r="BG26" s="8">
        <v>0.107</v>
      </c>
      <c r="BH26" s="8">
        <v>0.435</v>
      </c>
      <c r="BI26" s="13">
        <f t="shared" si="5"/>
        <v>1.1839999999999999</v>
      </c>
      <c r="BJ26" s="26">
        <v>54.3</v>
      </c>
      <c r="BK26" s="26">
        <v>9</v>
      </c>
      <c r="BL26" s="26">
        <v>36.700000000000003</v>
      </c>
      <c r="BM26" s="16">
        <f t="shared" si="6"/>
        <v>100</v>
      </c>
      <c r="BN26" s="21">
        <f t="shared" si="7"/>
        <v>3.53</v>
      </c>
      <c r="BO26" s="21">
        <f t="shared" si="8"/>
        <v>0.59</v>
      </c>
      <c r="BP26" s="21">
        <f t="shared" si="9"/>
        <v>2.39</v>
      </c>
      <c r="BQ26" s="14">
        <f t="shared" si="10"/>
        <v>6.51</v>
      </c>
      <c r="BR26" s="22" t="str">
        <f>IF(OR(AND(X26="Mourões", BQ26&gt;=6.5),AND(X26="Postes", BQ26&gt;=9.6),AND(X26="Dormentes", BQ26&gt;=9.6),AND(X26="Estacas", BQ26&gt;=6.5),AND(X26="Cruzetas", BQ26&gt;=6.5),AND(X26="Outros - Solo", BQ26&gt;=6.5),AND(X26="Outros - Suspenso",BQ26&gt;=4),AND(X26="Deck",BQ26&gt;=4)),'Listas suspensas'!$C$21,'Listas suspensas'!$C$22)</f>
        <v>Os resultados da análise química apresentaram uma retenção do produto de acordo com o padrão mínimo exigido pela norma ABNT NBR 16143</v>
      </c>
    </row>
    <row r="27" spans="1:70" x14ac:dyDescent="0.25">
      <c r="B27" s="8" t="s">
        <v>154</v>
      </c>
      <c r="C27" s="8" t="s">
        <v>71</v>
      </c>
      <c r="F27" s="11">
        <v>45377</v>
      </c>
      <c r="G27" s="11">
        <v>45377</v>
      </c>
      <c r="H27" s="11">
        <v>45383</v>
      </c>
      <c r="I27" s="8" t="s">
        <v>142</v>
      </c>
      <c r="J27" s="8" t="s">
        <v>143</v>
      </c>
      <c r="K27" s="8" t="s">
        <v>144</v>
      </c>
      <c r="L27" s="8" t="s">
        <v>15</v>
      </c>
      <c r="M27" s="30" t="s">
        <v>145</v>
      </c>
      <c r="N27" s="8" t="s">
        <v>75</v>
      </c>
      <c r="O27" s="8" t="s">
        <v>76</v>
      </c>
      <c r="P27" s="28" t="s">
        <v>146</v>
      </c>
      <c r="Q27" s="16" t="s">
        <v>155</v>
      </c>
      <c r="X27" s="8" t="s">
        <v>79</v>
      </c>
      <c r="Y27" s="34">
        <f>IF(X27='Listas suspensas'!$A$21,'Listas suspensas'!$B$23,IF(X27='Listas suspensas'!$A$22,'Listas suspensas'!$B$23,IF(X27='Listas suspensas'!$A$23,'Listas suspensas'!$B$22,IF(X27='Listas suspensas'!$A$26,'Listas suspensas'!$B$22,IF(X27='Listas suspensas'!$A$32,'Listas suspensas'!$B$22,IF(X27='Listas suspensas'!$A$33,'Listas suspensas'!$B$21,IF(X27='Listas suspensas'!$A$24,'Listas suspensas'!$B$22,IF(X27='Listas suspensas'!$A$30,'Listas suspensas'!$B$21,""))))))))</f>
        <v>6.5</v>
      </c>
      <c r="Z27" s="8" t="s">
        <v>80</v>
      </c>
      <c r="AA27" s="8">
        <v>1</v>
      </c>
      <c r="AB27" s="8" t="str">
        <f>IF(AA27='Listas suspensas'!$A$2,'Listas suspensas'!$B$2,IF(AA27='Listas suspensas'!$A$3,'Listas suspensas'!$B$3,IF(AA27='Listas suspensas'!$A$4,'Listas suspensas'!$B$4,IF(AA27='Listas suspensas'!$A$5,'Listas suspensas'!$B$5,IF(AA27='Listas suspensas'!$A$6,'Listas suspensas'!$B$6,"")))))</f>
        <v>Profunda e regular</v>
      </c>
      <c r="AC27" s="8" t="str">
        <f>IF(AA27='Listas suspensas'!$A$2,'Listas suspensas'!$C$2,IF(AA27='Listas suspensas'!$A$3,'Listas suspensas'!$C$3,IF(AA27='Listas suspensas'!$A$4,'Listas suspensas'!$C$4,IF(AA27='Listas suspensas'!$A$5,'Listas suspensas'!$C$5,IF(AA27='Listas suspensas'!$A$6,'Listas suspensas'!$C$6,"")))))</f>
        <v>Indica a penetração profunda e uniforme em toda a extensão do alburno.</v>
      </c>
      <c r="AK27" s="8">
        <v>11.72</v>
      </c>
      <c r="AL27" s="8">
        <v>11.7</v>
      </c>
      <c r="AM27" s="8">
        <v>11.88</v>
      </c>
      <c r="AN27" s="8">
        <v>11.53</v>
      </c>
      <c r="AO27" s="8">
        <v>11.93</v>
      </c>
      <c r="AP27" s="8">
        <f t="shared" si="0"/>
        <v>1.1752</v>
      </c>
      <c r="AQ27" s="8">
        <v>14.21</v>
      </c>
      <c r="AR27" s="8">
        <v>13.48</v>
      </c>
      <c r="AS27" s="8">
        <v>13.31</v>
      </c>
      <c r="AT27" s="8">
        <v>14.32</v>
      </c>
      <c r="AU27" s="8">
        <v>13.84</v>
      </c>
      <c r="AV27" s="8">
        <f t="shared" si="1"/>
        <v>1.3832</v>
      </c>
      <c r="AW27" s="20">
        <v>0.71409999999999996</v>
      </c>
      <c r="AX27" s="20">
        <v>0.68240000000000001</v>
      </c>
      <c r="AY27" s="20">
        <v>0.77329999999999999</v>
      </c>
      <c r="AZ27" s="20">
        <v>0.67749999999999999</v>
      </c>
      <c r="BA27" s="20">
        <v>0.73609999999999998</v>
      </c>
      <c r="BB27" s="20">
        <f t="shared" si="2"/>
        <v>0.71667999999999998</v>
      </c>
      <c r="BC27" s="20">
        <f t="shared" si="3"/>
        <v>1.5003701913180478</v>
      </c>
      <c r="BE27" s="18">
        <f t="shared" si="4"/>
        <v>477.66878077630275</v>
      </c>
      <c r="BF27" s="8">
        <v>1.431</v>
      </c>
      <c r="BG27" s="8">
        <v>0.27</v>
      </c>
      <c r="BH27" s="8">
        <v>0.86499999999999999</v>
      </c>
      <c r="BI27" s="13">
        <f t="shared" si="5"/>
        <v>2.5659999999999998</v>
      </c>
      <c r="BJ27" s="26">
        <v>55.8</v>
      </c>
      <c r="BK27" s="26">
        <v>10.5</v>
      </c>
      <c r="BL27" s="26">
        <v>33.700000000000003</v>
      </c>
      <c r="BM27" s="16">
        <f t="shared" si="6"/>
        <v>100</v>
      </c>
      <c r="BN27" s="21">
        <f t="shared" si="7"/>
        <v>6.84</v>
      </c>
      <c r="BO27" s="21">
        <f t="shared" si="8"/>
        <v>1.29</v>
      </c>
      <c r="BP27" s="21">
        <f t="shared" si="9"/>
        <v>4.13</v>
      </c>
      <c r="BQ27" s="14">
        <f t="shared" si="10"/>
        <v>12.26</v>
      </c>
      <c r="BR27" s="22" t="str">
        <f>IF(OR(AND(X27="Mourões", BQ27&gt;=6.5),AND(X27="Postes", BQ27&gt;=9.6),AND(X27="Dormentes", BQ27&gt;=9.6),AND(X27="Estacas", BQ27&gt;=6.5),AND(X27="Cruzetas", BQ27&gt;=6.5),AND(X27="Outros - Solo", BQ27&gt;=6.5),AND(X27="Outros - Suspenso",BQ27&gt;=4),AND(X27="Deck",BQ27&gt;=4)),'Listas suspensas'!$C$21,'Listas suspensas'!$C$22)</f>
        <v>Os resultados da análise química apresentaram uma retenção do produto de acordo com o padrão mínimo exigido pela norma ABNT NBR 16143</v>
      </c>
    </row>
    <row r="28" spans="1:70" x14ac:dyDescent="0.25">
      <c r="B28" s="8" t="s">
        <v>156</v>
      </c>
      <c r="C28" s="8" t="s">
        <v>71</v>
      </c>
      <c r="F28" s="11">
        <v>45377</v>
      </c>
      <c r="G28" s="11">
        <v>45377</v>
      </c>
      <c r="H28" s="11">
        <v>45383</v>
      </c>
      <c r="I28" s="8" t="s">
        <v>142</v>
      </c>
      <c r="J28" s="8" t="s">
        <v>143</v>
      </c>
      <c r="K28" s="8" t="s">
        <v>144</v>
      </c>
      <c r="L28" s="8" t="s">
        <v>15</v>
      </c>
      <c r="M28" s="30" t="s">
        <v>145</v>
      </c>
      <c r="N28" s="8" t="s">
        <v>75</v>
      </c>
      <c r="O28" s="8" t="s">
        <v>76</v>
      </c>
      <c r="P28" s="28" t="s">
        <v>146</v>
      </c>
      <c r="Q28" s="16" t="s">
        <v>157</v>
      </c>
      <c r="X28" s="8" t="s">
        <v>79</v>
      </c>
      <c r="Y28" s="34">
        <f>IF(X28='Listas suspensas'!$A$21,'Listas suspensas'!$B$23,IF(X28='Listas suspensas'!$A$22,'Listas suspensas'!$B$23,IF(X28='Listas suspensas'!$A$23,'Listas suspensas'!$B$22,IF(X28='Listas suspensas'!$A$26,'Listas suspensas'!$B$22,IF(X28='Listas suspensas'!$A$32,'Listas suspensas'!$B$22,IF(X28='Listas suspensas'!$A$33,'Listas suspensas'!$B$21,IF(X28='Listas suspensas'!$A$24,'Listas suspensas'!$B$22,IF(X28='Listas suspensas'!$A$30,'Listas suspensas'!$B$21,""))))))))</f>
        <v>6.5</v>
      </c>
      <c r="Z28" s="8" t="s">
        <v>80</v>
      </c>
      <c r="AA28" s="8">
        <v>1</v>
      </c>
      <c r="AB28" s="8" t="str">
        <f>IF(AA28='Listas suspensas'!$A$2,'Listas suspensas'!$B$2,IF(AA28='Listas suspensas'!$A$3,'Listas suspensas'!$B$3,IF(AA28='Listas suspensas'!$A$4,'Listas suspensas'!$B$4,IF(AA28='Listas suspensas'!$A$5,'Listas suspensas'!$B$5,IF(AA28='Listas suspensas'!$A$6,'Listas suspensas'!$B$6,"")))))</f>
        <v>Profunda e regular</v>
      </c>
      <c r="AC28" s="8" t="str">
        <f>IF(AA28='Listas suspensas'!$A$2,'Listas suspensas'!$C$2,IF(AA28='Listas suspensas'!$A$3,'Listas suspensas'!$C$3,IF(AA28='Listas suspensas'!$A$4,'Listas suspensas'!$C$4,IF(AA28='Listas suspensas'!$A$5,'Listas suspensas'!$C$5,IF(AA28='Listas suspensas'!$A$6,'Listas suspensas'!$C$6,"")))))</f>
        <v>Indica a penetração profunda e uniforme em toda a extensão do alburno.</v>
      </c>
      <c r="AK28" s="8">
        <v>11.79</v>
      </c>
      <c r="AL28" s="8">
        <v>11.95</v>
      </c>
      <c r="AM28" s="8">
        <v>11.91</v>
      </c>
      <c r="AN28" s="8">
        <v>11.91</v>
      </c>
      <c r="AO28" s="8">
        <v>11.98</v>
      </c>
      <c r="AP28" s="8">
        <f t="shared" si="0"/>
        <v>1.1908000000000001</v>
      </c>
      <c r="AQ28" s="8">
        <v>18.16</v>
      </c>
      <c r="AR28" s="8">
        <v>16.95</v>
      </c>
      <c r="AS28" s="8">
        <v>16.010000000000002</v>
      </c>
      <c r="AT28" s="8">
        <v>16.260000000000002</v>
      </c>
      <c r="AU28" s="8">
        <v>17.829999999999998</v>
      </c>
      <c r="AV28" s="8">
        <f t="shared" si="1"/>
        <v>1.7042000000000002</v>
      </c>
      <c r="AW28" s="20">
        <v>0.94910000000000005</v>
      </c>
      <c r="AX28" s="20">
        <v>0.90939999999999999</v>
      </c>
      <c r="AY28" s="20">
        <v>0.84519999999999995</v>
      </c>
      <c r="AZ28" s="20">
        <v>1.0826</v>
      </c>
      <c r="BA28" s="20">
        <v>1.0945</v>
      </c>
      <c r="BB28" s="20">
        <f t="shared" si="2"/>
        <v>0.97615999999999992</v>
      </c>
      <c r="BC28" s="20">
        <f t="shared" si="3"/>
        <v>1.8979645405143712</v>
      </c>
      <c r="BE28" s="18">
        <f t="shared" si="4"/>
        <v>514.31940858887117</v>
      </c>
      <c r="BF28" s="8">
        <v>1.3169999999999999</v>
      </c>
      <c r="BG28" s="8">
        <v>0.23300000000000001</v>
      </c>
      <c r="BH28" s="8">
        <v>0.84299999999999997</v>
      </c>
      <c r="BI28" s="13">
        <f t="shared" si="5"/>
        <v>2.3929999999999998</v>
      </c>
      <c r="BJ28" s="26">
        <v>55.1</v>
      </c>
      <c r="BK28" s="26">
        <v>9.6999999999999993</v>
      </c>
      <c r="BL28" s="26">
        <v>35.200000000000003</v>
      </c>
      <c r="BM28" s="16">
        <f t="shared" si="6"/>
        <v>100</v>
      </c>
      <c r="BN28" s="21">
        <f t="shared" si="7"/>
        <v>6.77</v>
      </c>
      <c r="BO28" s="21">
        <f t="shared" si="8"/>
        <v>1.2</v>
      </c>
      <c r="BP28" s="21">
        <f t="shared" si="9"/>
        <v>4.34</v>
      </c>
      <c r="BQ28" s="14">
        <f t="shared" si="10"/>
        <v>12.31</v>
      </c>
      <c r="BR28" s="22" t="str">
        <f>IF(OR(AND(X28="Mourões", BQ28&gt;=6.5),AND(X28="Postes", BQ28&gt;=9.6),AND(X28="Dormentes", BQ28&gt;=9.6),AND(X28="Estacas", BQ28&gt;=6.5),AND(X28="Cruzetas", BQ28&gt;=6.5),AND(X28="Outros - Solo", BQ28&gt;=6.5),AND(X28="Outros - Suspenso",BQ28&gt;=4),AND(X28="Deck",BQ28&gt;=4)),'Listas suspensas'!$C$21,'Listas suspensas'!$C$22)</f>
        <v>Os resultados da análise química apresentaram uma retenção do produto de acordo com o padrão mínimo exigido pela norma ABNT NBR 16143</v>
      </c>
    </row>
    <row r="29" spans="1:70" x14ac:dyDescent="0.25">
      <c r="B29" s="8" t="s">
        <v>158</v>
      </c>
      <c r="C29" s="8" t="s">
        <v>71</v>
      </c>
      <c r="F29" s="11">
        <v>45399</v>
      </c>
      <c r="G29" s="11">
        <v>45406</v>
      </c>
      <c r="H29" s="11">
        <v>45408</v>
      </c>
      <c r="I29" s="8" t="s">
        <v>72</v>
      </c>
      <c r="J29" s="8" t="s">
        <v>73</v>
      </c>
      <c r="K29" s="8" t="s">
        <v>74</v>
      </c>
      <c r="L29" s="8" t="s">
        <v>15</v>
      </c>
      <c r="M29" s="30" t="s">
        <v>159</v>
      </c>
      <c r="N29" s="8" t="s">
        <v>75</v>
      </c>
      <c r="O29" s="8" t="s">
        <v>76</v>
      </c>
      <c r="P29" s="28" t="s">
        <v>160</v>
      </c>
      <c r="Q29" s="16" t="s">
        <v>161</v>
      </c>
      <c r="X29" s="8" t="s">
        <v>162</v>
      </c>
      <c r="Y29" s="34">
        <f>IF(X29='Listas suspensas'!$A$21,'Listas suspensas'!$B$23,IF(X29='Listas suspensas'!$A$22,'Listas suspensas'!$B$23,IF(X29='Listas suspensas'!$A$23,'Listas suspensas'!$B$22,IF(X29='Listas suspensas'!$A$26,'Listas suspensas'!$B$22,IF(X29='Listas suspensas'!$A$32,'Listas suspensas'!$B$22,IF(X29='Listas suspensas'!$A$33,'Listas suspensas'!$B$21,IF(X29='Listas suspensas'!$A$24,'Listas suspensas'!$B$22,IF(X29='Listas suspensas'!$A$30,'Listas suspensas'!$B$21,""))))))))</f>
        <v>9.6</v>
      </c>
      <c r="Z29" s="8" t="s">
        <v>80</v>
      </c>
      <c r="AA29" s="8">
        <v>1</v>
      </c>
      <c r="AB29" s="8" t="str">
        <f>IF(AA29='Listas suspensas'!$A$2,'Listas suspensas'!$B$2,IF(AA29='Listas suspensas'!$A$3,'Listas suspensas'!$B$3,IF(AA29='Listas suspensas'!$A$4,'Listas suspensas'!$B$4,IF(AA29='Listas suspensas'!$A$5,'Listas suspensas'!$B$5,IF(AA29='Listas suspensas'!$A$6,'Listas suspensas'!$B$6,"")))))</f>
        <v>Profunda e regular</v>
      </c>
      <c r="AC29" s="8" t="str">
        <f>IF(AA29='Listas suspensas'!$A$2,'Listas suspensas'!$C$2,IF(AA29='Listas suspensas'!$A$3,'Listas suspensas'!$C$3,IF(AA29='Listas suspensas'!$A$4,'Listas suspensas'!$C$4,IF(AA29='Listas suspensas'!$A$5,'Listas suspensas'!$C$5,IF(AA29='Listas suspensas'!$A$6,'Listas suspensas'!$C$6,"")))))</f>
        <v>Indica a penetração profunda e uniforme em toda a extensão do alburno.</v>
      </c>
      <c r="AK29" s="8">
        <v>11.95</v>
      </c>
      <c r="AL29" s="8">
        <v>11.46</v>
      </c>
      <c r="AM29" s="8">
        <v>11.92</v>
      </c>
      <c r="AN29" s="8">
        <v>11.92</v>
      </c>
      <c r="AO29" s="8">
        <v>11.4</v>
      </c>
      <c r="AP29" s="8">
        <f t="shared" si="0"/>
        <v>1.173</v>
      </c>
      <c r="AQ29" s="8">
        <v>13.25</v>
      </c>
      <c r="AR29" s="8">
        <v>10.98</v>
      </c>
      <c r="AS29" s="8">
        <v>11.99</v>
      </c>
      <c r="AT29" s="8">
        <v>9.42</v>
      </c>
      <c r="AU29" s="8">
        <v>14.14</v>
      </c>
      <c r="AV29" s="8">
        <f t="shared" si="1"/>
        <v>1.1956</v>
      </c>
      <c r="AW29" s="20">
        <v>1.2415</v>
      </c>
      <c r="AX29" s="20">
        <v>1.0425</v>
      </c>
      <c r="AY29" s="20">
        <v>1.1115999999999999</v>
      </c>
      <c r="AZ29" s="20">
        <v>0.89</v>
      </c>
      <c r="BA29" s="20">
        <v>1.2879</v>
      </c>
      <c r="BB29" s="20">
        <f t="shared" si="2"/>
        <v>1.1146999999999998</v>
      </c>
      <c r="BC29" s="20">
        <f t="shared" si="3"/>
        <v>1.2920276621962579</v>
      </c>
      <c r="BE29" s="18">
        <f t="shared" si="4"/>
        <v>862.75242598534851</v>
      </c>
      <c r="BF29" s="8">
        <v>0.90500000000000003</v>
      </c>
      <c r="BG29" s="8">
        <v>0.33500000000000002</v>
      </c>
      <c r="BH29" s="8">
        <v>0.66100000000000003</v>
      </c>
      <c r="BI29" s="13">
        <f t="shared" si="5"/>
        <v>1.901</v>
      </c>
      <c r="BJ29" s="26">
        <v>47.6</v>
      </c>
      <c r="BK29" s="26">
        <v>17.600000000000001</v>
      </c>
      <c r="BL29" s="26">
        <v>34.799999999999997</v>
      </c>
      <c r="BM29" s="16">
        <f t="shared" si="6"/>
        <v>100</v>
      </c>
      <c r="BN29" s="21">
        <f t="shared" si="7"/>
        <v>7.81</v>
      </c>
      <c r="BO29" s="21">
        <f t="shared" si="8"/>
        <v>2.89</v>
      </c>
      <c r="BP29" s="21">
        <f t="shared" si="9"/>
        <v>5.7</v>
      </c>
      <c r="BQ29" s="14">
        <f t="shared" si="10"/>
        <v>16.399999999999999</v>
      </c>
      <c r="BR29" s="22" t="str">
        <f>IF(OR(AND(X29="Mourões", BQ29&gt;=6.5),AND(X29="Postes", BQ29&gt;=9.6),AND(X29="Dormentes", BQ29&gt;=9.6),AND(X29="Estacas", BQ29&gt;=6.5),AND(X29="Cruzetas", BQ29&gt;=6.5),AND(X29="Outros - Solo", BQ29&gt;=6.5),AND(X29="Outros - Suspenso",BQ29&gt;=4),AND(X29="Deck",BQ29&gt;=4)),'Listas suspensas'!$C$21,'Listas suspensas'!$C$22)</f>
        <v>Os resultados da análise química apresentaram uma retenção do produto de acordo com o padrão mínimo exigido pela norma ABNT NBR 16143</v>
      </c>
    </row>
    <row r="30" spans="1:70" x14ac:dyDescent="0.25">
      <c r="B30" s="8" t="s">
        <v>163</v>
      </c>
      <c r="C30" s="8" t="s">
        <v>71</v>
      </c>
      <c r="F30" s="11">
        <v>45399</v>
      </c>
      <c r="G30" s="11">
        <v>45406</v>
      </c>
      <c r="H30" s="11">
        <v>45408</v>
      </c>
      <c r="I30" s="8" t="s">
        <v>72</v>
      </c>
      <c r="J30" s="8" t="s">
        <v>73</v>
      </c>
      <c r="K30" s="8" t="s">
        <v>74</v>
      </c>
      <c r="L30" s="8" t="s">
        <v>15</v>
      </c>
      <c r="M30" s="30" t="s">
        <v>159</v>
      </c>
      <c r="N30" s="8" t="s">
        <v>75</v>
      </c>
      <c r="O30" s="8" t="s">
        <v>76</v>
      </c>
      <c r="P30" s="28" t="s">
        <v>160</v>
      </c>
      <c r="Q30" s="16" t="s">
        <v>164</v>
      </c>
      <c r="X30" s="8" t="s">
        <v>162</v>
      </c>
      <c r="Y30" s="34">
        <f>IF(X30='Listas suspensas'!$A$21,'Listas suspensas'!$B$23,IF(X30='Listas suspensas'!$A$22,'Listas suspensas'!$B$23,IF(X30='Listas suspensas'!$A$23,'Listas suspensas'!$B$22,IF(X30='Listas suspensas'!$A$26,'Listas suspensas'!$B$22,IF(X30='Listas suspensas'!$A$32,'Listas suspensas'!$B$22,IF(X30='Listas suspensas'!$A$33,'Listas suspensas'!$B$21,IF(X30='Listas suspensas'!$A$24,'Listas suspensas'!$B$22,IF(X30='Listas suspensas'!$A$30,'Listas suspensas'!$B$21,""))))))))</f>
        <v>9.6</v>
      </c>
      <c r="Z30" s="8" t="s">
        <v>80</v>
      </c>
      <c r="AA30" s="8">
        <v>2</v>
      </c>
      <c r="AB30" s="8" t="str">
        <f>IF(AA30='Listas suspensas'!$A$2,'Listas suspensas'!$B$2,IF(AA30='Listas suspensas'!$A$3,'Listas suspensas'!$B$3,IF(AA30='Listas suspensas'!$A$4,'Listas suspensas'!$B$4,IF(AA30='Listas suspensas'!$A$5,'Listas suspensas'!$B$5,IF(AA30='Listas suspensas'!$A$6,'Listas suspensas'!$B$6,"")))))</f>
        <v>Profunda e irregular</v>
      </c>
      <c r="AC30" s="8" t="str">
        <f>IF(AA30='Listas suspensas'!$A$2,'Listas suspensas'!$C$2,IF(AA30='Listas suspensas'!$A$3,'Listas suspensas'!$C$3,IF(AA30='Listas suspensas'!$A$4,'Listas suspensas'!$C$4,IF(AA30='Listas suspensas'!$A$5,'Listas suspensas'!$C$5,IF(AA30='Listas suspensas'!$A$6,'Listas suspensas'!$C$6,"")))))</f>
        <v>Indica a penetração profunda, mas desuniforme em toda a extensão do alburno.</v>
      </c>
      <c r="AK30" s="8">
        <v>11.42</v>
      </c>
      <c r="AL30" s="8">
        <v>11.96</v>
      </c>
      <c r="AM30" s="8">
        <v>11.96</v>
      </c>
      <c r="AN30" s="8">
        <v>11.87</v>
      </c>
      <c r="AO30" s="8">
        <v>11.62</v>
      </c>
      <c r="AP30" s="8">
        <f t="shared" si="0"/>
        <v>1.1766000000000001</v>
      </c>
      <c r="AQ30" s="8">
        <v>14.35</v>
      </c>
      <c r="AR30" s="8">
        <v>14.2</v>
      </c>
      <c r="AS30" s="8">
        <v>19.07</v>
      </c>
      <c r="AT30" s="8">
        <v>13.4</v>
      </c>
      <c r="AU30" s="8">
        <v>11.77</v>
      </c>
      <c r="AV30" s="8">
        <f t="shared" si="1"/>
        <v>1.4557999999999998</v>
      </c>
      <c r="AW30" s="20">
        <v>1.3593</v>
      </c>
      <c r="AX30" s="20">
        <v>1.3506</v>
      </c>
      <c r="AY30" s="20">
        <v>1.8112999999999999</v>
      </c>
      <c r="AZ30" s="20">
        <v>1.272</v>
      </c>
      <c r="BA30" s="20">
        <v>1.1120000000000001</v>
      </c>
      <c r="BB30" s="20">
        <f t="shared" si="2"/>
        <v>1.38104</v>
      </c>
      <c r="BC30" s="20">
        <f t="shared" si="3"/>
        <v>1.5828847118216129</v>
      </c>
      <c r="BE30" s="18">
        <f t="shared" si="4"/>
        <v>872.48299872116002</v>
      </c>
      <c r="BF30" s="8">
        <v>0.76600000000000001</v>
      </c>
      <c r="BG30" s="8">
        <v>0.35699999999999998</v>
      </c>
      <c r="BH30" s="8">
        <v>0.78500000000000003</v>
      </c>
      <c r="BI30" s="13">
        <f t="shared" si="5"/>
        <v>1.9079999999999999</v>
      </c>
      <c r="BJ30" s="26">
        <v>40.1</v>
      </c>
      <c r="BK30" s="26">
        <v>18.7</v>
      </c>
      <c r="BL30" s="26">
        <v>41.2</v>
      </c>
      <c r="BM30" s="16">
        <f t="shared" si="6"/>
        <v>100</v>
      </c>
      <c r="BN30" s="21">
        <f t="shared" si="7"/>
        <v>6.68</v>
      </c>
      <c r="BO30" s="21">
        <f t="shared" si="8"/>
        <v>3.11</v>
      </c>
      <c r="BP30" s="21">
        <f t="shared" si="9"/>
        <v>6.85</v>
      </c>
      <c r="BQ30" s="14">
        <f t="shared" si="10"/>
        <v>16.64</v>
      </c>
      <c r="BR30" s="22" t="str">
        <f>IF(OR(AND(X30="Mourões", BQ30&gt;=6.5),AND(X30="Postes", BQ30&gt;=9.6),AND(X30="Dormentes", BQ30&gt;=9.6),AND(X30="Estacas", BQ30&gt;=6.5),AND(X30="Cruzetas", BQ30&gt;=6.5),AND(X30="Outros - Solo", BQ30&gt;=6.5),AND(X30="Outros - Suspenso",BQ30&gt;=4),AND(X30="Deck",BQ30&gt;=4)),'Listas suspensas'!$C$21,'Listas suspensas'!$C$22)</f>
        <v>Os resultados da análise química apresentaram uma retenção do produto de acordo com o padrão mínimo exigido pela norma ABNT NBR 16143</v>
      </c>
    </row>
    <row r="31" spans="1:70" x14ac:dyDescent="0.25">
      <c r="B31" s="8" t="s">
        <v>165</v>
      </c>
      <c r="C31" s="8" t="s">
        <v>71</v>
      </c>
      <c r="F31" s="11">
        <v>45399</v>
      </c>
      <c r="G31" s="11">
        <v>45406</v>
      </c>
      <c r="H31" s="11">
        <v>45408</v>
      </c>
      <c r="I31" s="8" t="s">
        <v>72</v>
      </c>
      <c r="J31" s="8" t="s">
        <v>73</v>
      </c>
      <c r="K31" s="8" t="s">
        <v>74</v>
      </c>
      <c r="L31" s="8" t="s">
        <v>15</v>
      </c>
      <c r="M31" s="30" t="s">
        <v>159</v>
      </c>
      <c r="N31" s="8" t="s">
        <v>75</v>
      </c>
      <c r="O31" s="8" t="s">
        <v>76</v>
      </c>
      <c r="P31" s="28" t="s">
        <v>160</v>
      </c>
      <c r="Q31" s="16" t="s">
        <v>166</v>
      </c>
      <c r="X31" s="8" t="s">
        <v>162</v>
      </c>
      <c r="Y31" s="34">
        <f>IF(X31='Listas suspensas'!$A$21,'Listas suspensas'!$B$23,IF(X31='Listas suspensas'!$A$22,'Listas suspensas'!$B$23,IF(X31='Listas suspensas'!$A$23,'Listas suspensas'!$B$22,IF(X31='Listas suspensas'!$A$26,'Listas suspensas'!$B$22,IF(X31='Listas suspensas'!$A$32,'Listas suspensas'!$B$22,IF(X31='Listas suspensas'!$A$33,'Listas suspensas'!$B$21,IF(X31='Listas suspensas'!$A$24,'Listas suspensas'!$B$22,IF(X31='Listas suspensas'!$A$30,'Listas suspensas'!$B$21,""))))))))</f>
        <v>9.6</v>
      </c>
      <c r="Z31" s="8" t="s">
        <v>80</v>
      </c>
      <c r="AA31" s="8">
        <v>3</v>
      </c>
      <c r="AB31" s="8" t="str">
        <f>IF(AA31='Listas suspensas'!$A$2,'Listas suspensas'!$B$2,IF(AA31='Listas suspensas'!$A$3,'Listas suspensas'!$B$3,IF(AA31='Listas suspensas'!$A$4,'Listas suspensas'!$B$4,IF(AA31='Listas suspensas'!$A$5,'Listas suspensas'!$B$5,IF(AA31='Listas suspensas'!$A$6,'Listas suspensas'!$B$6,"")))))</f>
        <v xml:space="preserve"> Parcial e regular</v>
      </c>
      <c r="AC31" s="8" t="str">
        <f>IF(AA31='Listas suspensas'!$A$2,'Listas suspensas'!$C$2,IF(AA31='Listas suspensas'!$A$3,'Listas suspensas'!$C$3,IF(AA31='Listas suspensas'!$A$4,'Listas suspensas'!$C$4,IF(AA31='Listas suspensas'!$A$5,'Listas suspensas'!$C$5,IF(AA31='Listas suspensas'!$A$6,'Listas suspensas'!$C$6,"")))))</f>
        <v>Indica a penetração uniforme, mas não total pela extensão do alburno.</v>
      </c>
      <c r="AK31" s="8">
        <v>11.91</v>
      </c>
      <c r="AL31" s="8">
        <v>11.69</v>
      </c>
      <c r="AM31" s="8">
        <v>11.93</v>
      </c>
      <c r="AN31" s="8">
        <v>11.93</v>
      </c>
      <c r="AO31" s="8">
        <v>11.94</v>
      </c>
      <c r="AP31" s="8">
        <f t="shared" si="0"/>
        <v>1.1879999999999999</v>
      </c>
      <c r="AQ31" s="8">
        <v>12.39</v>
      </c>
      <c r="AR31" s="8">
        <v>15.41</v>
      </c>
      <c r="AS31" s="8">
        <v>19.3</v>
      </c>
      <c r="AT31" s="8">
        <v>16.7</v>
      </c>
      <c r="AU31" s="8">
        <v>15.26</v>
      </c>
      <c r="AV31" s="8">
        <f t="shared" si="1"/>
        <v>1.5812000000000002</v>
      </c>
      <c r="AW31" s="20">
        <v>1.1659999999999999</v>
      </c>
      <c r="AX31" s="20">
        <v>1.5359</v>
      </c>
      <c r="AY31" s="20">
        <v>1.7578</v>
      </c>
      <c r="AZ31" s="20">
        <v>1.5878000000000001</v>
      </c>
      <c r="BA31" s="20">
        <v>1.5229999999999999</v>
      </c>
      <c r="BB31" s="20">
        <f t="shared" si="2"/>
        <v>1.5140999999999998</v>
      </c>
      <c r="BC31" s="20">
        <f t="shared" si="3"/>
        <v>1.7527079975073996</v>
      </c>
      <c r="BE31" s="18">
        <f t="shared" si="4"/>
        <v>863.86323457944263</v>
      </c>
      <c r="BF31" s="8">
        <v>0.68100000000000005</v>
      </c>
      <c r="BG31" s="8">
        <v>0.309</v>
      </c>
      <c r="BH31" s="8">
        <v>0.57999999999999996</v>
      </c>
      <c r="BI31" s="13">
        <f t="shared" si="5"/>
        <v>1.5699999999999998</v>
      </c>
      <c r="BJ31" s="26">
        <v>43.4</v>
      </c>
      <c r="BK31" s="26">
        <v>19.7</v>
      </c>
      <c r="BL31" s="26">
        <v>36.9</v>
      </c>
      <c r="BM31" s="16">
        <f t="shared" si="6"/>
        <v>100</v>
      </c>
      <c r="BN31" s="21">
        <f t="shared" si="7"/>
        <v>5.88</v>
      </c>
      <c r="BO31" s="21">
        <f t="shared" si="8"/>
        <v>2.67</v>
      </c>
      <c r="BP31" s="21">
        <f t="shared" si="9"/>
        <v>5.01</v>
      </c>
      <c r="BQ31" s="14">
        <f t="shared" si="10"/>
        <v>13.56</v>
      </c>
      <c r="BR31" s="22" t="str">
        <f>IF(OR(AND(X31="Mourões", BQ31&gt;=6.5),AND(X31="Postes", BQ31&gt;=9.6),AND(X31="Dormentes", BQ31&gt;=9.6),AND(X31="Estacas", BQ31&gt;=6.5),AND(X31="Cruzetas", BQ31&gt;=6.5),AND(X31="Outros - Solo", BQ31&gt;=6.5),AND(X31="Outros - Suspenso",BQ31&gt;=4),AND(X31="Deck",BQ31&gt;=4)),'Listas suspensas'!$C$21,'Listas suspensas'!$C$22)</f>
        <v>Os resultados da análise química apresentaram uma retenção do produto de acordo com o padrão mínimo exigido pela norma ABNT NBR 16143</v>
      </c>
    </row>
    <row r="32" spans="1:70" x14ac:dyDescent="0.25">
      <c r="B32" s="8" t="s">
        <v>167</v>
      </c>
      <c r="C32" s="8" t="s">
        <v>71</v>
      </c>
      <c r="D32" s="8" t="s">
        <v>129</v>
      </c>
      <c r="F32" s="11">
        <v>45404</v>
      </c>
      <c r="G32" s="11">
        <v>45406</v>
      </c>
      <c r="H32" s="11">
        <v>45408</v>
      </c>
      <c r="I32" s="8" t="s">
        <v>130</v>
      </c>
      <c r="J32" s="8" t="s">
        <v>131</v>
      </c>
      <c r="K32" s="8" t="s">
        <v>74</v>
      </c>
      <c r="L32" s="8" t="s">
        <v>15</v>
      </c>
      <c r="M32" s="30" t="s">
        <v>132</v>
      </c>
      <c r="N32" s="8" t="s">
        <v>75</v>
      </c>
      <c r="O32" s="8" t="s">
        <v>94</v>
      </c>
      <c r="P32" s="28" t="s">
        <v>77</v>
      </c>
      <c r="Q32" s="16" t="s">
        <v>168</v>
      </c>
      <c r="X32" s="8" t="s">
        <v>79</v>
      </c>
      <c r="Y32" s="34">
        <f>IF(X32='Listas suspensas'!$A$21,'Listas suspensas'!$B$23,IF(X32='Listas suspensas'!$A$22,'Listas suspensas'!$B$23,IF(X32='Listas suspensas'!$A$23,'Listas suspensas'!$B$22,IF(X32='Listas suspensas'!$A$26,'Listas suspensas'!$B$22,IF(X32='Listas suspensas'!$A$32,'Listas suspensas'!$B$22,IF(X32='Listas suspensas'!$A$33,'Listas suspensas'!$B$21,IF(X32='Listas suspensas'!$A$24,'Listas suspensas'!$B$22,IF(X32='Listas suspensas'!$A$30,'Listas suspensas'!$B$21,""))))))))</f>
        <v>6.5</v>
      </c>
      <c r="Z32" s="8" t="s">
        <v>80</v>
      </c>
      <c r="AA32" s="8">
        <v>4</v>
      </c>
      <c r="AB32" s="8" t="str">
        <f>IF(AA32='Listas suspensas'!$A$2,'Listas suspensas'!$B$2,IF(AA32='Listas suspensas'!$A$3,'Listas suspensas'!$B$3,IF(AA32='Listas suspensas'!$A$4,'Listas suspensas'!$B$4,IF(AA32='Listas suspensas'!$A$5,'Listas suspensas'!$B$5,IF(AA32='Listas suspensas'!$A$6,'Listas suspensas'!$B$6,"")))))</f>
        <v>Parcial e irregular</v>
      </c>
      <c r="AC32" s="8" t="str">
        <f>IF(AA32='Listas suspensas'!$A$2,'Listas suspensas'!$C$2,IF(AA32='Listas suspensas'!$A$3,'Listas suspensas'!$C$3,IF(AA32='Listas suspensas'!$A$4,'Listas suspensas'!$C$4,IF(AA32='Listas suspensas'!$A$5,'Listas suspensas'!$C$5,IF(AA32='Listas suspensas'!$A$6,'Listas suspensas'!$C$6,"")))))</f>
        <v>Indica a penetração desuniforme e não total pela extensão do alburno.</v>
      </c>
      <c r="AK32" s="8">
        <v>11.47</v>
      </c>
      <c r="AL32" s="8">
        <v>11.24</v>
      </c>
      <c r="AM32" s="8">
        <v>11.41</v>
      </c>
      <c r="AN32" s="8">
        <v>11.37</v>
      </c>
      <c r="AO32" s="8">
        <v>11.22</v>
      </c>
      <c r="AP32" s="8">
        <f t="shared" si="0"/>
        <v>1.1342000000000001</v>
      </c>
      <c r="AQ32" s="8">
        <v>11.37</v>
      </c>
      <c r="AR32" s="8">
        <v>9.92</v>
      </c>
      <c r="AS32" s="8">
        <v>6.8</v>
      </c>
      <c r="AT32" s="8">
        <v>8.59</v>
      </c>
      <c r="AU32" s="8">
        <v>6.25</v>
      </c>
      <c r="AV32" s="8">
        <f t="shared" si="1"/>
        <v>0.85860000000000003</v>
      </c>
      <c r="AW32" s="20">
        <v>0.96199999999999997</v>
      </c>
      <c r="AX32" s="20">
        <v>0.85980000000000001</v>
      </c>
      <c r="AY32" s="20">
        <v>0.47699999999999998</v>
      </c>
      <c r="AZ32" s="20">
        <v>0.79800000000000004</v>
      </c>
      <c r="BA32" s="20">
        <v>0.46210000000000001</v>
      </c>
      <c r="BB32" s="20">
        <f t="shared" si="2"/>
        <v>0.71177999999999997</v>
      </c>
      <c r="BC32" s="20">
        <f t="shared" si="3"/>
        <v>0.8674811597480987</v>
      </c>
      <c r="BE32" s="18">
        <f t="shared" si="4"/>
        <v>820.51349703858511</v>
      </c>
      <c r="BF32" s="8">
        <v>0.214</v>
      </c>
      <c r="BG32" s="8">
        <v>0.112</v>
      </c>
      <c r="BH32" s="8">
        <v>0.24</v>
      </c>
      <c r="BI32" s="13">
        <f t="shared" si="5"/>
        <v>0.56600000000000006</v>
      </c>
      <c r="BJ32" s="14">
        <v>37.9</v>
      </c>
      <c r="BK32" s="14">
        <v>19.7</v>
      </c>
      <c r="BL32" s="14">
        <v>42.4</v>
      </c>
      <c r="BM32" s="16">
        <f t="shared" si="6"/>
        <v>100</v>
      </c>
      <c r="BN32" s="21">
        <f t="shared" si="7"/>
        <v>1.76</v>
      </c>
      <c r="BO32" s="21">
        <f t="shared" si="8"/>
        <v>0.92</v>
      </c>
      <c r="BP32" s="21">
        <f t="shared" si="9"/>
        <v>1.97</v>
      </c>
      <c r="BQ32" s="14">
        <f t="shared" si="10"/>
        <v>4.6500000000000004</v>
      </c>
      <c r="BR32" s="22" t="str">
        <f>IF(OR(AND(X32="Mourões", BQ32&gt;=6.5),AND(X32="Postes", BQ32&gt;=9.6),AND(X32="Dormentes", BQ32&gt;=9.6),AND(X32="Estacas", BQ32&gt;=6.5),AND(X32="Cruzetas", BQ32&gt;=6.5),AND(X32="Outros - Solo", BQ32&gt;=6.5),AND(X32="Outros - Suspenso",BQ32&gt;=4),AND(X32="Deck",BQ32&gt;=4)),'Listas suspensas'!$C$21,'Listas suspensas'!$C$22)</f>
        <v>Os resultados da análise química apresentaram uma retenção do produto inferior ao padrão mínimo exigido pela norma ABNT NBR 16143</v>
      </c>
    </row>
    <row r="33" spans="2:70" x14ac:dyDescent="0.25">
      <c r="B33" s="8" t="s">
        <v>169</v>
      </c>
      <c r="C33" s="8" t="s">
        <v>71</v>
      </c>
      <c r="D33" s="8" t="s">
        <v>129</v>
      </c>
      <c r="F33" s="11">
        <v>45404</v>
      </c>
      <c r="G33" s="11">
        <v>45406</v>
      </c>
      <c r="H33" s="11">
        <v>45408</v>
      </c>
      <c r="I33" s="8" t="s">
        <v>130</v>
      </c>
      <c r="J33" s="8" t="s">
        <v>131</v>
      </c>
      <c r="K33" s="8" t="s">
        <v>74</v>
      </c>
      <c r="L33" s="8" t="s">
        <v>15</v>
      </c>
      <c r="M33" s="30" t="s">
        <v>132</v>
      </c>
      <c r="N33" s="8" t="s">
        <v>75</v>
      </c>
      <c r="O33" s="8" t="s">
        <v>94</v>
      </c>
      <c r="P33" s="28" t="s">
        <v>77</v>
      </c>
      <c r="Q33" s="16" t="s">
        <v>170</v>
      </c>
      <c r="X33" s="8" t="s">
        <v>79</v>
      </c>
      <c r="Y33" s="34">
        <f>IF(X33='Listas suspensas'!$A$21,'Listas suspensas'!$B$23,IF(X33='Listas suspensas'!$A$22,'Listas suspensas'!$B$23,IF(X33='Listas suspensas'!$A$23,'Listas suspensas'!$B$22,IF(X33='Listas suspensas'!$A$26,'Listas suspensas'!$B$22,IF(X33='Listas suspensas'!$A$32,'Listas suspensas'!$B$22,IF(X33='Listas suspensas'!$A$33,'Listas suspensas'!$B$21,IF(X33='Listas suspensas'!$A$24,'Listas suspensas'!$B$22,IF(X33='Listas suspensas'!$A$30,'Listas suspensas'!$B$21,""))))))))</f>
        <v>6.5</v>
      </c>
      <c r="Z33" s="8" t="s">
        <v>80</v>
      </c>
      <c r="AA33" s="8">
        <v>2</v>
      </c>
      <c r="AB33" s="8" t="str">
        <f>IF(AA33='Listas suspensas'!$A$2,'Listas suspensas'!$B$2,IF(AA33='Listas suspensas'!$A$3,'Listas suspensas'!$B$3,IF(AA33='Listas suspensas'!$A$4,'Listas suspensas'!$B$4,IF(AA33='Listas suspensas'!$A$5,'Listas suspensas'!$B$5,IF(AA33='Listas suspensas'!$A$6,'Listas suspensas'!$B$6,"")))))</f>
        <v>Profunda e irregular</v>
      </c>
      <c r="AC33" s="8" t="str">
        <f>IF(AA33='Listas suspensas'!$A$2,'Listas suspensas'!$C$2,IF(AA33='Listas suspensas'!$A$3,'Listas suspensas'!$C$3,IF(AA33='Listas suspensas'!$A$4,'Listas suspensas'!$C$4,IF(AA33='Listas suspensas'!$A$5,'Listas suspensas'!$C$5,IF(AA33='Listas suspensas'!$A$6,'Listas suspensas'!$C$6,"")))))</f>
        <v>Indica a penetração profunda, mas desuniforme em toda a extensão do alburno.</v>
      </c>
      <c r="AK33" s="8">
        <v>11.61</v>
      </c>
      <c r="AL33" s="8">
        <v>11.1</v>
      </c>
      <c r="AM33" s="8">
        <v>11.91</v>
      </c>
      <c r="AN33" s="8">
        <v>11.86</v>
      </c>
      <c r="AO33" s="8">
        <v>11.73</v>
      </c>
      <c r="AP33" s="8">
        <f t="shared" si="0"/>
        <v>1.1642000000000001</v>
      </c>
      <c r="AQ33" s="8">
        <v>7.81</v>
      </c>
      <c r="AR33" s="8">
        <v>12.5</v>
      </c>
      <c r="AS33" s="8">
        <v>13.98</v>
      </c>
      <c r="AT33" s="8">
        <v>14.25</v>
      </c>
      <c r="AU33" s="8">
        <v>13.94</v>
      </c>
      <c r="AV33" s="8">
        <f t="shared" si="1"/>
        <v>1.2495999999999998</v>
      </c>
      <c r="AW33" s="20">
        <v>0.49790000000000001</v>
      </c>
      <c r="AX33" s="20">
        <v>0.78969999999999996</v>
      </c>
      <c r="AY33" s="20">
        <v>0.82540000000000002</v>
      </c>
      <c r="AZ33" s="20">
        <v>0.92959999999999998</v>
      </c>
      <c r="BA33" s="20">
        <v>0.88890000000000002</v>
      </c>
      <c r="BB33" s="20">
        <f t="shared" si="2"/>
        <v>0.7863</v>
      </c>
      <c r="BC33" s="20">
        <f t="shared" si="3"/>
        <v>1.3301973790770738</v>
      </c>
      <c r="BE33" s="18">
        <f t="shared" si="4"/>
        <v>591.11528286543148</v>
      </c>
      <c r="BF33" s="8">
        <v>0.29299999999999998</v>
      </c>
      <c r="BG33" s="8">
        <v>0.159</v>
      </c>
      <c r="BH33" s="8">
        <v>0.26300000000000001</v>
      </c>
      <c r="BI33" s="13">
        <f t="shared" si="5"/>
        <v>0.71499999999999997</v>
      </c>
      <c r="BJ33" s="14">
        <v>41</v>
      </c>
      <c r="BK33" s="14">
        <v>22.2</v>
      </c>
      <c r="BL33" s="14">
        <v>36.799999999999997</v>
      </c>
      <c r="BM33" s="16">
        <f t="shared" si="6"/>
        <v>100</v>
      </c>
      <c r="BN33" s="21">
        <f t="shared" si="7"/>
        <v>1.73</v>
      </c>
      <c r="BO33" s="21">
        <f t="shared" si="8"/>
        <v>0.94</v>
      </c>
      <c r="BP33" s="21">
        <f t="shared" si="9"/>
        <v>1.55</v>
      </c>
      <c r="BQ33" s="14">
        <f t="shared" si="10"/>
        <v>4.22</v>
      </c>
      <c r="BR33" s="22" t="str">
        <f>IF(OR(AND(X33="Mourões", BQ33&gt;=6.5),AND(X33="Postes", BQ33&gt;=9.6),AND(X33="Dormentes", BQ33&gt;=9.6),AND(X33="Estacas", BQ33&gt;=6.5),AND(X33="Cruzetas", BQ33&gt;=6.5),AND(X33="Outros - Solo", BQ33&gt;=6.5),AND(X33="Outros - Suspenso",BQ33&gt;=4),AND(X33="Deck",BQ33&gt;=4)),'Listas suspensas'!$C$21,'Listas suspensas'!$C$22)</f>
        <v>Os resultados da análise química apresentaram uma retenção do produto inferior ao padrão mínimo exigido pela norma ABNT NBR 16143</v>
      </c>
    </row>
    <row r="34" spans="2:70" x14ac:dyDescent="0.25">
      <c r="B34" s="8" t="s">
        <v>171</v>
      </c>
      <c r="C34" s="8" t="s">
        <v>71</v>
      </c>
      <c r="F34" s="11">
        <v>45399</v>
      </c>
      <c r="G34" s="11">
        <v>45406</v>
      </c>
      <c r="H34" s="11">
        <v>45408</v>
      </c>
      <c r="I34" s="8" t="s">
        <v>72</v>
      </c>
      <c r="J34" s="8" t="s">
        <v>73</v>
      </c>
      <c r="K34" s="8" t="s">
        <v>74</v>
      </c>
      <c r="L34" s="8" t="s">
        <v>15</v>
      </c>
      <c r="M34" s="30" t="s">
        <v>159</v>
      </c>
      <c r="N34" s="8" t="s">
        <v>75</v>
      </c>
      <c r="O34" s="8" t="s">
        <v>76</v>
      </c>
      <c r="P34" s="28" t="s">
        <v>160</v>
      </c>
      <c r="Q34" s="16" t="s">
        <v>172</v>
      </c>
      <c r="X34" s="8" t="s">
        <v>162</v>
      </c>
      <c r="Y34" s="34">
        <f>IF(X34='Listas suspensas'!$A$21,'Listas suspensas'!$B$23,IF(X34='Listas suspensas'!$A$22,'Listas suspensas'!$B$23,IF(X34='Listas suspensas'!$A$23,'Listas suspensas'!$B$22,IF(X34='Listas suspensas'!$A$26,'Listas suspensas'!$B$22,IF(X34='Listas suspensas'!$A$32,'Listas suspensas'!$B$22,IF(X34='Listas suspensas'!$A$33,'Listas suspensas'!$B$21,IF(X34='Listas suspensas'!$A$24,'Listas suspensas'!$B$22,IF(X34='Listas suspensas'!$A$30,'Listas suspensas'!$B$21,""))))))))</f>
        <v>9.6</v>
      </c>
      <c r="Z34" s="8" t="s">
        <v>80</v>
      </c>
      <c r="AA34" s="8">
        <v>1</v>
      </c>
      <c r="AB34" s="8" t="str">
        <f>IF(AA34='Listas suspensas'!$A$2,'Listas suspensas'!$B$2,IF(AA34='Listas suspensas'!$A$3,'Listas suspensas'!$B$3,IF(AA34='Listas suspensas'!$A$4,'Listas suspensas'!$B$4,IF(AA34='Listas suspensas'!$A$5,'Listas suspensas'!$B$5,IF(AA34='Listas suspensas'!$A$6,'Listas suspensas'!$B$6,"")))))</f>
        <v>Profunda e regular</v>
      </c>
      <c r="AC34" s="8" t="str">
        <f>IF(AA34='Listas suspensas'!$A$2,'Listas suspensas'!$C$2,IF(AA34='Listas suspensas'!$A$3,'Listas suspensas'!$C$3,IF(AA34='Listas suspensas'!$A$4,'Listas suspensas'!$C$4,IF(AA34='Listas suspensas'!$A$5,'Listas suspensas'!$C$5,IF(AA34='Listas suspensas'!$A$6,'Listas suspensas'!$C$6,"")))))</f>
        <v>Indica a penetração profunda e uniforme em toda a extensão do alburno.</v>
      </c>
      <c r="AK34" s="8">
        <v>11.85</v>
      </c>
      <c r="AL34" s="8">
        <v>11.95</v>
      </c>
      <c r="AM34" s="8">
        <v>11.77</v>
      </c>
      <c r="AN34" s="8">
        <v>11.88</v>
      </c>
      <c r="AO34" s="8">
        <v>11.97</v>
      </c>
      <c r="AP34" s="8">
        <f t="shared" si="0"/>
        <v>1.1883999999999999</v>
      </c>
      <c r="AQ34" s="8">
        <v>17.96</v>
      </c>
      <c r="AR34" s="8">
        <v>15.73</v>
      </c>
      <c r="AS34" s="8">
        <v>13.5</v>
      </c>
      <c r="AT34" s="8">
        <v>15.31</v>
      </c>
      <c r="AU34" s="8">
        <v>13.85</v>
      </c>
      <c r="AV34" s="8">
        <f t="shared" si="1"/>
        <v>1.5269999999999999</v>
      </c>
      <c r="AW34" s="20">
        <v>1.7112000000000001</v>
      </c>
      <c r="AX34" s="20">
        <v>1.5567</v>
      </c>
      <c r="AY34" s="20">
        <v>1.3232999999999999</v>
      </c>
      <c r="AZ34" s="20">
        <v>1.4655</v>
      </c>
      <c r="BA34" s="20">
        <v>1.3616999999999999</v>
      </c>
      <c r="BB34" s="20">
        <f t="shared" si="2"/>
        <v>1.4836799999999999</v>
      </c>
      <c r="BC34" s="20">
        <f t="shared" ref="BC34:BC65" si="11">PI()*(AP34/2)^2*AV34</f>
        <v>1.6937690963475163</v>
      </c>
      <c r="BE34" s="18">
        <f t="shared" ref="BE34:BE65" si="12">(BB34/BC34)*1000</f>
        <v>875.96355559883716</v>
      </c>
      <c r="BF34" s="8">
        <v>0.61799999999999999</v>
      </c>
      <c r="BG34" s="8">
        <v>0.32700000000000001</v>
      </c>
      <c r="BH34" s="8">
        <v>0.747</v>
      </c>
      <c r="BI34" s="13">
        <f t="shared" si="5"/>
        <v>1.6920000000000002</v>
      </c>
      <c r="BJ34" s="14">
        <v>36.5</v>
      </c>
      <c r="BK34" s="14">
        <v>19.3</v>
      </c>
      <c r="BL34" s="14">
        <v>44.2</v>
      </c>
      <c r="BM34" s="16">
        <f t="shared" si="6"/>
        <v>100</v>
      </c>
      <c r="BN34" s="21">
        <f t="shared" si="7"/>
        <v>5.41</v>
      </c>
      <c r="BO34" s="21">
        <f t="shared" si="8"/>
        <v>2.86</v>
      </c>
      <c r="BP34" s="21">
        <f t="shared" si="9"/>
        <v>6.54</v>
      </c>
      <c r="BQ34" s="14">
        <f t="shared" si="10"/>
        <v>14.81</v>
      </c>
      <c r="BR34" s="22" t="str">
        <f>IF(OR(AND(X34="Mourões", BQ34&gt;=6.5),AND(X34="Postes", BQ34&gt;=9.6),AND(X34="Dormentes", BQ34&gt;=9.6),AND(X34="Estacas", BQ34&gt;=6.5),AND(X34="Cruzetas", BQ34&gt;=6.5),AND(X34="Outros - Solo", BQ34&gt;=6.5),AND(X34="Outros - Suspenso",BQ34&gt;=4),AND(X34="Deck",BQ34&gt;=4)),'Listas suspensas'!$C$21,'Listas suspensas'!$C$22)</f>
        <v>Os resultados da análise química apresentaram uma retenção do produto de acordo com o padrão mínimo exigido pela norma ABNT NBR 16143</v>
      </c>
    </row>
    <row r="35" spans="2:70" x14ac:dyDescent="0.25">
      <c r="B35" s="8" t="s">
        <v>173</v>
      </c>
      <c r="C35" s="8" t="s">
        <v>71</v>
      </c>
      <c r="D35" s="8" t="s">
        <v>89</v>
      </c>
      <c r="F35" s="11">
        <v>45426</v>
      </c>
      <c r="G35" s="11">
        <v>45426</v>
      </c>
      <c r="H35" s="11">
        <v>45428</v>
      </c>
      <c r="I35" s="8" t="s">
        <v>90</v>
      </c>
      <c r="J35" s="8" t="s">
        <v>91</v>
      </c>
      <c r="K35" s="8" t="s">
        <v>92</v>
      </c>
      <c r="L35" s="8" t="s">
        <v>15</v>
      </c>
      <c r="M35" s="30" t="s">
        <v>93</v>
      </c>
      <c r="N35" s="8" t="s">
        <v>75</v>
      </c>
      <c r="O35" s="8" t="s">
        <v>94</v>
      </c>
      <c r="P35" s="28" t="s">
        <v>174</v>
      </c>
      <c r="Q35" s="16" t="s">
        <v>175</v>
      </c>
      <c r="X35" s="8" t="s">
        <v>79</v>
      </c>
      <c r="Y35" s="34">
        <f>IF(X35='Listas suspensas'!$A$21,'Listas suspensas'!$B$23,IF(X35='Listas suspensas'!$A$22,'Listas suspensas'!$B$23,IF(X35='Listas suspensas'!$A$23,'Listas suspensas'!$B$22,IF(X35='Listas suspensas'!$A$26,'Listas suspensas'!$B$22,IF(X35='Listas suspensas'!$A$32,'Listas suspensas'!$B$22,IF(X35='Listas suspensas'!$A$33,'Listas suspensas'!$B$21,IF(X35='Listas suspensas'!$A$24,'Listas suspensas'!$B$22,IF(X35='Listas suspensas'!$A$30,'Listas suspensas'!$B$21,""))))))))</f>
        <v>6.5</v>
      </c>
      <c r="Z35" s="8" t="s">
        <v>80</v>
      </c>
      <c r="AA35" s="8">
        <v>3</v>
      </c>
      <c r="AB35" s="8" t="str">
        <f>IF(AA35='Listas suspensas'!$A$2,'Listas suspensas'!$B$2,IF(AA35='Listas suspensas'!$A$3,'Listas suspensas'!$B$3,IF(AA35='Listas suspensas'!$A$4,'Listas suspensas'!$B$4,IF(AA35='Listas suspensas'!$A$5,'Listas suspensas'!$B$5,IF(AA35='Listas suspensas'!$A$6,'Listas suspensas'!$B$6,"")))))</f>
        <v xml:space="preserve"> Parcial e regular</v>
      </c>
      <c r="AC35" s="8" t="str">
        <f>IF(AA35='Listas suspensas'!$A$2,'Listas suspensas'!$C$2,IF(AA35='Listas suspensas'!$A$3,'Listas suspensas'!$C$3,IF(AA35='Listas suspensas'!$A$4,'Listas suspensas'!$C$4,IF(AA35='Listas suspensas'!$A$5,'Listas suspensas'!$C$5,IF(AA35='Listas suspensas'!$A$6,'Listas suspensas'!$C$6,"")))))</f>
        <v>Indica a penetração uniforme, mas não total pela extensão do alburno.</v>
      </c>
      <c r="AK35" s="8">
        <v>11</v>
      </c>
      <c r="AL35" s="8">
        <v>11.89</v>
      </c>
      <c r="AM35" s="8">
        <v>11.93</v>
      </c>
      <c r="AN35" s="8">
        <v>11.77</v>
      </c>
      <c r="AO35" s="8">
        <v>11.47</v>
      </c>
      <c r="AP35" s="8">
        <f t="shared" si="0"/>
        <v>1.1612</v>
      </c>
      <c r="AQ35" s="8">
        <v>9.86</v>
      </c>
      <c r="AR35" s="8">
        <v>10.28</v>
      </c>
      <c r="AS35" s="8">
        <v>9.57</v>
      </c>
      <c r="AT35" s="8">
        <v>8.15</v>
      </c>
      <c r="AU35" s="8">
        <v>8.27</v>
      </c>
      <c r="AV35" s="8">
        <f t="shared" si="1"/>
        <v>0.92259999999999986</v>
      </c>
      <c r="AW35" s="20">
        <v>0.76890000000000003</v>
      </c>
      <c r="AX35" s="20">
        <v>0.80810000000000004</v>
      </c>
      <c r="AY35" s="20">
        <v>0.67630000000000001</v>
      </c>
      <c r="AZ35" s="20">
        <v>0.623</v>
      </c>
      <c r="BA35" s="20">
        <v>0.61580000000000001</v>
      </c>
      <c r="BB35" s="20">
        <f t="shared" si="2"/>
        <v>0.69841999999999993</v>
      </c>
      <c r="BC35" s="20">
        <f t="shared" si="11"/>
        <v>0.97705134284276363</v>
      </c>
      <c r="BE35" s="18">
        <f t="shared" si="12"/>
        <v>714.82425679690857</v>
      </c>
      <c r="BF35" s="8">
        <v>0.29099999999999998</v>
      </c>
      <c r="BG35" s="8">
        <v>0.17499999999999999</v>
      </c>
      <c r="BH35" s="8">
        <v>0.309</v>
      </c>
      <c r="BI35" s="13">
        <f t="shared" si="5"/>
        <v>0.77499999999999991</v>
      </c>
      <c r="BJ35" s="14">
        <v>37.5</v>
      </c>
      <c r="BK35" s="14">
        <v>22.6</v>
      </c>
      <c r="BL35" s="14">
        <v>39.9</v>
      </c>
      <c r="BM35" s="16">
        <f t="shared" si="6"/>
        <v>100</v>
      </c>
      <c r="BN35" s="21">
        <f t="shared" si="7"/>
        <v>2.08</v>
      </c>
      <c r="BO35" s="21">
        <f t="shared" si="8"/>
        <v>1.25</v>
      </c>
      <c r="BP35" s="21">
        <f t="shared" si="9"/>
        <v>2.21</v>
      </c>
      <c r="BQ35" s="14">
        <f t="shared" si="10"/>
        <v>5.54</v>
      </c>
      <c r="BR35" s="22" t="str">
        <f>IF(OR(AND(X35="Mourões", BQ35&gt;=6.5),AND(X35="Postes", BQ35&gt;=9.6),AND(X35="Dormentes", BQ35&gt;=9.6),AND(X35="Estacas", BQ35&gt;=6.5),AND(X35="Cruzetas", BQ35&gt;=6.5),AND(X35="Outros - Solo", BQ35&gt;=6.5),AND(X35="Outros - Suspenso",BQ35&gt;=4),AND(X35="Deck",BQ35&gt;=4)),'Listas suspensas'!$C$21,'Listas suspensas'!$C$22)</f>
        <v>Os resultados da análise química apresentaram uma retenção do produto inferior ao padrão mínimo exigido pela norma ABNT NBR 16143</v>
      </c>
    </row>
    <row r="36" spans="2:70" x14ac:dyDescent="0.25">
      <c r="B36" s="8" t="s">
        <v>176</v>
      </c>
      <c r="C36" s="8" t="s">
        <v>71</v>
      </c>
      <c r="F36" s="11">
        <v>45448</v>
      </c>
      <c r="G36" s="11">
        <v>45449</v>
      </c>
      <c r="H36" s="11">
        <v>45454</v>
      </c>
      <c r="I36" s="8" t="s">
        <v>177</v>
      </c>
      <c r="J36" s="8" t="s">
        <v>178</v>
      </c>
      <c r="K36" s="8" t="s">
        <v>92</v>
      </c>
      <c r="L36" s="8" t="s">
        <v>15</v>
      </c>
      <c r="M36" s="30" t="s">
        <v>179</v>
      </c>
      <c r="N36" s="8" t="s">
        <v>75</v>
      </c>
      <c r="O36" s="8" t="s">
        <v>76</v>
      </c>
      <c r="P36" s="28" t="s">
        <v>146</v>
      </c>
      <c r="Q36" s="16" t="s">
        <v>78</v>
      </c>
      <c r="X36" s="8" t="s">
        <v>180</v>
      </c>
      <c r="Y36" s="34">
        <f>IF(X36='Listas suspensas'!$A$21,'Listas suspensas'!$B$23,IF(X36='Listas suspensas'!$A$22,'Listas suspensas'!$B$23,IF(X36='Listas suspensas'!$A$23,'Listas suspensas'!$B$22,IF(X36='Listas suspensas'!$A$26,'Listas suspensas'!$B$22,IF(X36='Listas suspensas'!$A$32,'Listas suspensas'!$B$22,IF(X36='Listas suspensas'!$A$33,'Listas suspensas'!$B$21,IF(X36='Listas suspensas'!$A$24,'Listas suspensas'!$B$22,IF(X36='Listas suspensas'!$A$30,'Listas suspensas'!$B$21,""))))))))</f>
        <v>6.5</v>
      </c>
      <c r="Z36" s="8" t="s">
        <v>80</v>
      </c>
      <c r="AA36" s="8">
        <v>4</v>
      </c>
      <c r="AB36" s="8" t="str">
        <f>IF(AA36='Listas suspensas'!$A$2,'Listas suspensas'!$B$2,IF(AA36='Listas suspensas'!$A$3,'Listas suspensas'!$B$3,IF(AA36='Listas suspensas'!$A$4,'Listas suspensas'!$B$4,IF(AA36='Listas suspensas'!$A$5,'Listas suspensas'!$B$5,IF(AA36='Listas suspensas'!$A$6,'Listas suspensas'!$B$6,"")))))</f>
        <v>Parcial e irregular</v>
      </c>
      <c r="AC36" s="8" t="str">
        <f>IF(AA36='Listas suspensas'!$A$2,'Listas suspensas'!$C$2,IF(AA36='Listas suspensas'!$A$3,'Listas suspensas'!$C$3,IF(AA36='Listas suspensas'!$A$4,'Listas suspensas'!$C$4,IF(AA36='Listas suspensas'!$A$5,'Listas suspensas'!$C$5,IF(AA36='Listas suspensas'!$A$6,'Listas suspensas'!$C$6,"")))))</f>
        <v>Indica a penetração desuniforme e não total pela extensão do alburno.</v>
      </c>
      <c r="AK36" s="8">
        <v>11.64</v>
      </c>
      <c r="AL36" s="8">
        <v>11.58</v>
      </c>
      <c r="AM36" s="8">
        <v>11.73</v>
      </c>
      <c r="AN36" s="8">
        <v>11.91</v>
      </c>
      <c r="AO36" s="8">
        <v>11.73</v>
      </c>
      <c r="AP36" s="8">
        <f t="shared" si="0"/>
        <v>1.1718</v>
      </c>
      <c r="AQ36" s="8">
        <v>9.7799999999999994</v>
      </c>
      <c r="AR36" s="8">
        <v>11.02</v>
      </c>
      <c r="AS36" s="8">
        <v>10.42</v>
      </c>
      <c r="AT36" s="8">
        <v>9.48</v>
      </c>
      <c r="AU36" s="8">
        <v>9.19</v>
      </c>
      <c r="AV36" s="8">
        <f t="shared" si="1"/>
        <v>0.99780000000000002</v>
      </c>
      <c r="AW36" s="20">
        <v>0.82720000000000005</v>
      </c>
      <c r="AX36" s="20">
        <v>0.90680000000000005</v>
      </c>
      <c r="AY36" s="20">
        <v>0.90159999999999996</v>
      </c>
      <c r="AZ36" s="20">
        <v>0.85360000000000003</v>
      </c>
      <c r="BA36" s="20">
        <v>0.81830000000000003</v>
      </c>
      <c r="BB36" s="20">
        <f t="shared" si="2"/>
        <v>0.86150000000000004</v>
      </c>
      <c r="BC36" s="20">
        <f t="shared" si="11"/>
        <v>1.0760696148162625</v>
      </c>
      <c r="BE36" s="18">
        <f t="shared" si="12"/>
        <v>800.59876065462549</v>
      </c>
      <c r="BF36" s="8">
        <v>0.23499999999999999</v>
      </c>
      <c r="BG36" s="8">
        <v>0.11799999999999999</v>
      </c>
      <c r="BH36" s="8">
        <v>0.20599999999999999</v>
      </c>
      <c r="BI36" s="13">
        <f t="shared" si="5"/>
        <v>0.55899999999999994</v>
      </c>
      <c r="BJ36" s="14">
        <v>42.1</v>
      </c>
      <c r="BK36" s="14">
        <v>21.1</v>
      </c>
      <c r="BL36" s="14">
        <v>36.799999999999997</v>
      </c>
      <c r="BM36" s="16">
        <f t="shared" si="6"/>
        <v>100</v>
      </c>
      <c r="BN36" s="21">
        <f t="shared" si="7"/>
        <v>1.88</v>
      </c>
      <c r="BO36" s="21">
        <f t="shared" si="8"/>
        <v>0.94</v>
      </c>
      <c r="BP36" s="21">
        <f t="shared" si="9"/>
        <v>1.65</v>
      </c>
      <c r="BQ36" s="14">
        <f t="shared" si="10"/>
        <v>4.47</v>
      </c>
      <c r="BR36" s="22" t="str">
        <f>IF(OR(AND(X36="Mourões", BQ36&gt;=6.5),AND(X36="Postes", BQ36&gt;=9.6),AND(X36="Dormentes", BQ36&gt;=9.6),AND(X36="Estacas", BQ36&gt;=6.5),AND(X36="Cruzetas", BQ36&gt;=6.5),AND(X36="Outros - Solo", BQ36&gt;=6.5),AND(X36="Outros - Suspenso",BQ36&gt;=4),AND(X36="Deck",BQ36&gt;=4)),'Listas suspensas'!$C$21,'Listas suspensas'!$C$22)</f>
        <v>Os resultados da análise química apresentaram uma retenção do produto inferior ao padrão mínimo exigido pela norma ABNT NBR 16143</v>
      </c>
    </row>
    <row r="37" spans="2:70" x14ac:dyDescent="0.25">
      <c r="B37" s="8" t="s">
        <v>181</v>
      </c>
      <c r="C37" s="8" t="s">
        <v>71</v>
      </c>
      <c r="F37" s="11">
        <v>45448</v>
      </c>
      <c r="G37" s="11">
        <v>45449</v>
      </c>
      <c r="H37" s="11">
        <v>45454</v>
      </c>
      <c r="I37" s="8" t="s">
        <v>177</v>
      </c>
      <c r="J37" s="8" t="s">
        <v>178</v>
      </c>
      <c r="K37" s="8" t="s">
        <v>92</v>
      </c>
      <c r="L37" s="8" t="s">
        <v>15</v>
      </c>
      <c r="M37" s="30" t="s">
        <v>179</v>
      </c>
      <c r="N37" s="8" t="s">
        <v>75</v>
      </c>
      <c r="O37" s="8" t="s">
        <v>76</v>
      </c>
      <c r="P37" s="28" t="s">
        <v>146</v>
      </c>
      <c r="Q37" s="16" t="s">
        <v>182</v>
      </c>
      <c r="X37" s="8" t="s">
        <v>180</v>
      </c>
      <c r="Y37" s="34">
        <f>IF(X37='Listas suspensas'!$A$21,'Listas suspensas'!$B$23,IF(X37='Listas suspensas'!$A$22,'Listas suspensas'!$B$23,IF(X37='Listas suspensas'!$A$23,'Listas suspensas'!$B$22,IF(X37='Listas suspensas'!$A$26,'Listas suspensas'!$B$22,IF(X37='Listas suspensas'!$A$32,'Listas suspensas'!$B$22,IF(X37='Listas suspensas'!$A$33,'Listas suspensas'!$B$21,IF(X37='Listas suspensas'!$A$24,'Listas suspensas'!$B$22,IF(X37='Listas suspensas'!$A$30,'Listas suspensas'!$B$21,""))))))))</f>
        <v>6.5</v>
      </c>
      <c r="Z37" s="8" t="s">
        <v>80</v>
      </c>
      <c r="AA37" s="8">
        <v>4</v>
      </c>
      <c r="AB37" s="8" t="str">
        <f>IF(AA37='Listas suspensas'!$A$2,'Listas suspensas'!$B$2,IF(AA37='Listas suspensas'!$A$3,'Listas suspensas'!$B$3,IF(AA37='Listas suspensas'!$A$4,'Listas suspensas'!$B$4,IF(AA37='Listas suspensas'!$A$5,'Listas suspensas'!$B$5,IF(AA37='Listas suspensas'!$A$6,'Listas suspensas'!$B$6,"")))))</f>
        <v>Parcial e irregular</v>
      </c>
      <c r="AC37" s="8" t="str">
        <f>IF(AA37='Listas suspensas'!$A$2,'Listas suspensas'!$C$2,IF(AA37='Listas suspensas'!$A$3,'Listas suspensas'!$C$3,IF(AA37='Listas suspensas'!$A$4,'Listas suspensas'!$C$4,IF(AA37='Listas suspensas'!$A$5,'Listas suspensas'!$C$5,IF(AA37='Listas suspensas'!$A$6,'Listas suspensas'!$C$6,"")))))</f>
        <v>Indica a penetração desuniforme e não total pela extensão do alburno.</v>
      </c>
      <c r="AK37" s="8">
        <v>11.87</v>
      </c>
      <c r="AL37" s="8">
        <v>11.79</v>
      </c>
      <c r="AM37" s="8">
        <v>11.84</v>
      </c>
      <c r="AN37" s="8">
        <v>11.44</v>
      </c>
      <c r="AO37" s="8">
        <v>11.3</v>
      </c>
      <c r="AP37" s="8">
        <f t="shared" si="0"/>
        <v>1.1648000000000001</v>
      </c>
      <c r="AQ37" s="8">
        <v>9.7200000000000006</v>
      </c>
      <c r="AR37" s="8">
        <v>7.99</v>
      </c>
      <c r="AS37" s="8">
        <v>9.39</v>
      </c>
      <c r="AT37" s="8">
        <v>8.5500000000000007</v>
      </c>
      <c r="AU37" s="8">
        <v>10.19</v>
      </c>
      <c r="AV37" s="8">
        <f t="shared" si="1"/>
        <v>0.91680000000000006</v>
      </c>
      <c r="AW37" s="20">
        <v>0.78710000000000002</v>
      </c>
      <c r="AX37" s="20">
        <v>0.67500000000000004</v>
      </c>
      <c r="AY37" s="20">
        <v>0.68479999999999996</v>
      </c>
      <c r="AZ37" s="20">
        <v>0.52010000000000001</v>
      </c>
      <c r="BA37" s="20">
        <v>0.6401</v>
      </c>
      <c r="BB37" s="20">
        <f t="shared" si="2"/>
        <v>0.6614199999999999</v>
      </c>
      <c r="BC37" s="20">
        <f t="shared" si="11"/>
        <v>0.97693846614756985</v>
      </c>
      <c r="BE37" s="18">
        <f t="shared" si="12"/>
        <v>677.03342935018611</v>
      </c>
      <c r="BF37" s="8">
        <v>0.248</v>
      </c>
      <c r="BG37" s="8">
        <v>0.11700000000000001</v>
      </c>
      <c r="BH37" s="8">
        <v>7.3999999999999996E-2</v>
      </c>
      <c r="BI37" s="13">
        <f t="shared" si="5"/>
        <v>0.439</v>
      </c>
      <c r="BJ37" s="14">
        <v>56.5</v>
      </c>
      <c r="BK37" s="14">
        <v>26.6</v>
      </c>
      <c r="BL37" s="14">
        <v>16.899999999999999</v>
      </c>
      <c r="BM37" s="16">
        <f t="shared" si="6"/>
        <v>100</v>
      </c>
      <c r="BN37" s="21">
        <f t="shared" si="7"/>
        <v>1.68</v>
      </c>
      <c r="BO37" s="21">
        <f t="shared" si="8"/>
        <v>0.79</v>
      </c>
      <c r="BP37" s="21">
        <f t="shared" si="9"/>
        <v>0.5</v>
      </c>
      <c r="BQ37" s="14">
        <f t="shared" si="10"/>
        <v>2.97</v>
      </c>
      <c r="BR37" s="22" t="str">
        <f>IF(OR(AND(X37="Mourões", BQ37&gt;=6.5),AND(X37="Postes", BQ37&gt;=9.6),AND(X37="Dormentes", BQ37&gt;=9.6),AND(X37="Estacas", BQ37&gt;=6.5),AND(X37="Cruzetas", BQ37&gt;=6.5),AND(X37="Outros - Solo", BQ37&gt;=6.5),AND(X37="Outros - Suspenso",BQ37&gt;=4),AND(X37="Deck",BQ37&gt;=4)),'Listas suspensas'!$C$21,'Listas suspensas'!$C$22)</f>
        <v>Os resultados da análise química apresentaram uma retenção do produto inferior ao padrão mínimo exigido pela norma ABNT NBR 16143</v>
      </c>
    </row>
    <row r="38" spans="2:70" x14ac:dyDescent="0.25">
      <c r="B38" s="8" t="s">
        <v>183</v>
      </c>
      <c r="C38" s="8" t="s">
        <v>71</v>
      </c>
      <c r="D38" s="8" t="s">
        <v>89</v>
      </c>
      <c r="F38" s="11">
        <v>45470</v>
      </c>
      <c r="G38" s="11">
        <v>45471</v>
      </c>
      <c r="H38" s="11">
        <v>45474</v>
      </c>
      <c r="I38" s="8" t="s">
        <v>90</v>
      </c>
      <c r="J38" s="8" t="s">
        <v>91</v>
      </c>
      <c r="K38" s="8" t="s">
        <v>92</v>
      </c>
      <c r="L38" s="8" t="s">
        <v>15</v>
      </c>
      <c r="M38" s="32" t="s">
        <v>93</v>
      </c>
      <c r="N38" s="8" t="s">
        <v>75</v>
      </c>
      <c r="O38" s="8" t="s">
        <v>94</v>
      </c>
      <c r="P38" s="28" t="s">
        <v>174</v>
      </c>
      <c r="Q38" s="16" t="s">
        <v>184</v>
      </c>
      <c r="X38" s="8" t="s">
        <v>79</v>
      </c>
      <c r="Y38" s="34">
        <f>IF(X38='Listas suspensas'!$A$21,'Listas suspensas'!$B$23,IF(X38='Listas suspensas'!$A$22,'Listas suspensas'!$B$23,IF(X38='Listas suspensas'!$A$23,'Listas suspensas'!$B$22,IF(X38='Listas suspensas'!$A$26,'Listas suspensas'!$B$22,IF(X38='Listas suspensas'!$A$32,'Listas suspensas'!$B$22,IF(X38='Listas suspensas'!$A$33,'Listas suspensas'!$B$21,IF(X38='Listas suspensas'!$A$24,'Listas suspensas'!$B$22,IF(X38='Listas suspensas'!$A$30,'Listas suspensas'!$B$21,""))))))))</f>
        <v>6.5</v>
      </c>
      <c r="Z38" s="8" t="s">
        <v>80</v>
      </c>
      <c r="AA38" s="8">
        <v>1</v>
      </c>
      <c r="AB38" s="8" t="str">
        <f>IF(AA38='Listas suspensas'!$A$2,'Listas suspensas'!$B$2,IF(AA38='Listas suspensas'!$A$3,'Listas suspensas'!$B$3,IF(AA38='Listas suspensas'!$A$4,'Listas suspensas'!$B$4,IF(AA38='Listas suspensas'!$A$5,'Listas suspensas'!$B$5,IF(AA38='Listas suspensas'!$A$6,'Listas suspensas'!$B$6,"")))))</f>
        <v>Profunda e regular</v>
      </c>
      <c r="AC38" s="8" t="str">
        <f>IF(AA38='Listas suspensas'!$A$2,'Listas suspensas'!$C$2,IF(AA38='Listas suspensas'!$A$3,'Listas suspensas'!$C$3,IF(AA38='Listas suspensas'!$A$4,'Listas suspensas'!$C$4,IF(AA38='Listas suspensas'!$A$5,'Listas suspensas'!$C$5,IF(AA38='Listas suspensas'!$A$6,'Listas suspensas'!$C$6,"")))))</f>
        <v>Indica a penetração profunda e uniforme em toda a extensão do alburno.</v>
      </c>
      <c r="AK38" s="8">
        <v>11.41</v>
      </c>
      <c r="AL38" s="8">
        <v>11.21</v>
      </c>
      <c r="AM38" s="8">
        <v>11.25</v>
      </c>
      <c r="AN38" s="8">
        <v>11.5</v>
      </c>
      <c r="AO38" s="8">
        <v>11.44</v>
      </c>
      <c r="AP38" s="8">
        <f t="shared" ref="AP38:AP43" si="13">AVERAGE(AK38:AO38)/10</f>
        <v>1.1362000000000001</v>
      </c>
      <c r="AQ38" s="8">
        <v>25.59</v>
      </c>
      <c r="AR38" s="8">
        <v>25.24</v>
      </c>
      <c r="AS38" s="8">
        <v>26</v>
      </c>
      <c r="AT38" s="8">
        <v>27.32</v>
      </c>
      <c r="AU38" s="8">
        <v>26.18</v>
      </c>
      <c r="AV38" s="8">
        <f t="shared" ref="AV38:AV43" si="14">AVERAGE(AQ38:AU38)/10</f>
        <v>2.6066000000000003</v>
      </c>
      <c r="AW38" s="20">
        <v>2.4110999999999998</v>
      </c>
      <c r="AX38" s="20">
        <v>2.3039999999999998</v>
      </c>
      <c r="AY38" s="20">
        <v>2.3081999999999998</v>
      </c>
      <c r="AZ38" s="20">
        <v>2.4220000000000002</v>
      </c>
      <c r="BA38" s="20">
        <v>2.2363</v>
      </c>
      <c r="BB38" s="20">
        <f t="shared" ref="BB38:BB43" si="15">AVERAGE(AW38:BA38)</f>
        <v>2.3363199999999997</v>
      </c>
      <c r="BC38" s="20">
        <f t="shared" si="11"/>
        <v>2.6428580786845797</v>
      </c>
      <c r="BE38" s="14">
        <f t="shared" si="12"/>
        <v>884.01265994685878</v>
      </c>
      <c r="BF38" s="8">
        <v>0.376</v>
      </c>
      <c r="BG38" s="8">
        <v>0.20799999999999999</v>
      </c>
      <c r="BH38" s="8">
        <v>0.33300000000000002</v>
      </c>
      <c r="BI38" s="13">
        <f t="shared" ref="BI38:BI43" si="16">SUM(BF38:BH38)</f>
        <v>0.91700000000000004</v>
      </c>
      <c r="BJ38" s="14">
        <v>41.1</v>
      </c>
      <c r="BK38" s="14">
        <v>22.6</v>
      </c>
      <c r="BL38" s="14">
        <v>36.299999999999997</v>
      </c>
      <c r="BM38" s="16">
        <f t="shared" ref="BM38:BM43" si="17">ROUND(SUM(BJ38:BL38),2)</f>
        <v>100</v>
      </c>
      <c r="BN38" s="21">
        <f t="shared" ref="BN38:BN43" si="18">ROUND((BF38/100)*BE38,2)</f>
        <v>3.32</v>
      </c>
      <c r="BO38" s="21">
        <f t="shared" ref="BO38:BO43" si="19">ROUND((BG38/100)*BE38,2)</f>
        <v>1.84</v>
      </c>
      <c r="BP38" s="21">
        <f t="shared" ref="BP38:BP43" si="20">ROUND((BH38/100)*BE38,2)</f>
        <v>2.94</v>
      </c>
      <c r="BQ38" s="14">
        <f t="shared" ref="BQ38:BQ43" si="21">ROUND(SUM(BN38:BP38),2)</f>
        <v>8.1</v>
      </c>
      <c r="BR38" s="22" t="str">
        <f>IF(OR(AND(X38="Mourões", BQ38&gt;=6.5),AND(X38="Postes", BQ38&gt;=9.6),AND(X38="Dormentes", BQ38&gt;=9.6),AND(X38="Estacas", BQ38&gt;=6.5),AND(X38="Cruzetas", BQ38&gt;=6.5),AND(X38="Outros - Solo", BQ38&gt;=6.5),AND(X38="Outros - Suspenso",BQ38&gt;=4),AND(X38="Deck",BQ38&gt;=4)),'Listas suspensas'!$C$21,'Listas suspensas'!$C$22)</f>
        <v>Os resultados da análise química apresentaram uma retenção do produto de acordo com o padrão mínimo exigido pela norma ABNT NBR 16143</v>
      </c>
    </row>
    <row r="39" spans="2:70" x14ac:dyDescent="0.25">
      <c r="B39" s="8" t="s">
        <v>185</v>
      </c>
      <c r="C39" s="8" t="s">
        <v>71</v>
      </c>
      <c r="D39" s="8" t="s">
        <v>186</v>
      </c>
      <c r="F39" s="11">
        <v>45470</v>
      </c>
      <c r="G39" s="11">
        <v>45471</v>
      </c>
      <c r="H39" s="11">
        <v>45474</v>
      </c>
      <c r="I39" s="8" t="s">
        <v>187</v>
      </c>
      <c r="J39" s="8" t="s">
        <v>188</v>
      </c>
      <c r="K39" s="8" t="s">
        <v>189</v>
      </c>
      <c r="L39" s="8" t="s">
        <v>15</v>
      </c>
      <c r="M39" s="32" t="s">
        <v>190</v>
      </c>
      <c r="N39" s="8" t="s">
        <v>75</v>
      </c>
      <c r="O39" s="8" t="s">
        <v>94</v>
      </c>
      <c r="P39" s="28" t="s">
        <v>77</v>
      </c>
      <c r="Q39" s="16" t="s">
        <v>191</v>
      </c>
      <c r="X39" s="8" t="s">
        <v>79</v>
      </c>
      <c r="Y39" s="34">
        <f>IF(X39='Listas suspensas'!$A$21,'Listas suspensas'!$B$23,IF(X39='Listas suspensas'!$A$22,'Listas suspensas'!$B$23,IF(X39='Listas suspensas'!$A$23,'Listas suspensas'!$B$22,IF(X39='Listas suspensas'!$A$26,'Listas suspensas'!$B$22,IF(X39='Listas suspensas'!$A$32,'Listas suspensas'!$B$22,IF(X39='Listas suspensas'!$A$33,'Listas suspensas'!$B$21,IF(X39='Listas suspensas'!$A$24,'Listas suspensas'!$B$22,IF(X39='Listas suspensas'!$A$30,'Listas suspensas'!$B$21,""))))))))</f>
        <v>6.5</v>
      </c>
      <c r="Z39" s="8" t="s">
        <v>80</v>
      </c>
      <c r="AA39" s="8">
        <v>5</v>
      </c>
      <c r="AB39" s="8" t="str">
        <f>IF(AA39='Listas suspensas'!$A$2,'Listas suspensas'!$B$2,IF(AA39='Listas suspensas'!$A$3,'Listas suspensas'!$B$3,IF(AA39='Listas suspensas'!$A$4,'Listas suspensas'!$B$4,IF(AA39='Listas suspensas'!$A$5,'Listas suspensas'!$B$5,IF(AA39='Listas suspensas'!$A$6,'Listas suspensas'!$B$6,"")))))</f>
        <v>Sem Reação do Cromoazurol</v>
      </c>
      <c r="AC39" s="8" t="str">
        <f>IF(AA39='Listas suspensas'!$A$2,'Listas suspensas'!$C$2,IF(AA39='Listas suspensas'!$A$3,'Listas suspensas'!$C$3,IF(AA39='Listas suspensas'!$A$4,'Listas suspensas'!$C$4,IF(AA39='Listas suspensas'!$A$5,'Listas suspensas'!$C$5,IF(AA39='Listas suspensas'!$A$6,'Listas suspensas'!$C$6,"")))))</f>
        <v>Sem Reação do Cromoazurol</v>
      </c>
      <c r="AK39" s="8">
        <v>11.52</v>
      </c>
      <c r="AL39" s="8">
        <v>11.95</v>
      </c>
      <c r="AM39" s="8">
        <v>11.93</v>
      </c>
      <c r="AN39" s="8">
        <v>11.58</v>
      </c>
      <c r="AO39" s="8">
        <v>11.9</v>
      </c>
      <c r="AP39" s="8">
        <f t="shared" si="13"/>
        <v>1.1776</v>
      </c>
      <c r="AQ39" s="8">
        <v>24.08</v>
      </c>
      <c r="AR39" s="8">
        <v>25.85</v>
      </c>
      <c r="AS39" s="8">
        <v>25.15</v>
      </c>
      <c r="AT39" s="8">
        <v>30.35</v>
      </c>
      <c r="AU39" s="8">
        <v>27.94</v>
      </c>
      <c r="AV39" s="8">
        <f t="shared" si="14"/>
        <v>2.6673999999999998</v>
      </c>
      <c r="AW39" s="20">
        <v>2.4798</v>
      </c>
      <c r="AX39" s="20">
        <v>2.6122999999999998</v>
      </c>
      <c r="AY39" s="20">
        <v>2.5726</v>
      </c>
      <c r="AZ39" s="20">
        <v>3.0888</v>
      </c>
      <c r="BA39" s="20">
        <v>2.7492000000000001</v>
      </c>
      <c r="BB39" s="20">
        <f t="shared" si="15"/>
        <v>2.7005399999999997</v>
      </c>
      <c r="BC39" s="20">
        <f t="shared" si="11"/>
        <v>2.9051838563444874</v>
      </c>
      <c r="BE39" s="14">
        <f t="shared" si="12"/>
        <v>929.55906873240531</v>
      </c>
      <c r="BF39" s="8">
        <v>0.14799999999999999</v>
      </c>
      <c r="BG39" s="8">
        <v>6.6000000000000003E-2</v>
      </c>
      <c r="BH39" s="8">
        <v>0.01</v>
      </c>
      <c r="BI39" s="13">
        <f t="shared" si="16"/>
        <v>0.224</v>
      </c>
      <c r="BJ39" s="14">
        <v>65.900000000000006</v>
      </c>
      <c r="BK39" s="14">
        <v>29.5</v>
      </c>
      <c r="BL39" s="14">
        <v>4.5999999999999996</v>
      </c>
      <c r="BM39" s="16">
        <f t="shared" si="17"/>
        <v>100</v>
      </c>
      <c r="BN39" s="21">
        <f t="shared" si="18"/>
        <v>1.38</v>
      </c>
      <c r="BO39" s="21">
        <f t="shared" si="19"/>
        <v>0.61</v>
      </c>
      <c r="BP39" s="21">
        <f t="shared" si="20"/>
        <v>0.09</v>
      </c>
      <c r="BQ39" s="14">
        <f t="shared" si="21"/>
        <v>2.08</v>
      </c>
      <c r="BR39" s="22" t="str">
        <f>IF(OR(AND(X39="Mourões", BQ39&gt;=6.5),AND(X39="Postes", BQ39&gt;=9.6),AND(X39="Dormentes", BQ39&gt;=9.6),AND(X39="Estacas", BQ39&gt;=6.5),AND(X39="Cruzetas", BQ39&gt;=6.5),AND(X39="Outros - Solo", BQ39&gt;=6.5),AND(X39="Outros - Suspenso",BQ39&gt;=4),AND(X39="Deck",BQ39&gt;=4)),'Listas suspensas'!$C$21,'Listas suspensas'!$C$22)</f>
        <v>Os resultados da análise química apresentaram uma retenção do produto inferior ao padrão mínimo exigido pela norma ABNT NBR 16143</v>
      </c>
    </row>
    <row r="40" spans="2:70" x14ac:dyDescent="0.25">
      <c r="B40" s="8" t="s">
        <v>192</v>
      </c>
      <c r="C40" s="8" t="s">
        <v>71</v>
      </c>
      <c r="D40" s="8" t="s">
        <v>186</v>
      </c>
      <c r="F40" s="11">
        <v>45470</v>
      </c>
      <c r="G40" s="11">
        <v>45471</v>
      </c>
      <c r="H40" s="11">
        <v>45474</v>
      </c>
      <c r="I40" s="8" t="s">
        <v>187</v>
      </c>
      <c r="J40" s="8" t="s">
        <v>188</v>
      </c>
      <c r="K40" s="8" t="s">
        <v>189</v>
      </c>
      <c r="L40" s="8" t="s">
        <v>15</v>
      </c>
      <c r="M40" s="32" t="s">
        <v>190</v>
      </c>
      <c r="N40" s="8" t="s">
        <v>75</v>
      </c>
      <c r="O40" s="8" t="s">
        <v>94</v>
      </c>
      <c r="P40" s="28" t="s">
        <v>77</v>
      </c>
      <c r="Q40" s="16" t="s">
        <v>193</v>
      </c>
      <c r="X40" s="8" t="s">
        <v>79</v>
      </c>
      <c r="Y40" s="34">
        <f>IF(X40='Listas suspensas'!$A$21,'Listas suspensas'!$B$23,IF(X40='Listas suspensas'!$A$22,'Listas suspensas'!$B$23,IF(X40='Listas suspensas'!$A$23,'Listas suspensas'!$B$22,IF(X40='Listas suspensas'!$A$26,'Listas suspensas'!$B$22,IF(X40='Listas suspensas'!$A$32,'Listas suspensas'!$B$22,IF(X40='Listas suspensas'!$A$33,'Listas suspensas'!$B$21,IF(X40='Listas suspensas'!$A$24,'Listas suspensas'!$B$22,IF(X40='Listas suspensas'!$A$30,'Listas suspensas'!$B$21,""))))))))</f>
        <v>6.5</v>
      </c>
      <c r="Z40" s="8" t="s">
        <v>80</v>
      </c>
      <c r="AA40" s="8">
        <v>1</v>
      </c>
      <c r="AB40" s="8" t="str">
        <f>IF(AA40='Listas suspensas'!$A$2,'Listas suspensas'!$B$2,IF(AA40='Listas suspensas'!$A$3,'Listas suspensas'!$B$3,IF(AA40='Listas suspensas'!$A$4,'Listas suspensas'!$B$4,IF(AA40='Listas suspensas'!$A$5,'Listas suspensas'!$B$5,IF(AA40='Listas suspensas'!$A$6,'Listas suspensas'!$B$6,"")))))</f>
        <v>Profunda e regular</v>
      </c>
      <c r="AC40" s="8" t="str">
        <f>IF(AA40='Listas suspensas'!$A$2,'Listas suspensas'!$C$2,IF(AA40='Listas suspensas'!$A$3,'Listas suspensas'!$C$3,IF(AA40='Listas suspensas'!$A$4,'Listas suspensas'!$C$4,IF(AA40='Listas suspensas'!$A$5,'Listas suspensas'!$C$5,IF(AA40='Listas suspensas'!$A$6,'Listas suspensas'!$C$6,"")))))</f>
        <v>Indica a penetração profunda e uniforme em toda a extensão do alburno.</v>
      </c>
      <c r="AK40" s="8">
        <v>11.82</v>
      </c>
      <c r="AL40" s="8">
        <v>11.86</v>
      </c>
      <c r="AM40" s="8">
        <v>11.9</v>
      </c>
      <c r="AN40" s="8">
        <v>11.4</v>
      </c>
      <c r="AO40" s="8">
        <v>11.39</v>
      </c>
      <c r="AP40" s="8">
        <f t="shared" si="13"/>
        <v>1.1674</v>
      </c>
      <c r="AQ40" s="8">
        <v>32.450000000000003</v>
      </c>
      <c r="AR40" s="8">
        <v>29.64</v>
      </c>
      <c r="AS40" s="8">
        <v>35.770000000000003</v>
      </c>
      <c r="AT40" s="8">
        <v>30.85</v>
      </c>
      <c r="AU40" s="8">
        <v>37.9</v>
      </c>
      <c r="AV40" s="8">
        <f t="shared" si="14"/>
        <v>3.3322000000000003</v>
      </c>
      <c r="AW40" s="20">
        <v>2.5642</v>
      </c>
      <c r="AX40" s="20">
        <v>2.4577</v>
      </c>
      <c r="AY40" s="20">
        <v>3.0102000000000002</v>
      </c>
      <c r="AZ40" s="20">
        <v>2.4762</v>
      </c>
      <c r="BA40" s="20">
        <v>3.1185</v>
      </c>
      <c r="BB40" s="20">
        <f t="shared" si="15"/>
        <v>2.7253599999999998</v>
      </c>
      <c r="BC40" s="20">
        <f t="shared" si="11"/>
        <v>3.5666485695090326</v>
      </c>
      <c r="BE40" s="14">
        <f t="shared" si="12"/>
        <v>764.12350330752088</v>
      </c>
      <c r="BF40" s="8">
        <v>0.38200000000000001</v>
      </c>
      <c r="BG40" s="8">
        <v>0.193</v>
      </c>
      <c r="BH40" s="8">
        <v>0.36899999999999999</v>
      </c>
      <c r="BI40" s="13">
        <f t="shared" si="16"/>
        <v>0.94399999999999995</v>
      </c>
      <c r="BJ40" s="14">
        <v>40.5</v>
      </c>
      <c r="BK40" s="14">
        <v>20.5</v>
      </c>
      <c r="BL40" s="14">
        <v>39</v>
      </c>
      <c r="BM40" s="16">
        <f t="shared" si="17"/>
        <v>100</v>
      </c>
      <c r="BN40" s="21">
        <f t="shared" si="18"/>
        <v>2.92</v>
      </c>
      <c r="BO40" s="21">
        <f t="shared" si="19"/>
        <v>1.47</v>
      </c>
      <c r="BP40" s="21">
        <f t="shared" si="20"/>
        <v>2.82</v>
      </c>
      <c r="BQ40" s="14">
        <f t="shared" si="21"/>
        <v>7.21</v>
      </c>
      <c r="BR40" s="22" t="str">
        <f>IF(OR(AND(X40="Mourões", BQ40&gt;=6.5),AND(X40="Postes", BQ40&gt;=9.6),AND(X40="Dormentes", BQ40&gt;=9.6),AND(X40="Estacas", BQ40&gt;=6.5),AND(X40="Cruzetas", BQ40&gt;=6.5),AND(X40="Outros - Solo", BQ40&gt;=6.5),AND(X40="Outros - Suspenso",BQ40&gt;=4),AND(X40="Deck",BQ40&gt;=4)),'Listas suspensas'!$C$21,'Listas suspensas'!$C$22)</f>
        <v>Os resultados da análise química apresentaram uma retenção do produto de acordo com o padrão mínimo exigido pela norma ABNT NBR 16143</v>
      </c>
    </row>
    <row r="41" spans="2:70" x14ac:dyDescent="0.25">
      <c r="B41" s="8" t="s">
        <v>194</v>
      </c>
      <c r="C41" s="8" t="s">
        <v>71</v>
      </c>
      <c r="D41" s="8" t="s">
        <v>186</v>
      </c>
      <c r="F41" s="11">
        <v>45482</v>
      </c>
      <c r="G41" s="11">
        <v>45482</v>
      </c>
      <c r="H41" s="11">
        <v>45484</v>
      </c>
      <c r="I41" s="8" t="s">
        <v>187</v>
      </c>
      <c r="J41" s="8" t="s">
        <v>188</v>
      </c>
      <c r="K41" s="8" t="s">
        <v>189</v>
      </c>
      <c r="L41" s="8" t="s">
        <v>15</v>
      </c>
      <c r="M41" s="32" t="s">
        <v>190</v>
      </c>
      <c r="N41" s="8" t="s">
        <v>75</v>
      </c>
      <c r="O41" s="8" t="s">
        <v>94</v>
      </c>
      <c r="P41" s="28" t="s">
        <v>77</v>
      </c>
      <c r="Q41" s="16" t="s">
        <v>195</v>
      </c>
      <c r="X41" s="8" t="s">
        <v>79</v>
      </c>
      <c r="Y41" s="34">
        <f>IF(X41='Listas suspensas'!$A$21,'Listas suspensas'!$B$23,IF(X41='Listas suspensas'!$A$22,'Listas suspensas'!$B$23,IF(X41='Listas suspensas'!$A$23,'Listas suspensas'!$B$22,IF(X41='Listas suspensas'!$A$26,'Listas suspensas'!$B$22,IF(X41='Listas suspensas'!$A$32,'Listas suspensas'!$B$22,IF(X41='Listas suspensas'!$A$33,'Listas suspensas'!$B$21,IF(X41='Listas suspensas'!$A$24,'Listas suspensas'!$B$22,IF(X41='Listas suspensas'!$A$30,'Listas suspensas'!$B$21,""))))))))</f>
        <v>6.5</v>
      </c>
      <c r="Z41" s="8" t="s">
        <v>80</v>
      </c>
      <c r="AA41" s="8">
        <v>1</v>
      </c>
      <c r="AB41" s="8" t="str">
        <f>IF(AA41='Listas suspensas'!$A$2,'Listas suspensas'!$B$2,IF(AA41='Listas suspensas'!$A$3,'Listas suspensas'!$B$3,IF(AA41='Listas suspensas'!$A$4,'Listas suspensas'!$B$4,IF(AA41='Listas suspensas'!$A$5,'Listas suspensas'!$B$5,IF(AA41='Listas suspensas'!$A$6,'Listas suspensas'!$B$6,"")))))</f>
        <v>Profunda e regular</v>
      </c>
      <c r="AC41" s="8" t="str">
        <f>IF(AA41='Listas suspensas'!$A$2,'Listas suspensas'!$C$2,IF(AA41='Listas suspensas'!$A$3,'Listas suspensas'!$C$3,IF(AA41='Listas suspensas'!$A$4,'Listas suspensas'!$C$4,IF(AA41='Listas suspensas'!$A$5,'Listas suspensas'!$C$5,IF(AA41='Listas suspensas'!$A$6,'Listas suspensas'!$C$6,"")))))</f>
        <v>Indica a penetração profunda e uniforme em toda a extensão do alburno.</v>
      </c>
      <c r="AK41" s="8">
        <v>11.8</v>
      </c>
      <c r="AL41" s="8">
        <v>10.52</v>
      </c>
      <c r="AM41" s="8">
        <v>11.88</v>
      </c>
      <c r="AN41" s="8">
        <v>11.89</v>
      </c>
      <c r="AO41" s="8">
        <v>11.75</v>
      </c>
      <c r="AP41" s="8">
        <f t="shared" si="13"/>
        <v>1.1568000000000001</v>
      </c>
      <c r="AQ41" s="8">
        <v>15.12</v>
      </c>
      <c r="AR41" s="8">
        <v>15.5</v>
      </c>
      <c r="AS41" s="8">
        <v>18.829999999999998</v>
      </c>
      <c r="AT41" s="8">
        <v>16.39</v>
      </c>
      <c r="AU41" s="8">
        <v>20.62</v>
      </c>
      <c r="AV41" s="8">
        <f t="shared" si="14"/>
        <v>1.7292000000000001</v>
      </c>
      <c r="AW41" s="20">
        <v>1.4233</v>
      </c>
      <c r="AX41" s="20">
        <v>1.4047000000000001</v>
      </c>
      <c r="AY41" s="20">
        <v>1.6819999999999999</v>
      </c>
      <c r="AZ41" s="20">
        <v>1.4613</v>
      </c>
      <c r="BA41" s="20">
        <v>1.8731</v>
      </c>
      <c r="BB41" s="20">
        <f t="shared" si="15"/>
        <v>1.5688799999999998</v>
      </c>
      <c r="BC41" s="20">
        <f t="shared" si="11"/>
        <v>1.8174047890488014</v>
      </c>
      <c r="BE41" s="14">
        <f t="shared" si="12"/>
        <v>863.25292496952466</v>
      </c>
      <c r="BF41" s="8">
        <v>0.36199999999999999</v>
      </c>
      <c r="BG41" s="8">
        <v>0.16400000000000001</v>
      </c>
      <c r="BH41" s="8">
        <v>0.313</v>
      </c>
      <c r="BI41" s="13">
        <f t="shared" si="16"/>
        <v>0.83899999999999997</v>
      </c>
      <c r="BJ41" s="14">
        <v>43.1</v>
      </c>
      <c r="BK41" s="14">
        <v>19.5</v>
      </c>
      <c r="BL41" s="14">
        <v>37.4</v>
      </c>
      <c r="BM41" s="16">
        <f t="shared" si="17"/>
        <v>100</v>
      </c>
      <c r="BN41" s="21">
        <f t="shared" si="18"/>
        <v>3.12</v>
      </c>
      <c r="BO41" s="21">
        <f t="shared" si="19"/>
        <v>1.42</v>
      </c>
      <c r="BP41" s="21">
        <f t="shared" si="20"/>
        <v>2.7</v>
      </c>
      <c r="BQ41" s="14">
        <f t="shared" si="21"/>
        <v>7.24</v>
      </c>
      <c r="BR41" s="22" t="str">
        <f>IF(OR(AND(X41="Mourões", BQ41&gt;=6.5),AND(X41="Postes", BQ41&gt;=9.6),AND(X41="Dormentes", BQ41&gt;=9.6),AND(X41="Estacas", BQ41&gt;=6.5),AND(X41="Cruzetas", BQ41&gt;=6.5),AND(X41="Outros - Solo", BQ41&gt;=6.5),AND(X41="Outros - Suspenso",BQ41&gt;=4),AND(X41="Deck",BQ41&gt;=4)),'Listas suspensas'!$C$21,'Listas suspensas'!$C$22)</f>
        <v>Os resultados da análise química apresentaram uma retenção do produto de acordo com o padrão mínimo exigido pela norma ABNT NBR 16143</v>
      </c>
    </row>
    <row r="42" spans="2:70" x14ac:dyDescent="0.25">
      <c r="B42" s="8" t="s">
        <v>196</v>
      </c>
      <c r="C42" s="8" t="s">
        <v>71</v>
      </c>
      <c r="D42" s="8" t="s">
        <v>89</v>
      </c>
      <c r="F42" s="11">
        <v>45491</v>
      </c>
      <c r="G42" s="11">
        <v>45491</v>
      </c>
      <c r="H42" s="11">
        <v>45492</v>
      </c>
      <c r="I42" s="8" t="s">
        <v>90</v>
      </c>
      <c r="J42" s="8" t="s">
        <v>91</v>
      </c>
      <c r="K42" s="8" t="s">
        <v>92</v>
      </c>
      <c r="L42" s="8" t="s">
        <v>15</v>
      </c>
      <c r="M42" s="32" t="s">
        <v>93</v>
      </c>
      <c r="N42" s="8" t="s">
        <v>75</v>
      </c>
      <c r="O42" s="8" t="s">
        <v>94</v>
      </c>
      <c r="P42" s="28" t="s">
        <v>174</v>
      </c>
      <c r="Q42" s="16" t="s">
        <v>197</v>
      </c>
      <c r="X42" s="8" t="s">
        <v>79</v>
      </c>
      <c r="Y42" s="34">
        <f>IF(X42='Listas suspensas'!$A$21,'Listas suspensas'!$B$23,IF(X42='Listas suspensas'!$A$22,'Listas suspensas'!$B$23,IF(X42='Listas suspensas'!$A$23,'Listas suspensas'!$B$22,IF(X42='Listas suspensas'!$A$26,'Listas suspensas'!$B$22,IF(X42='Listas suspensas'!$A$32,'Listas suspensas'!$B$22,IF(X42='Listas suspensas'!$A$33,'Listas suspensas'!$B$21,IF(X42='Listas suspensas'!$A$24,'Listas suspensas'!$B$22,IF(X42='Listas suspensas'!$A$30,'Listas suspensas'!$B$21,""))))))))</f>
        <v>6.5</v>
      </c>
      <c r="Z42" s="8" t="s">
        <v>80</v>
      </c>
      <c r="AA42" s="8">
        <v>1</v>
      </c>
      <c r="AB42" s="8" t="str">
        <f>IF(AA42='Listas suspensas'!$A$2,'Listas suspensas'!$B$2,IF(AA42='Listas suspensas'!$A$3,'Listas suspensas'!$B$3,IF(AA42='Listas suspensas'!$A$4,'Listas suspensas'!$B$4,IF(AA42='Listas suspensas'!$A$5,'Listas suspensas'!$B$5,IF(AA42='Listas suspensas'!$A$6,'Listas suspensas'!$B$6,"")))))</f>
        <v>Profunda e regular</v>
      </c>
      <c r="AC42" s="8" t="str">
        <f>IF(AA42='Listas suspensas'!$A$2,'Listas suspensas'!$C$2,IF(AA42='Listas suspensas'!$A$3,'Listas suspensas'!$C$3,IF(AA42='Listas suspensas'!$A$4,'Listas suspensas'!$C$4,IF(AA42='Listas suspensas'!$A$5,'Listas suspensas'!$C$5,IF(AA42='Listas suspensas'!$A$6,'Listas suspensas'!$C$6,"")))))</f>
        <v>Indica a penetração profunda e uniforme em toda a extensão do alburno.</v>
      </c>
      <c r="AK42" s="8">
        <v>11.99</v>
      </c>
      <c r="AL42" s="8">
        <v>11.98</v>
      </c>
      <c r="AM42" s="8">
        <v>11.93</v>
      </c>
      <c r="AN42" s="8">
        <v>11.93</v>
      </c>
      <c r="AO42" s="8">
        <v>11.98</v>
      </c>
      <c r="AP42" s="8">
        <f t="shared" si="13"/>
        <v>1.1961999999999999</v>
      </c>
      <c r="AQ42" s="8">
        <v>26.94</v>
      </c>
      <c r="AR42" s="8">
        <v>26.62</v>
      </c>
      <c r="AS42" s="8">
        <v>24.79</v>
      </c>
      <c r="AT42" s="8">
        <v>24.78</v>
      </c>
      <c r="AU42" s="8">
        <v>25.36</v>
      </c>
      <c r="AV42" s="8">
        <f t="shared" si="14"/>
        <v>2.5697999999999999</v>
      </c>
      <c r="AW42" s="20">
        <v>2.5089999999999999</v>
      </c>
      <c r="AX42" s="20">
        <v>2.4958999999999998</v>
      </c>
      <c r="AY42" s="20">
        <v>2.2988</v>
      </c>
      <c r="AZ42" s="20">
        <v>2.3479000000000001</v>
      </c>
      <c r="BA42" s="20">
        <v>2.4339</v>
      </c>
      <c r="BB42" s="20">
        <f t="shared" si="15"/>
        <v>2.4170999999999996</v>
      </c>
      <c r="BC42" s="20">
        <f t="shared" si="11"/>
        <v>2.8879974291694253</v>
      </c>
      <c r="BE42" s="14">
        <f t="shared" si="12"/>
        <v>836.94672841005479</v>
      </c>
      <c r="BF42" s="8">
        <v>0.27600000000000002</v>
      </c>
      <c r="BG42" s="8">
        <v>0.161</v>
      </c>
      <c r="BH42" s="8">
        <v>0.30299999999999999</v>
      </c>
      <c r="BI42" s="13">
        <f t="shared" si="16"/>
        <v>0.74</v>
      </c>
      <c r="BJ42" s="14">
        <v>37.299999999999997</v>
      </c>
      <c r="BK42" s="14">
        <v>21.7</v>
      </c>
      <c r="BL42" s="14">
        <v>41</v>
      </c>
      <c r="BM42" s="16">
        <f t="shared" si="17"/>
        <v>100</v>
      </c>
      <c r="BN42" s="21">
        <f t="shared" si="18"/>
        <v>2.31</v>
      </c>
      <c r="BO42" s="21">
        <f t="shared" si="19"/>
        <v>1.35</v>
      </c>
      <c r="BP42" s="21">
        <f t="shared" si="20"/>
        <v>2.54</v>
      </c>
      <c r="BQ42" s="14">
        <f t="shared" si="21"/>
        <v>6.2</v>
      </c>
      <c r="BR42" s="22" t="str">
        <f>IF(OR(AND(X42="Mourões", BQ42&gt;=6.5),AND(X42="Postes", BQ42&gt;=9.6),AND(X42="Dormentes", BQ42&gt;=9.6),AND(X42="Estacas", BQ42&gt;=6.5),AND(X42="Cruzetas", BQ42&gt;=6.5),AND(X42="Outros - Solo", BQ42&gt;=6.5),AND(X42="Outros - Suspenso",BQ42&gt;=4),AND(X42="Deck",BQ42&gt;=4)),'Listas suspensas'!$C$21,'Listas suspensas'!$C$22)</f>
        <v>Os resultados da análise química apresentaram uma retenção do produto inferior ao padrão mínimo exigido pela norma ABNT NBR 16143</v>
      </c>
    </row>
    <row r="43" spans="2:70" x14ac:dyDescent="0.25">
      <c r="B43" s="8" t="s">
        <v>198</v>
      </c>
      <c r="C43" s="8" t="s">
        <v>71</v>
      </c>
      <c r="D43" s="8" t="s">
        <v>199</v>
      </c>
      <c r="F43" s="11">
        <v>45491</v>
      </c>
      <c r="G43" s="11">
        <v>45492</v>
      </c>
      <c r="H43" s="11">
        <v>45496</v>
      </c>
      <c r="I43" s="8" t="s">
        <v>200</v>
      </c>
      <c r="J43" s="8" t="s">
        <v>201</v>
      </c>
      <c r="K43" s="8" t="s">
        <v>202</v>
      </c>
      <c r="L43" s="8" t="s">
        <v>15</v>
      </c>
      <c r="M43" s="32" t="s">
        <v>203</v>
      </c>
      <c r="N43" s="8" t="s">
        <v>75</v>
      </c>
      <c r="O43" s="8" t="s">
        <v>76</v>
      </c>
      <c r="P43" s="28" t="s">
        <v>146</v>
      </c>
      <c r="Q43" s="16" t="s">
        <v>204</v>
      </c>
      <c r="X43" s="8" t="s">
        <v>79</v>
      </c>
      <c r="Y43" s="34">
        <f>IF(X43='Listas suspensas'!$A$21,'Listas suspensas'!$B$23,IF(X43='Listas suspensas'!$A$22,'Listas suspensas'!$B$23,IF(X43='Listas suspensas'!$A$23,'Listas suspensas'!$B$22,IF(X43='Listas suspensas'!$A$26,'Listas suspensas'!$B$22,IF(X43='Listas suspensas'!$A$32,'Listas suspensas'!$B$22,IF(X43='Listas suspensas'!$A$33,'Listas suspensas'!$B$21,IF(X43='Listas suspensas'!$A$24,'Listas suspensas'!$B$22,IF(X43='Listas suspensas'!$A$30,'Listas suspensas'!$B$21,""))))))))</f>
        <v>6.5</v>
      </c>
      <c r="Z43" s="8" t="s">
        <v>80</v>
      </c>
      <c r="AA43" s="8">
        <v>2</v>
      </c>
      <c r="AB43" s="8" t="str">
        <f>IF(AA43='Listas suspensas'!$A$2,'Listas suspensas'!$B$2,IF(AA43='Listas suspensas'!$A$3,'Listas suspensas'!$B$3,IF(AA43='Listas suspensas'!$A$4,'Listas suspensas'!$B$4,IF(AA43='Listas suspensas'!$A$5,'Listas suspensas'!$B$5,IF(AA43='Listas suspensas'!$A$6,'Listas suspensas'!$B$6,"")))))</f>
        <v>Profunda e irregular</v>
      </c>
      <c r="AC43" s="8" t="str">
        <f>IF(AA43='Listas suspensas'!$A$2,'Listas suspensas'!$C$2,IF(AA43='Listas suspensas'!$A$3,'Listas suspensas'!$C$3,IF(AA43='Listas suspensas'!$A$4,'Listas suspensas'!$C$4,IF(AA43='Listas suspensas'!$A$5,'Listas suspensas'!$C$5,IF(AA43='Listas suspensas'!$A$6,'Listas suspensas'!$C$6,"")))))</f>
        <v>Indica a penetração profunda, mas desuniforme em toda a extensão do alburno.</v>
      </c>
      <c r="AK43" s="8">
        <v>11.74</v>
      </c>
      <c r="AL43" s="8">
        <v>11.71</v>
      </c>
      <c r="AM43" s="8">
        <v>11.89</v>
      </c>
      <c r="AN43" s="8">
        <v>11.74</v>
      </c>
      <c r="AO43" s="8">
        <v>11.77</v>
      </c>
      <c r="AP43" s="8">
        <f t="shared" si="13"/>
        <v>1.177</v>
      </c>
      <c r="AQ43" s="8">
        <v>16.03</v>
      </c>
      <c r="AR43" s="8">
        <v>15.27</v>
      </c>
      <c r="AS43" s="8">
        <v>17.97</v>
      </c>
      <c r="AT43" s="8">
        <v>19.489999999999998</v>
      </c>
      <c r="AU43" s="8">
        <v>19.48</v>
      </c>
      <c r="AV43" s="8">
        <f t="shared" si="14"/>
        <v>1.7647999999999999</v>
      </c>
      <c r="AW43" s="20">
        <v>1.119</v>
      </c>
      <c r="AX43" s="20">
        <v>1.0727</v>
      </c>
      <c r="AY43" s="20">
        <v>1.2677</v>
      </c>
      <c r="AZ43" s="20">
        <v>1.4014</v>
      </c>
      <c r="BA43" s="20">
        <v>1.4073</v>
      </c>
      <c r="BB43" s="20">
        <f t="shared" si="15"/>
        <v>1.2536200000000002</v>
      </c>
      <c r="BC43" s="20">
        <f t="shared" si="11"/>
        <v>1.9201639073411991</v>
      </c>
      <c r="BE43" s="14">
        <f t="shared" si="12"/>
        <v>652.87134874639696</v>
      </c>
      <c r="BF43" s="8">
        <v>0.47199999999999998</v>
      </c>
      <c r="BG43" s="8">
        <v>0.22500000000000001</v>
      </c>
      <c r="BH43" s="8">
        <v>0.43099999999999999</v>
      </c>
      <c r="BI43" s="13">
        <f t="shared" si="16"/>
        <v>1.1279999999999999</v>
      </c>
      <c r="BJ43" s="14">
        <v>41.8</v>
      </c>
      <c r="BK43" s="14">
        <v>20</v>
      </c>
      <c r="BL43" s="14">
        <v>38.200000000000003</v>
      </c>
      <c r="BM43" s="16">
        <f t="shared" si="17"/>
        <v>100</v>
      </c>
      <c r="BN43" s="21">
        <f t="shared" si="18"/>
        <v>3.08</v>
      </c>
      <c r="BO43" s="21">
        <f t="shared" si="19"/>
        <v>1.47</v>
      </c>
      <c r="BP43" s="21">
        <f t="shared" si="20"/>
        <v>2.81</v>
      </c>
      <c r="BQ43" s="14">
        <f t="shared" si="21"/>
        <v>7.36</v>
      </c>
      <c r="BR43" s="22" t="str">
        <f>IF(OR(AND(X43="Mourões", BQ43&gt;=6.5),AND(X43="Postes", BQ43&gt;=9.6),AND(X43="Dormentes", BQ43&gt;=9.6),AND(X43="Estacas", BQ43&gt;=6.5),AND(X43="Cruzetas", BQ43&gt;=6.5),AND(X43="Outros - Solo", BQ43&gt;=6.5),AND(X43="Outros - Suspenso",BQ43&gt;=4),AND(X43="Deck",BQ43&gt;=4)),'Listas suspensas'!$C$21,'Listas suspensas'!$C$22)</f>
        <v>Os resultados da análise química apresentaram uma retenção do produto de acordo com o padrão mínimo exigido pela norma ABNT NBR 16143</v>
      </c>
    </row>
    <row r="44" spans="2:70" x14ac:dyDescent="0.25">
      <c r="B44" s="8" t="s">
        <v>205</v>
      </c>
      <c r="C44" s="8" t="s">
        <v>71</v>
      </c>
      <c r="D44" s="8" t="s">
        <v>199</v>
      </c>
      <c r="F44" s="11">
        <v>45491</v>
      </c>
      <c r="G44" s="11">
        <v>45492</v>
      </c>
      <c r="H44" s="11">
        <v>45496</v>
      </c>
      <c r="I44" s="8" t="s">
        <v>200</v>
      </c>
      <c r="J44" s="8" t="s">
        <v>201</v>
      </c>
      <c r="K44" s="8" t="s">
        <v>202</v>
      </c>
      <c r="L44" s="8" t="s">
        <v>15</v>
      </c>
      <c r="M44" s="30" t="s">
        <v>203</v>
      </c>
      <c r="N44" s="8" t="s">
        <v>75</v>
      </c>
      <c r="O44" s="8" t="s">
        <v>76</v>
      </c>
      <c r="P44" s="28" t="s">
        <v>146</v>
      </c>
      <c r="Q44" s="16" t="s">
        <v>206</v>
      </c>
      <c r="X44" s="8" t="s">
        <v>79</v>
      </c>
      <c r="Y44" s="34">
        <f>IF(X44='Listas suspensas'!$A$21,'Listas suspensas'!$B$23,IF(X44='Listas suspensas'!$A$22,'Listas suspensas'!$B$23,IF(X44='Listas suspensas'!$A$23,'Listas suspensas'!$B$22,IF(X44='Listas suspensas'!$A$26,'Listas suspensas'!$B$22,IF(X44='Listas suspensas'!$A$32,'Listas suspensas'!$B$22,IF(X44='Listas suspensas'!$A$33,'Listas suspensas'!$B$21,IF(X44='Listas suspensas'!$A$24,'Listas suspensas'!$B$22,IF(X44='Listas suspensas'!$A$30,'Listas suspensas'!$B$21,""))))))))</f>
        <v>6.5</v>
      </c>
      <c r="Z44" s="8" t="s">
        <v>80</v>
      </c>
      <c r="AA44" s="8">
        <v>1</v>
      </c>
      <c r="AB44" s="8" t="str">
        <f>IF(AA44='Listas suspensas'!$A$2,'Listas suspensas'!$B$2,IF(AA44='Listas suspensas'!$A$3,'Listas suspensas'!$B$3,IF(AA44='Listas suspensas'!$A$4,'Listas suspensas'!$B$4,IF(AA44='Listas suspensas'!$A$5,'Listas suspensas'!$B$5,IF(AA44='Listas suspensas'!$A$6,'Listas suspensas'!$B$6,"")))))</f>
        <v>Profunda e regular</v>
      </c>
      <c r="AC44" s="8" t="str">
        <f>IF(AA44='Listas suspensas'!$A$2,'Listas suspensas'!$C$2,IF(AA44='Listas suspensas'!$A$3,'Listas suspensas'!$C$3,IF(AA44='Listas suspensas'!$A$4,'Listas suspensas'!$C$4,IF(AA44='Listas suspensas'!$A$5,'Listas suspensas'!$C$5,IF(AA44='Listas suspensas'!$A$6,'Listas suspensas'!$C$6,"")))))</f>
        <v>Indica a penetração profunda e uniforme em toda a extensão do alburno.</v>
      </c>
      <c r="AK44" s="8">
        <v>11.69</v>
      </c>
      <c r="AL44" s="8">
        <v>11.76</v>
      </c>
      <c r="AM44" s="8">
        <v>11.67</v>
      </c>
      <c r="AN44" s="8">
        <v>11.78</v>
      </c>
      <c r="AO44" s="8">
        <v>11.72</v>
      </c>
      <c r="AP44" s="8">
        <f t="shared" si="0"/>
        <v>1.1724000000000001</v>
      </c>
      <c r="AQ44" s="8">
        <v>13.94</v>
      </c>
      <c r="AR44" s="8">
        <v>13.51</v>
      </c>
      <c r="AS44" s="8">
        <v>12.5</v>
      </c>
      <c r="AT44" s="8">
        <v>12.64</v>
      </c>
      <c r="AU44" s="8">
        <v>13.04</v>
      </c>
      <c r="AV44" s="8">
        <f t="shared" si="1"/>
        <v>1.3126</v>
      </c>
      <c r="AW44" s="20">
        <v>0.81310000000000004</v>
      </c>
      <c r="AX44" s="20">
        <v>0.78180000000000005</v>
      </c>
      <c r="AY44" s="20">
        <v>0.74590000000000001</v>
      </c>
      <c r="AZ44" s="20">
        <v>0.83299999999999996</v>
      </c>
      <c r="BA44" s="20">
        <v>0.78490000000000004</v>
      </c>
      <c r="BB44" s="20">
        <f t="shared" si="2"/>
        <v>0.79174</v>
      </c>
      <c r="BC44" s="20">
        <f t="shared" si="11"/>
        <v>1.4170132161197351</v>
      </c>
      <c r="BE44" s="18">
        <f t="shared" si="12"/>
        <v>558.73861372165163</v>
      </c>
      <c r="BF44" s="8">
        <v>0.79600000000000004</v>
      </c>
      <c r="BG44" s="8">
        <v>0.32100000000000001</v>
      </c>
      <c r="BH44" s="8">
        <v>0.55900000000000005</v>
      </c>
      <c r="BI44" s="13">
        <f t="shared" si="5"/>
        <v>1.6760000000000002</v>
      </c>
      <c r="BJ44" s="14">
        <v>47.5</v>
      </c>
      <c r="BK44" s="14">
        <v>19.100000000000001</v>
      </c>
      <c r="BL44" s="14">
        <v>33.4</v>
      </c>
      <c r="BM44" s="16">
        <f t="shared" si="6"/>
        <v>100</v>
      </c>
      <c r="BN44" s="21">
        <f t="shared" si="7"/>
        <v>4.45</v>
      </c>
      <c r="BO44" s="21">
        <f t="shared" si="8"/>
        <v>1.79</v>
      </c>
      <c r="BP44" s="21">
        <f t="shared" si="9"/>
        <v>3.12</v>
      </c>
      <c r="BQ44" s="14">
        <f t="shared" si="10"/>
        <v>9.36</v>
      </c>
      <c r="BR44" s="22" t="str">
        <f>IF(OR(AND(X44="Mourões", BQ44&gt;=6.5),AND(X44="Postes", BQ44&gt;=9.6),AND(X44="Dormentes", BQ44&gt;=9.6),AND(X44="Estacas", BQ44&gt;=6.5),AND(X44="Cruzetas", BQ44&gt;=6.5),AND(X44="Outros - Solo", BQ44&gt;=6.5),AND(X44="Outros - Suspenso",BQ44&gt;=4),AND(X44="Deck",BQ44&gt;=4)),'Listas suspensas'!$C$21,'Listas suspensas'!$C$22)</f>
        <v>Os resultados da análise química apresentaram uma retenção do produto de acordo com o padrão mínimo exigido pela norma ABNT NBR 16143</v>
      </c>
    </row>
    <row r="45" spans="2:70" x14ac:dyDescent="0.25">
      <c r="B45" s="8" t="s">
        <v>207</v>
      </c>
      <c r="C45" s="8" t="s">
        <v>71</v>
      </c>
      <c r="D45" s="8" t="s">
        <v>186</v>
      </c>
      <c r="F45" s="11">
        <v>45518</v>
      </c>
      <c r="G45" s="11">
        <v>45518</v>
      </c>
      <c r="H45" s="11">
        <v>45518</v>
      </c>
      <c r="I45" s="8" t="s">
        <v>187</v>
      </c>
      <c r="J45" s="8" t="s">
        <v>188</v>
      </c>
      <c r="K45" s="8" t="s">
        <v>189</v>
      </c>
      <c r="L45" s="8" t="s">
        <v>15</v>
      </c>
      <c r="M45" s="30" t="s">
        <v>190</v>
      </c>
      <c r="N45" s="8" t="s">
        <v>75</v>
      </c>
      <c r="O45" s="8" t="s">
        <v>94</v>
      </c>
      <c r="P45" s="28" t="s">
        <v>77</v>
      </c>
      <c r="Q45" s="16" t="s">
        <v>208</v>
      </c>
      <c r="X45" s="8" t="s">
        <v>79</v>
      </c>
      <c r="Y45" s="34">
        <f>IF(X45='Listas suspensas'!$A$21,'Listas suspensas'!$B$23,IF(X45='Listas suspensas'!$A$22,'Listas suspensas'!$B$23,IF(X45='Listas suspensas'!$A$23,'Listas suspensas'!$B$22,IF(X45='Listas suspensas'!$A$26,'Listas suspensas'!$B$22,IF(X45='Listas suspensas'!$A$32,'Listas suspensas'!$B$22,IF(X45='Listas suspensas'!$A$33,'Listas suspensas'!$B$21,IF(X45='Listas suspensas'!$A$24,'Listas suspensas'!$B$22,IF(X45='Listas suspensas'!$A$30,'Listas suspensas'!$B$21,""))))))))</f>
        <v>6.5</v>
      </c>
      <c r="Z45" s="8" t="s">
        <v>80</v>
      </c>
      <c r="AA45" s="8">
        <v>1</v>
      </c>
      <c r="AB45" s="8" t="str">
        <f>IF(AA45='Listas suspensas'!$A$2,'Listas suspensas'!$B$2,IF(AA45='Listas suspensas'!$A$3,'Listas suspensas'!$B$3,IF(AA45='Listas suspensas'!$A$4,'Listas suspensas'!$B$4,IF(AA45='Listas suspensas'!$A$5,'Listas suspensas'!$B$5,IF(AA45='Listas suspensas'!$A$6,'Listas suspensas'!$B$6,"")))))</f>
        <v>Profunda e regular</v>
      </c>
      <c r="AC45" s="8" t="str">
        <f>IF(AA45='Listas suspensas'!$A$2,'Listas suspensas'!$C$2,IF(AA45='Listas suspensas'!$A$3,'Listas suspensas'!$C$3,IF(AA45='Listas suspensas'!$A$4,'Listas suspensas'!$C$4,IF(AA45='Listas suspensas'!$A$5,'Listas suspensas'!$C$5,IF(AA45='Listas suspensas'!$A$6,'Listas suspensas'!$C$6,"")))))</f>
        <v>Indica a penetração profunda e uniforme em toda a extensão do alburno.</v>
      </c>
      <c r="AK45" s="8">
        <v>11.76</v>
      </c>
      <c r="AL45" s="8">
        <v>11.78</v>
      </c>
      <c r="AM45" s="8">
        <v>11.84</v>
      </c>
      <c r="AN45" s="8">
        <v>11.85</v>
      </c>
      <c r="AO45" s="8">
        <v>11.79</v>
      </c>
      <c r="AP45" s="8">
        <f t="shared" si="0"/>
        <v>1.1803999999999999</v>
      </c>
      <c r="AQ45" s="8">
        <v>28.32</v>
      </c>
      <c r="AR45" s="8">
        <v>27.45</v>
      </c>
      <c r="AS45" s="8">
        <v>28.7</v>
      </c>
      <c r="AT45" s="8">
        <v>27.7</v>
      </c>
      <c r="AU45" s="8">
        <v>26.77</v>
      </c>
      <c r="AV45" s="8">
        <f t="shared" si="1"/>
        <v>2.7787999999999999</v>
      </c>
      <c r="AW45" s="20">
        <v>2.5222000000000002</v>
      </c>
      <c r="AX45" s="20">
        <v>2.4445999999999999</v>
      </c>
      <c r="AY45" s="20">
        <v>2.5493999999999999</v>
      </c>
      <c r="AZ45" s="20">
        <v>2.4809000000000001</v>
      </c>
      <c r="BA45" s="20">
        <v>2.359</v>
      </c>
      <c r="BB45" s="20">
        <f t="shared" si="2"/>
        <v>2.4712199999999998</v>
      </c>
      <c r="BC45" s="20">
        <f t="shared" si="11"/>
        <v>3.0409240490667839</v>
      </c>
      <c r="BE45" s="18">
        <f t="shared" si="12"/>
        <v>812.65429853744024</v>
      </c>
      <c r="BF45" s="8">
        <v>0.376</v>
      </c>
      <c r="BG45" s="8">
        <v>0.20599999999999999</v>
      </c>
      <c r="BH45" s="8">
        <v>0.378</v>
      </c>
      <c r="BI45" s="13">
        <f t="shared" si="5"/>
        <v>0.96</v>
      </c>
      <c r="BJ45" s="14">
        <v>39.200000000000003</v>
      </c>
      <c r="BK45" s="14">
        <v>21.4</v>
      </c>
      <c r="BL45" s="14">
        <v>39.4</v>
      </c>
      <c r="BM45" s="16">
        <f t="shared" si="6"/>
        <v>100</v>
      </c>
      <c r="BN45" s="21">
        <f t="shared" si="7"/>
        <v>3.06</v>
      </c>
      <c r="BO45" s="21">
        <f t="shared" si="8"/>
        <v>1.67</v>
      </c>
      <c r="BP45" s="21">
        <f t="shared" si="9"/>
        <v>3.07</v>
      </c>
      <c r="BQ45" s="14">
        <f t="shared" si="10"/>
        <v>7.8</v>
      </c>
      <c r="BR45" s="22" t="str">
        <f>IF(OR(AND(X45="Mourões", BQ45&gt;=6.5),AND(X45="Postes", BQ45&gt;=9.6),AND(X45="Dormentes", BQ45&gt;=9.6),AND(X45="Estacas", BQ45&gt;=6.5),AND(X45="Cruzetas", BQ45&gt;=6.5),AND(X45="Outros - Solo", BQ45&gt;=6.5),AND(X45="Outros - Suspenso",BQ45&gt;=4),AND(X45="Deck",BQ45&gt;=4)),'Listas suspensas'!$C$21,'Listas suspensas'!$C$22)</f>
        <v>Os resultados da análise química apresentaram uma retenção do produto de acordo com o padrão mínimo exigido pela norma ABNT NBR 16143</v>
      </c>
    </row>
    <row r="46" spans="2:70" x14ac:dyDescent="0.25">
      <c r="B46" s="8" t="s">
        <v>209</v>
      </c>
      <c r="C46" s="8" t="s">
        <v>71</v>
      </c>
      <c r="D46" s="8" t="s">
        <v>186</v>
      </c>
      <c r="F46" s="11">
        <v>45525</v>
      </c>
      <c r="G46" s="11">
        <v>45525</v>
      </c>
      <c r="H46" s="11">
        <v>45527</v>
      </c>
      <c r="I46" s="8" t="s">
        <v>187</v>
      </c>
      <c r="J46" s="8" t="s">
        <v>188</v>
      </c>
      <c r="K46" s="8" t="s">
        <v>189</v>
      </c>
      <c r="L46" s="8" t="s">
        <v>15</v>
      </c>
      <c r="M46" s="30" t="s">
        <v>190</v>
      </c>
      <c r="N46" s="8" t="s">
        <v>75</v>
      </c>
      <c r="O46" s="8" t="s">
        <v>94</v>
      </c>
      <c r="P46" s="28" t="s">
        <v>77</v>
      </c>
      <c r="Q46" s="16" t="s">
        <v>210</v>
      </c>
      <c r="X46" s="8" t="s">
        <v>79</v>
      </c>
      <c r="Y46" s="34">
        <f>IF(X46='Listas suspensas'!$A$21,'Listas suspensas'!$B$23,IF(X46='Listas suspensas'!$A$22,'Listas suspensas'!$B$23,IF(X46='Listas suspensas'!$A$23,'Listas suspensas'!$B$22,IF(X46='Listas suspensas'!$A$26,'Listas suspensas'!$B$22,IF(X46='Listas suspensas'!$A$32,'Listas suspensas'!$B$22,IF(X46='Listas suspensas'!$A$33,'Listas suspensas'!$B$21,IF(X46='Listas suspensas'!$A$24,'Listas suspensas'!$B$22,IF(X46='Listas suspensas'!$A$30,'Listas suspensas'!$B$21,""))))))))</f>
        <v>6.5</v>
      </c>
      <c r="Z46" s="8" t="s">
        <v>80</v>
      </c>
      <c r="AA46" s="8">
        <v>1</v>
      </c>
      <c r="AB46" s="8" t="str">
        <f>IF(AA46='Listas suspensas'!$A$2,'Listas suspensas'!$B$2,IF(AA46='Listas suspensas'!$A$3,'Listas suspensas'!$B$3,IF(AA46='Listas suspensas'!$A$4,'Listas suspensas'!$B$4,IF(AA46='Listas suspensas'!$A$5,'Listas suspensas'!$B$5,IF(AA46='Listas suspensas'!$A$6,'Listas suspensas'!$B$6,"")))))</f>
        <v>Profunda e regular</v>
      </c>
      <c r="AC46" s="8" t="str">
        <f>IF(AA46='Listas suspensas'!$A$2,'Listas suspensas'!$C$2,IF(AA46='Listas suspensas'!$A$3,'Listas suspensas'!$C$3,IF(AA46='Listas suspensas'!$A$4,'Listas suspensas'!$C$4,IF(AA46='Listas suspensas'!$A$5,'Listas suspensas'!$C$5,IF(AA46='Listas suspensas'!$A$6,'Listas suspensas'!$C$6,"")))))</f>
        <v>Indica a penetração profunda e uniforme em toda a extensão do alburno.</v>
      </c>
      <c r="AK46" s="8">
        <v>11.58</v>
      </c>
      <c r="AL46" s="8">
        <v>11.64</v>
      </c>
      <c r="AM46" s="8">
        <v>11.68</v>
      </c>
      <c r="AN46" s="8">
        <v>11.63</v>
      </c>
      <c r="AO46" s="8">
        <v>11.82</v>
      </c>
      <c r="AP46" s="8">
        <f t="shared" si="0"/>
        <v>1.167</v>
      </c>
      <c r="AQ46" s="8">
        <v>22.72</v>
      </c>
      <c r="AR46" s="8">
        <v>27.48</v>
      </c>
      <c r="AS46" s="8">
        <v>23.19</v>
      </c>
      <c r="AT46" s="8">
        <v>22.62</v>
      </c>
      <c r="AU46" s="8">
        <v>29.39</v>
      </c>
      <c r="AV46" s="8">
        <f t="shared" si="1"/>
        <v>2.508</v>
      </c>
      <c r="AW46" s="20">
        <v>2.0253000000000001</v>
      </c>
      <c r="AX46" s="20">
        <v>2.3976000000000002</v>
      </c>
      <c r="AY46" s="20">
        <v>2.0649999999999999</v>
      </c>
      <c r="AZ46" s="20">
        <v>1.9621999999999999</v>
      </c>
      <c r="BA46" s="20">
        <v>2.5150999999999999</v>
      </c>
      <c r="BB46" s="20">
        <f t="shared" si="2"/>
        <v>2.1930399999999999</v>
      </c>
      <c r="BC46" s="20">
        <f t="shared" si="11"/>
        <v>2.6826197993327785</v>
      </c>
      <c r="BE46" s="18">
        <f t="shared" si="12"/>
        <v>817.49937152683844</v>
      </c>
      <c r="BF46" s="8">
        <v>0.39</v>
      </c>
      <c r="BG46" s="8">
        <v>0.20100000000000001</v>
      </c>
      <c r="BH46" s="8">
        <v>0.35799999999999998</v>
      </c>
      <c r="BI46" s="13">
        <f t="shared" si="5"/>
        <v>0.94899999999999995</v>
      </c>
      <c r="BJ46" s="14">
        <v>41.1</v>
      </c>
      <c r="BK46" s="14">
        <v>21.2</v>
      </c>
      <c r="BL46" s="14">
        <v>37.700000000000003</v>
      </c>
      <c r="BM46" s="16">
        <f t="shared" si="6"/>
        <v>100</v>
      </c>
      <c r="BN46" s="21">
        <f t="shared" si="7"/>
        <v>3.19</v>
      </c>
      <c r="BO46" s="21">
        <f t="shared" si="8"/>
        <v>1.64</v>
      </c>
      <c r="BP46" s="21">
        <f t="shared" si="9"/>
        <v>2.93</v>
      </c>
      <c r="BQ46" s="14">
        <f t="shared" si="10"/>
        <v>7.76</v>
      </c>
      <c r="BR46" s="22" t="str">
        <f>IF(OR(AND(X46="Mourões", BQ46&gt;=6.5),AND(X46="Postes", BQ46&gt;=9.6),AND(X46="Dormentes", BQ46&gt;=9.6),AND(X46="Estacas", BQ46&gt;=6.5),AND(X46="Cruzetas", BQ46&gt;=6.5),AND(X46="Outros - Solo", BQ46&gt;=6.5),AND(X46="Outros - Suspenso",BQ46&gt;=4),AND(X46="Deck",BQ46&gt;=4)),'Listas suspensas'!$C$21,'Listas suspensas'!$C$22)</f>
        <v>Os resultados da análise química apresentaram uma retenção do produto de acordo com o padrão mínimo exigido pela norma ABNT NBR 16143</v>
      </c>
    </row>
    <row r="47" spans="2:70" x14ac:dyDescent="0.25">
      <c r="B47" s="8" t="s">
        <v>211</v>
      </c>
      <c r="C47" s="8" t="s">
        <v>71</v>
      </c>
      <c r="F47" s="11">
        <v>45546</v>
      </c>
      <c r="G47" s="11">
        <v>45546</v>
      </c>
      <c r="H47" s="11">
        <v>45548</v>
      </c>
      <c r="I47" s="8" t="s">
        <v>212</v>
      </c>
      <c r="J47" s="8" t="s">
        <v>213</v>
      </c>
      <c r="K47" s="8" t="s">
        <v>74</v>
      </c>
      <c r="L47" s="8" t="s">
        <v>15</v>
      </c>
      <c r="M47" s="30" t="s">
        <v>214</v>
      </c>
      <c r="N47" s="8" t="s">
        <v>75</v>
      </c>
      <c r="O47" s="8" t="s">
        <v>76</v>
      </c>
      <c r="P47" s="28" t="s">
        <v>215</v>
      </c>
      <c r="Q47" s="16" t="s">
        <v>216</v>
      </c>
      <c r="X47" s="8" t="s">
        <v>79</v>
      </c>
      <c r="Y47" s="34">
        <f>IF(X47='Listas suspensas'!$A$21,'Listas suspensas'!$B$23,IF(X47='Listas suspensas'!$A$22,'Listas suspensas'!$B$23,IF(X47='Listas suspensas'!$A$23,'Listas suspensas'!$B$22,IF(X47='Listas suspensas'!$A$26,'Listas suspensas'!$B$22,IF(X47='Listas suspensas'!$A$32,'Listas suspensas'!$B$22,IF(X47='Listas suspensas'!$A$33,'Listas suspensas'!$B$21,IF(X47='Listas suspensas'!$A$24,'Listas suspensas'!$B$22,IF(X47='Listas suspensas'!$A$30,'Listas suspensas'!$B$21,""))))))))</f>
        <v>6.5</v>
      </c>
      <c r="Z47" s="8" t="s">
        <v>80</v>
      </c>
      <c r="AA47" s="8">
        <v>5</v>
      </c>
      <c r="AB47" s="8" t="str">
        <f>IF(AA47='Listas suspensas'!$A$2,'Listas suspensas'!$B$2,IF(AA47='Listas suspensas'!$A$3,'Listas suspensas'!$B$3,IF(AA47='Listas suspensas'!$A$4,'Listas suspensas'!$B$4,IF(AA47='Listas suspensas'!$A$5,'Listas suspensas'!$B$5,IF(AA47='Listas suspensas'!$A$6,'Listas suspensas'!$B$6,"")))))</f>
        <v>Sem Reação do Cromoazurol</v>
      </c>
      <c r="AC47" s="8" t="str">
        <f>IF(AA47='Listas suspensas'!$A$2,'Listas suspensas'!$C$2,IF(AA47='Listas suspensas'!$A$3,'Listas suspensas'!$C$3,IF(AA47='Listas suspensas'!$A$4,'Listas suspensas'!$C$4,IF(AA47='Listas suspensas'!$A$5,'Listas suspensas'!$C$5,IF(AA47='Listas suspensas'!$A$6,'Listas suspensas'!$C$6,"")))))</f>
        <v>Sem Reação do Cromoazurol</v>
      </c>
      <c r="AK47" s="8">
        <v>11.76</v>
      </c>
      <c r="AL47" s="8">
        <v>11.86</v>
      </c>
      <c r="AM47" s="8">
        <v>11.5</v>
      </c>
      <c r="AN47" s="8">
        <v>11.8</v>
      </c>
      <c r="AO47" s="8">
        <v>11.6</v>
      </c>
      <c r="AP47" s="8">
        <f t="shared" si="0"/>
        <v>1.1704000000000001</v>
      </c>
      <c r="AQ47" s="8">
        <v>10.53</v>
      </c>
      <c r="AR47" s="8">
        <v>9.49</v>
      </c>
      <c r="AS47" s="8">
        <v>9.8800000000000008</v>
      </c>
      <c r="AT47" s="8">
        <v>11.42</v>
      </c>
      <c r="AU47" s="8">
        <v>10.31</v>
      </c>
      <c r="AV47" s="8">
        <f t="shared" si="1"/>
        <v>1.0326</v>
      </c>
      <c r="AW47" s="20">
        <v>0.69230000000000003</v>
      </c>
      <c r="AX47" s="20">
        <v>0.61480000000000001</v>
      </c>
      <c r="AY47" s="20">
        <v>0.63519999999999999</v>
      </c>
      <c r="AZ47" s="20">
        <v>0.72889999999999999</v>
      </c>
      <c r="BA47" s="20">
        <v>0.66290000000000004</v>
      </c>
      <c r="BB47" s="20">
        <f t="shared" si="2"/>
        <v>0.66682000000000008</v>
      </c>
      <c r="BC47" s="20">
        <f t="shared" si="11"/>
        <v>1.110940062036966</v>
      </c>
      <c r="BE47" s="18">
        <f t="shared" si="12"/>
        <v>600.23040196907755</v>
      </c>
      <c r="BF47" s="8">
        <v>0.21199999999999999</v>
      </c>
      <c r="BG47" s="8">
        <v>0.127</v>
      </c>
      <c r="BH47" s="8">
        <v>0.224</v>
      </c>
      <c r="BI47" s="13">
        <f t="shared" si="5"/>
        <v>0.56299999999999994</v>
      </c>
      <c r="BJ47" s="14">
        <v>37.700000000000003</v>
      </c>
      <c r="BK47" s="14">
        <v>22.6</v>
      </c>
      <c r="BL47" s="14">
        <v>39.700000000000003</v>
      </c>
      <c r="BM47" s="16">
        <f t="shared" si="6"/>
        <v>100</v>
      </c>
      <c r="BN47" s="21">
        <f t="shared" si="7"/>
        <v>1.27</v>
      </c>
      <c r="BO47" s="21">
        <f t="shared" si="8"/>
        <v>0.76</v>
      </c>
      <c r="BP47" s="21">
        <f t="shared" si="9"/>
        <v>1.34</v>
      </c>
      <c r="BQ47" s="14">
        <f t="shared" si="10"/>
        <v>3.37</v>
      </c>
      <c r="BR47" s="22" t="str">
        <f>IF(OR(AND(X47="Mourões", BQ47&gt;=6.5),AND(X47="Postes", BQ47&gt;=9.6),AND(X47="Dormentes", BQ47&gt;=9.6),AND(X47="Estacas", BQ47&gt;=6.5),AND(X47="Cruzetas", BQ47&gt;=6.5),AND(X47="Outros - Solo", BQ47&gt;=6.5),AND(X47="Outros - Suspenso",BQ47&gt;=4),AND(X47="Deck",BQ47&gt;=4)),'Listas suspensas'!$C$21,'Listas suspensas'!$C$22)</f>
        <v>Os resultados da análise química apresentaram uma retenção do produto inferior ao padrão mínimo exigido pela norma ABNT NBR 16143</v>
      </c>
    </row>
    <row r="48" spans="2:70" x14ac:dyDescent="0.25">
      <c r="B48" s="8" t="s">
        <v>217</v>
      </c>
      <c r="C48" s="8" t="s">
        <v>71</v>
      </c>
      <c r="F48" s="11">
        <v>45546</v>
      </c>
      <c r="G48" s="11">
        <v>45546</v>
      </c>
      <c r="H48" s="11">
        <v>45548</v>
      </c>
      <c r="I48" s="8" t="s">
        <v>212</v>
      </c>
      <c r="J48" s="8" t="s">
        <v>213</v>
      </c>
      <c r="K48" s="8" t="s">
        <v>74</v>
      </c>
      <c r="L48" s="8" t="s">
        <v>15</v>
      </c>
      <c r="M48" s="30" t="s">
        <v>214</v>
      </c>
      <c r="N48" s="8" t="s">
        <v>75</v>
      </c>
      <c r="O48" s="8" t="s">
        <v>76</v>
      </c>
      <c r="P48" s="28" t="s">
        <v>215</v>
      </c>
      <c r="Q48" s="16" t="s">
        <v>218</v>
      </c>
      <c r="X48" s="8" t="s">
        <v>79</v>
      </c>
      <c r="Y48" s="34">
        <f>IF(X48='Listas suspensas'!$A$21,'Listas suspensas'!$B$23,IF(X48='Listas suspensas'!$A$22,'Listas suspensas'!$B$23,IF(X48='Listas suspensas'!$A$23,'Listas suspensas'!$B$22,IF(X48='Listas suspensas'!$A$26,'Listas suspensas'!$B$22,IF(X48='Listas suspensas'!$A$32,'Listas suspensas'!$B$22,IF(X48='Listas suspensas'!$A$33,'Listas suspensas'!$B$21,IF(X48='Listas suspensas'!$A$24,'Listas suspensas'!$B$22,IF(X48='Listas suspensas'!$A$30,'Listas suspensas'!$B$21,""))))))))</f>
        <v>6.5</v>
      </c>
      <c r="Z48" s="8" t="s">
        <v>80</v>
      </c>
      <c r="AA48" s="8">
        <v>5</v>
      </c>
      <c r="AB48" s="8" t="str">
        <f>IF(AA48='Listas suspensas'!$A$2,'Listas suspensas'!$B$2,IF(AA48='Listas suspensas'!$A$3,'Listas suspensas'!$B$3,IF(AA48='Listas suspensas'!$A$4,'Listas suspensas'!$B$4,IF(AA48='Listas suspensas'!$A$5,'Listas suspensas'!$B$5,IF(AA48='Listas suspensas'!$A$6,'Listas suspensas'!$B$6,"")))))</f>
        <v>Sem Reação do Cromoazurol</v>
      </c>
      <c r="AC48" s="8" t="str">
        <f>IF(AA48='Listas suspensas'!$A$2,'Listas suspensas'!$C$2,IF(AA48='Listas suspensas'!$A$3,'Listas suspensas'!$C$3,IF(AA48='Listas suspensas'!$A$4,'Listas suspensas'!$C$4,IF(AA48='Listas suspensas'!$A$5,'Listas suspensas'!$C$5,IF(AA48='Listas suspensas'!$A$6,'Listas suspensas'!$C$6,"")))))</f>
        <v>Sem Reação do Cromoazurol</v>
      </c>
      <c r="AK48" s="8">
        <v>11.45</v>
      </c>
      <c r="AL48" s="8">
        <v>11.73</v>
      </c>
      <c r="AM48" s="8">
        <v>11.37</v>
      </c>
      <c r="AN48" s="8">
        <v>11.85</v>
      </c>
      <c r="AO48" s="8">
        <v>11.85</v>
      </c>
      <c r="AP48" s="8">
        <f t="shared" si="0"/>
        <v>1.165</v>
      </c>
      <c r="AQ48" s="8">
        <v>8.69</v>
      </c>
      <c r="AR48" s="8">
        <v>9.0299999999999994</v>
      </c>
      <c r="AS48" s="8">
        <v>8.5399999999999991</v>
      </c>
      <c r="AT48" s="8">
        <v>10.029999999999999</v>
      </c>
      <c r="AU48" s="8">
        <v>8.2799999999999994</v>
      </c>
      <c r="AV48" s="8">
        <f t="shared" si="1"/>
        <v>0.89139999999999997</v>
      </c>
      <c r="AW48" s="20">
        <v>0.65849999999999997</v>
      </c>
      <c r="AX48" s="20">
        <v>0.66720000000000002</v>
      </c>
      <c r="AY48" s="20">
        <v>0.60740000000000005</v>
      </c>
      <c r="AZ48" s="20">
        <v>0.74970000000000003</v>
      </c>
      <c r="BA48" s="20">
        <v>0.61539999999999995</v>
      </c>
      <c r="BB48" s="20">
        <f t="shared" si="2"/>
        <v>0.65964000000000012</v>
      </c>
      <c r="BC48" s="20">
        <f t="shared" si="11"/>
        <v>0.95019854669346449</v>
      </c>
      <c r="BE48" s="18">
        <f t="shared" si="12"/>
        <v>694.21280667649876</v>
      </c>
      <c r="BF48" s="8">
        <v>0.159</v>
      </c>
      <c r="BG48" s="8">
        <v>8.8999999999999996E-2</v>
      </c>
      <c r="BH48" s="8">
        <v>0.16600000000000001</v>
      </c>
      <c r="BI48" s="13">
        <f t="shared" si="5"/>
        <v>0.41400000000000003</v>
      </c>
      <c r="BJ48" s="14">
        <v>38.4</v>
      </c>
      <c r="BK48" s="14">
        <v>21.6</v>
      </c>
      <c r="BL48" s="14">
        <v>40</v>
      </c>
      <c r="BM48" s="16">
        <f t="shared" si="6"/>
        <v>100</v>
      </c>
      <c r="BN48" s="21">
        <f t="shared" si="7"/>
        <v>1.1000000000000001</v>
      </c>
      <c r="BO48" s="21">
        <f t="shared" si="8"/>
        <v>0.62</v>
      </c>
      <c r="BP48" s="21">
        <f t="shared" si="9"/>
        <v>1.1499999999999999</v>
      </c>
      <c r="BQ48" s="14">
        <f t="shared" si="10"/>
        <v>2.87</v>
      </c>
      <c r="BR48" s="22" t="str">
        <f>IF(OR(AND(X48="Mourões", BQ48&gt;=6.5),AND(X48="Postes", BQ48&gt;=9.6),AND(X48="Dormentes", BQ48&gt;=9.6),AND(X48="Estacas", BQ48&gt;=6.5),AND(X48="Cruzetas", BQ48&gt;=6.5),AND(X48="Outros - Solo", BQ48&gt;=6.5),AND(X48="Outros - Suspenso",BQ48&gt;=4),AND(X48="Deck",BQ48&gt;=4)),'Listas suspensas'!$C$21,'Listas suspensas'!$C$22)</f>
        <v>Os resultados da análise química apresentaram uma retenção do produto inferior ao padrão mínimo exigido pela norma ABNT NBR 16143</v>
      </c>
    </row>
    <row r="49" spans="2:70" x14ac:dyDescent="0.25">
      <c r="B49" s="8" t="s">
        <v>219</v>
      </c>
      <c r="C49" s="8" t="s">
        <v>71</v>
      </c>
      <c r="F49" s="11">
        <v>45546</v>
      </c>
      <c r="G49" s="11">
        <v>45546</v>
      </c>
      <c r="H49" s="11">
        <v>45548</v>
      </c>
      <c r="I49" s="8" t="s">
        <v>212</v>
      </c>
      <c r="J49" s="8" t="s">
        <v>213</v>
      </c>
      <c r="K49" s="8" t="s">
        <v>74</v>
      </c>
      <c r="L49" s="8" t="s">
        <v>15</v>
      </c>
      <c r="M49" s="30" t="s">
        <v>214</v>
      </c>
      <c r="N49" s="8" t="s">
        <v>75</v>
      </c>
      <c r="O49" s="8" t="s">
        <v>76</v>
      </c>
      <c r="P49" s="28" t="s">
        <v>215</v>
      </c>
      <c r="Q49" s="16" t="s">
        <v>220</v>
      </c>
      <c r="X49" s="8" t="s">
        <v>79</v>
      </c>
      <c r="Y49" s="34">
        <f>IF(X49='Listas suspensas'!$A$21,'Listas suspensas'!$B$23,IF(X49='Listas suspensas'!$A$22,'Listas suspensas'!$B$23,IF(X49='Listas suspensas'!$A$23,'Listas suspensas'!$B$22,IF(X49='Listas suspensas'!$A$26,'Listas suspensas'!$B$22,IF(X49='Listas suspensas'!$A$32,'Listas suspensas'!$B$22,IF(X49='Listas suspensas'!$A$33,'Listas suspensas'!$B$21,IF(X49='Listas suspensas'!$A$24,'Listas suspensas'!$B$22,IF(X49='Listas suspensas'!$A$30,'Listas suspensas'!$B$21,""))))))))</f>
        <v>6.5</v>
      </c>
      <c r="Z49" s="8" t="s">
        <v>80</v>
      </c>
      <c r="AA49" s="8">
        <v>5</v>
      </c>
      <c r="AB49" s="8" t="str">
        <f>IF(AA49='Listas suspensas'!$A$2,'Listas suspensas'!$B$2,IF(AA49='Listas suspensas'!$A$3,'Listas suspensas'!$B$3,IF(AA49='Listas suspensas'!$A$4,'Listas suspensas'!$B$4,IF(AA49='Listas suspensas'!$A$5,'Listas suspensas'!$B$5,IF(AA49='Listas suspensas'!$A$6,'Listas suspensas'!$B$6,"")))))</f>
        <v>Sem Reação do Cromoazurol</v>
      </c>
      <c r="AC49" s="8" t="str">
        <f>IF(AA49='Listas suspensas'!$A$2,'Listas suspensas'!$C$2,IF(AA49='Listas suspensas'!$A$3,'Listas suspensas'!$C$3,IF(AA49='Listas suspensas'!$A$4,'Listas suspensas'!$C$4,IF(AA49='Listas suspensas'!$A$5,'Listas suspensas'!$C$5,IF(AA49='Listas suspensas'!$A$6,'Listas suspensas'!$C$6,"")))))</f>
        <v>Sem Reação do Cromoazurol</v>
      </c>
      <c r="AK49" s="8">
        <v>11.8</v>
      </c>
      <c r="AL49" s="8">
        <v>11.84</v>
      </c>
      <c r="AM49" s="8">
        <v>11.74</v>
      </c>
      <c r="AN49" s="8">
        <v>11.72</v>
      </c>
      <c r="AO49" s="8">
        <v>11.84</v>
      </c>
      <c r="AP49" s="8">
        <f t="shared" si="0"/>
        <v>1.1788000000000001</v>
      </c>
      <c r="AQ49" s="8">
        <v>10.71</v>
      </c>
      <c r="AR49" s="8">
        <v>11.27</v>
      </c>
      <c r="AS49" s="8">
        <v>8.1999999999999993</v>
      </c>
      <c r="AT49" s="8">
        <v>10</v>
      </c>
      <c r="AU49" s="8">
        <v>6.7</v>
      </c>
      <c r="AV49" s="8">
        <f t="shared" si="1"/>
        <v>0.9376000000000001</v>
      </c>
      <c r="AW49" s="20">
        <v>0.88400000000000001</v>
      </c>
      <c r="AX49" s="20">
        <v>0.85350000000000004</v>
      </c>
      <c r="AY49" s="20">
        <v>0.6452</v>
      </c>
      <c r="AZ49" s="20">
        <v>0.77339999999999998</v>
      </c>
      <c r="BA49" s="20">
        <v>0.52110000000000001</v>
      </c>
      <c r="BB49" s="20">
        <f t="shared" si="2"/>
        <v>0.73543999999999998</v>
      </c>
      <c r="BC49" s="20">
        <f t="shared" si="11"/>
        <v>1.0232640922372536</v>
      </c>
      <c r="BE49" s="18">
        <f t="shared" si="12"/>
        <v>718.71964000226171</v>
      </c>
      <c r="BF49" s="8">
        <v>0.24199999999999999</v>
      </c>
      <c r="BG49" s="8">
        <v>0.107</v>
      </c>
      <c r="BH49" s="8">
        <v>0.19</v>
      </c>
      <c r="BI49" s="13">
        <f t="shared" si="5"/>
        <v>0.53899999999999992</v>
      </c>
      <c r="BJ49" s="14">
        <v>44.8</v>
      </c>
      <c r="BK49" s="14">
        <v>19.899999999999999</v>
      </c>
      <c r="BL49" s="14">
        <v>35.299999999999997</v>
      </c>
      <c r="BM49" s="16">
        <f t="shared" si="6"/>
        <v>100</v>
      </c>
      <c r="BN49" s="21">
        <f t="shared" si="7"/>
        <v>1.74</v>
      </c>
      <c r="BO49" s="21">
        <f t="shared" si="8"/>
        <v>0.77</v>
      </c>
      <c r="BP49" s="21">
        <f t="shared" si="9"/>
        <v>1.37</v>
      </c>
      <c r="BQ49" s="14">
        <f t="shared" si="10"/>
        <v>3.88</v>
      </c>
      <c r="BR49" s="22" t="str">
        <f>IF(OR(AND(X49="Mourões", BQ49&gt;=6.5),AND(X49="Postes", BQ49&gt;=9.6),AND(X49="Dormentes", BQ49&gt;=9.6),AND(X49="Estacas", BQ49&gt;=6.5),AND(X49="Cruzetas", BQ49&gt;=6.5),AND(X49="Outros - Solo", BQ49&gt;=6.5),AND(X49="Outros - Suspenso",BQ49&gt;=4),AND(X49="Deck",BQ49&gt;=4)),'Listas suspensas'!$C$21,'Listas suspensas'!$C$22)</f>
        <v>Os resultados da análise química apresentaram uma retenção do produto inferior ao padrão mínimo exigido pela norma ABNT NBR 16143</v>
      </c>
    </row>
    <row r="50" spans="2:70" x14ac:dyDescent="0.25">
      <c r="B50" s="8" t="s">
        <v>221</v>
      </c>
      <c r="C50" s="8" t="s">
        <v>71</v>
      </c>
      <c r="F50" s="11">
        <v>45546</v>
      </c>
      <c r="G50" s="11">
        <v>45546</v>
      </c>
      <c r="H50" s="11">
        <v>45548</v>
      </c>
      <c r="I50" s="8" t="s">
        <v>212</v>
      </c>
      <c r="J50" s="8" t="s">
        <v>213</v>
      </c>
      <c r="K50" s="8" t="s">
        <v>74</v>
      </c>
      <c r="L50" s="8" t="s">
        <v>15</v>
      </c>
      <c r="M50" s="30" t="s">
        <v>214</v>
      </c>
      <c r="N50" s="8" t="s">
        <v>75</v>
      </c>
      <c r="O50" s="8" t="s">
        <v>76</v>
      </c>
      <c r="P50" s="28" t="s">
        <v>215</v>
      </c>
      <c r="Q50" s="16" t="s">
        <v>222</v>
      </c>
      <c r="X50" s="8" t="s">
        <v>79</v>
      </c>
      <c r="Y50" s="34">
        <f>IF(X50='Listas suspensas'!$A$21,'Listas suspensas'!$B$23,IF(X50='Listas suspensas'!$A$22,'Listas suspensas'!$B$23,IF(X50='Listas suspensas'!$A$23,'Listas suspensas'!$B$22,IF(X50='Listas suspensas'!$A$26,'Listas suspensas'!$B$22,IF(X50='Listas suspensas'!$A$32,'Listas suspensas'!$B$22,IF(X50='Listas suspensas'!$A$33,'Listas suspensas'!$B$21,IF(X50='Listas suspensas'!$A$24,'Listas suspensas'!$B$22,IF(X50='Listas suspensas'!$A$30,'Listas suspensas'!$B$21,""))))))))</f>
        <v>6.5</v>
      </c>
      <c r="Z50" s="8" t="s">
        <v>80</v>
      </c>
      <c r="AA50" s="8">
        <v>5</v>
      </c>
      <c r="AB50" s="8" t="str">
        <f>IF(AA50='Listas suspensas'!$A$2,'Listas suspensas'!$B$2,IF(AA50='Listas suspensas'!$A$3,'Listas suspensas'!$B$3,IF(AA50='Listas suspensas'!$A$4,'Listas suspensas'!$B$4,IF(AA50='Listas suspensas'!$A$5,'Listas suspensas'!$B$5,IF(AA50='Listas suspensas'!$A$6,'Listas suspensas'!$B$6,"")))))</f>
        <v>Sem Reação do Cromoazurol</v>
      </c>
      <c r="AC50" s="8" t="str">
        <f>IF(AA50='Listas suspensas'!$A$2,'Listas suspensas'!$C$2,IF(AA50='Listas suspensas'!$A$3,'Listas suspensas'!$C$3,IF(AA50='Listas suspensas'!$A$4,'Listas suspensas'!$C$4,IF(AA50='Listas suspensas'!$A$5,'Listas suspensas'!$C$5,IF(AA50='Listas suspensas'!$A$6,'Listas suspensas'!$C$6,"")))))</f>
        <v>Sem Reação do Cromoazurol</v>
      </c>
      <c r="AK50" s="8">
        <v>11.89</v>
      </c>
      <c r="AL50" s="8">
        <v>11.87</v>
      </c>
      <c r="AM50" s="8">
        <v>11.9</v>
      </c>
      <c r="AN50" s="8">
        <v>11.94</v>
      </c>
      <c r="AO50" s="8">
        <v>11.87</v>
      </c>
      <c r="AP50" s="8">
        <f t="shared" si="0"/>
        <v>1.1893999999999998</v>
      </c>
      <c r="AQ50" s="8">
        <v>10.79</v>
      </c>
      <c r="AR50" s="8">
        <v>11.43</v>
      </c>
      <c r="AS50" s="8">
        <v>9.18</v>
      </c>
      <c r="AT50" s="8">
        <v>11.97</v>
      </c>
      <c r="AU50" s="8">
        <v>10.45</v>
      </c>
      <c r="AV50" s="8">
        <f t="shared" si="1"/>
        <v>1.0764</v>
      </c>
      <c r="AW50" s="20">
        <v>1.0019</v>
      </c>
      <c r="AX50" s="20">
        <v>0.87470000000000003</v>
      </c>
      <c r="AY50" s="20">
        <v>0.61839999999999995</v>
      </c>
      <c r="AZ50" s="20">
        <v>0.91649999999999998</v>
      </c>
      <c r="BA50" s="20">
        <v>0.91049999999999998</v>
      </c>
      <c r="BB50" s="20">
        <f t="shared" si="2"/>
        <v>0.86440000000000006</v>
      </c>
      <c r="BC50" s="20">
        <f t="shared" si="11"/>
        <v>1.1959676673573127</v>
      </c>
      <c r="BE50" s="18">
        <f t="shared" si="12"/>
        <v>722.76201405179631</v>
      </c>
      <c r="BF50" s="8">
        <v>0.192</v>
      </c>
      <c r="BG50" s="8">
        <v>0.108</v>
      </c>
      <c r="BH50" s="8">
        <v>0.17599999999999999</v>
      </c>
      <c r="BI50" s="13">
        <f t="shared" si="5"/>
        <v>0.47599999999999998</v>
      </c>
      <c r="BJ50" s="14">
        <v>40.299999999999997</v>
      </c>
      <c r="BK50" s="14">
        <v>22.6</v>
      </c>
      <c r="BL50" s="14">
        <v>37.1</v>
      </c>
      <c r="BM50" s="16">
        <f t="shared" si="6"/>
        <v>100</v>
      </c>
      <c r="BN50" s="21">
        <f t="shared" si="7"/>
        <v>1.39</v>
      </c>
      <c r="BO50" s="21">
        <f t="shared" si="8"/>
        <v>0.78</v>
      </c>
      <c r="BP50" s="21">
        <f t="shared" si="9"/>
        <v>1.27</v>
      </c>
      <c r="BQ50" s="14">
        <f t="shared" si="10"/>
        <v>3.44</v>
      </c>
      <c r="BR50" s="22" t="str">
        <f>IF(OR(AND(X50="Mourões", BQ50&gt;=6.5),AND(X50="Postes", BQ50&gt;=9.6),AND(X50="Dormentes", BQ50&gt;=9.6),AND(X50="Estacas", BQ50&gt;=6.5),AND(X50="Cruzetas", BQ50&gt;=6.5),AND(X50="Outros - Solo", BQ50&gt;=6.5),AND(X50="Outros - Suspenso",BQ50&gt;=4),AND(X50="Deck",BQ50&gt;=4)),'Listas suspensas'!$C$21,'Listas suspensas'!$C$22)</f>
        <v>Os resultados da análise química apresentaram uma retenção do produto inferior ao padrão mínimo exigido pela norma ABNT NBR 16143</v>
      </c>
    </row>
    <row r="51" spans="2:70" x14ac:dyDescent="0.25">
      <c r="B51" s="8" t="s">
        <v>223</v>
      </c>
      <c r="C51" s="8" t="s">
        <v>71</v>
      </c>
      <c r="D51" s="8" t="s">
        <v>89</v>
      </c>
      <c r="F51" s="11">
        <v>45559</v>
      </c>
      <c r="G51" s="11">
        <v>45559</v>
      </c>
      <c r="H51" s="11">
        <v>45560</v>
      </c>
      <c r="I51" s="8" t="s">
        <v>90</v>
      </c>
      <c r="J51" s="8" t="s">
        <v>91</v>
      </c>
      <c r="K51" s="8" t="s">
        <v>92</v>
      </c>
      <c r="L51" s="8" t="s">
        <v>15</v>
      </c>
      <c r="M51" s="30" t="s">
        <v>93</v>
      </c>
      <c r="N51" s="8" t="s">
        <v>75</v>
      </c>
      <c r="O51" s="8" t="s">
        <v>94</v>
      </c>
      <c r="P51" s="28" t="s">
        <v>174</v>
      </c>
      <c r="Q51" s="16" t="s">
        <v>224</v>
      </c>
      <c r="X51" s="8" t="s">
        <v>79</v>
      </c>
      <c r="Y51" s="34">
        <f>IF(X51='Listas suspensas'!$A$21,'Listas suspensas'!$B$23,IF(X51='Listas suspensas'!$A$22,'Listas suspensas'!$B$23,IF(X51='Listas suspensas'!$A$23,'Listas suspensas'!$B$22,IF(X51='Listas suspensas'!$A$26,'Listas suspensas'!$B$22,IF(X51='Listas suspensas'!$A$32,'Listas suspensas'!$B$22,IF(X51='Listas suspensas'!$A$33,'Listas suspensas'!$B$21,IF(X51='Listas suspensas'!$A$24,'Listas suspensas'!$B$22,IF(X51='Listas suspensas'!$A$30,'Listas suspensas'!$B$21,""))))))))</f>
        <v>6.5</v>
      </c>
      <c r="Z51" s="8" t="s">
        <v>80</v>
      </c>
      <c r="AA51" s="8">
        <v>1</v>
      </c>
      <c r="AB51" s="8" t="str">
        <f>IF(AA51='Listas suspensas'!$A$2,'Listas suspensas'!$B$2,IF(AA51='Listas suspensas'!$A$3,'Listas suspensas'!$B$3,IF(AA51='Listas suspensas'!$A$4,'Listas suspensas'!$B$4,IF(AA51='Listas suspensas'!$A$5,'Listas suspensas'!$B$5,IF(AA51='Listas suspensas'!$A$6,'Listas suspensas'!$B$6,"")))))</f>
        <v>Profunda e regular</v>
      </c>
      <c r="AC51" s="8" t="str">
        <f>IF(AA51='Listas suspensas'!$A$2,'Listas suspensas'!$C$2,IF(AA51='Listas suspensas'!$A$3,'Listas suspensas'!$C$3,IF(AA51='Listas suspensas'!$A$4,'Listas suspensas'!$C$4,IF(AA51='Listas suspensas'!$A$5,'Listas suspensas'!$C$5,IF(AA51='Listas suspensas'!$A$6,'Listas suspensas'!$C$6,"")))))</f>
        <v>Indica a penetração profunda e uniforme em toda a extensão do alburno.</v>
      </c>
      <c r="AK51" s="8">
        <v>11.98</v>
      </c>
      <c r="AL51" s="8">
        <v>12</v>
      </c>
      <c r="AM51" s="8">
        <v>11.98</v>
      </c>
      <c r="AN51" s="8">
        <v>11.99</v>
      </c>
      <c r="AO51" s="8">
        <v>11.97</v>
      </c>
      <c r="AP51" s="8">
        <f t="shared" si="0"/>
        <v>1.1983999999999999</v>
      </c>
      <c r="AQ51" s="8">
        <v>19.22</v>
      </c>
      <c r="AR51" s="8">
        <v>16.329999999999998</v>
      </c>
      <c r="AS51" s="8">
        <v>19.989999999999998</v>
      </c>
      <c r="AT51" s="8">
        <v>24.05</v>
      </c>
      <c r="AU51" s="8">
        <v>17.07</v>
      </c>
      <c r="AV51" s="8">
        <f t="shared" si="1"/>
        <v>1.9332</v>
      </c>
      <c r="AW51" s="20">
        <v>1.208</v>
      </c>
      <c r="AX51" s="20">
        <v>1.4533</v>
      </c>
      <c r="AY51" s="20">
        <v>1.5563</v>
      </c>
      <c r="AZ51" s="20">
        <v>2.1335000000000002</v>
      </c>
      <c r="BA51" s="20">
        <v>1.5602</v>
      </c>
      <c r="BB51" s="20">
        <f t="shared" si="2"/>
        <v>1.5822600000000002</v>
      </c>
      <c r="BC51" s="20">
        <f t="shared" si="11"/>
        <v>2.1805711835391479</v>
      </c>
      <c r="BE51" s="18">
        <f t="shared" si="12"/>
        <v>725.61721990287583</v>
      </c>
      <c r="BF51" s="8">
        <v>0.41499999999999998</v>
      </c>
      <c r="BG51" s="8">
        <v>0.21</v>
      </c>
      <c r="BH51" s="8">
        <v>0.36</v>
      </c>
      <c r="BI51" s="13">
        <f t="shared" si="5"/>
        <v>0.98499999999999999</v>
      </c>
      <c r="BJ51" s="14">
        <v>42.1</v>
      </c>
      <c r="BK51" s="14">
        <v>21.3</v>
      </c>
      <c r="BL51" s="14">
        <v>36.6</v>
      </c>
      <c r="BM51" s="16">
        <f t="shared" si="6"/>
        <v>100</v>
      </c>
      <c r="BN51" s="21">
        <f t="shared" si="7"/>
        <v>3.01</v>
      </c>
      <c r="BO51" s="21">
        <f t="shared" si="8"/>
        <v>1.52</v>
      </c>
      <c r="BP51" s="21">
        <f t="shared" si="9"/>
        <v>2.61</v>
      </c>
      <c r="BQ51" s="14">
        <f t="shared" si="10"/>
        <v>7.14</v>
      </c>
      <c r="BR51" s="22" t="str">
        <f>IF(OR(AND(X51="Mourões", BQ51&gt;=6.5),AND(X51="Postes", BQ51&gt;=9.6),AND(X51="Dormentes", BQ51&gt;=9.6),AND(X51="Estacas", BQ51&gt;=6.5),AND(X51="Cruzetas", BQ51&gt;=6.5),AND(X51="Outros - Solo", BQ51&gt;=6.5),AND(X51="Outros - Suspenso",BQ51&gt;=4),AND(X51="Deck",BQ51&gt;=4)),'Listas suspensas'!$C$21,'Listas suspensas'!$C$22)</f>
        <v>Os resultados da análise química apresentaram uma retenção do produto de acordo com o padrão mínimo exigido pela norma ABNT NBR 16143</v>
      </c>
    </row>
    <row r="52" spans="2:70" x14ac:dyDescent="0.25">
      <c r="B52" s="8" t="s">
        <v>225</v>
      </c>
      <c r="C52" s="8" t="s">
        <v>71</v>
      </c>
      <c r="D52" s="8" t="s">
        <v>186</v>
      </c>
      <c r="F52" s="11">
        <v>45567</v>
      </c>
      <c r="G52" s="11">
        <v>45568</v>
      </c>
      <c r="H52" s="11">
        <v>45572</v>
      </c>
      <c r="I52" s="8" t="s">
        <v>187</v>
      </c>
      <c r="J52" s="8" t="s">
        <v>188</v>
      </c>
      <c r="K52" s="8" t="s">
        <v>189</v>
      </c>
      <c r="L52" s="8" t="s">
        <v>15</v>
      </c>
      <c r="M52" s="30" t="s">
        <v>190</v>
      </c>
      <c r="N52" s="8" t="s">
        <v>75</v>
      </c>
      <c r="O52" s="8" t="s">
        <v>94</v>
      </c>
      <c r="P52" s="28" t="s">
        <v>77</v>
      </c>
      <c r="Q52" s="16" t="s">
        <v>226</v>
      </c>
      <c r="X52" s="8" t="s">
        <v>79</v>
      </c>
      <c r="Y52" s="34">
        <f>IF(X52='Listas suspensas'!$A$21,'Listas suspensas'!$B$23,IF(X52='Listas suspensas'!$A$22,'Listas suspensas'!$B$23,IF(X52='Listas suspensas'!$A$23,'Listas suspensas'!$B$22,IF(X52='Listas suspensas'!$A$26,'Listas suspensas'!$B$22,IF(X52='Listas suspensas'!$A$32,'Listas suspensas'!$B$22,IF(X52='Listas suspensas'!$A$33,'Listas suspensas'!$B$21,IF(X52='Listas suspensas'!$A$24,'Listas suspensas'!$B$22,IF(X52='Listas suspensas'!$A$30,'Listas suspensas'!$B$21,""))))))))</f>
        <v>6.5</v>
      </c>
      <c r="Z52" s="8" t="s">
        <v>80</v>
      </c>
      <c r="AA52" s="8">
        <v>2</v>
      </c>
      <c r="AB52" s="8" t="str">
        <f>IF(AA52='Listas suspensas'!$A$2,'Listas suspensas'!$B$2,IF(AA52='Listas suspensas'!$A$3,'Listas suspensas'!$B$3,IF(AA52='Listas suspensas'!$A$4,'Listas suspensas'!$B$4,IF(AA52='Listas suspensas'!$A$5,'Listas suspensas'!$B$5,IF(AA52='Listas suspensas'!$A$6,'Listas suspensas'!$B$6,"")))))</f>
        <v>Profunda e irregular</v>
      </c>
      <c r="AC52" s="8" t="str">
        <f>IF(AA52='Listas suspensas'!$A$2,'Listas suspensas'!$C$2,IF(AA52='Listas suspensas'!$A$3,'Listas suspensas'!$C$3,IF(AA52='Listas suspensas'!$A$4,'Listas suspensas'!$C$4,IF(AA52='Listas suspensas'!$A$5,'Listas suspensas'!$C$5,IF(AA52='Listas suspensas'!$A$6,'Listas suspensas'!$C$6,"")))))</f>
        <v>Indica a penetração profunda, mas desuniforme em toda a extensão do alburno.</v>
      </c>
      <c r="AK52" s="8">
        <v>11.63</v>
      </c>
      <c r="AL52" s="8">
        <v>11.52</v>
      </c>
      <c r="AM52" s="8">
        <v>11.78</v>
      </c>
      <c r="AN52" s="8">
        <v>11.68</v>
      </c>
      <c r="AO52" s="8">
        <v>11.63</v>
      </c>
      <c r="AP52" s="8">
        <f t="shared" si="0"/>
        <v>1.1648000000000001</v>
      </c>
      <c r="AQ52" s="8">
        <v>17.100000000000001</v>
      </c>
      <c r="AR52" s="8">
        <v>21.17</v>
      </c>
      <c r="AS52" s="8">
        <v>21.04</v>
      </c>
      <c r="AT52" s="8">
        <v>17.21</v>
      </c>
      <c r="AU52" s="8">
        <v>14.78</v>
      </c>
      <c r="AV52" s="8">
        <f t="shared" si="1"/>
        <v>1.8260000000000001</v>
      </c>
      <c r="AW52" s="20">
        <v>1.5032000000000001</v>
      </c>
      <c r="AX52" s="20">
        <v>1.8772</v>
      </c>
      <c r="AY52" s="20">
        <v>1.9008</v>
      </c>
      <c r="AZ52" s="20">
        <v>1.5262</v>
      </c>
      <c r="BA52" s="20">
        <v>1.3261000000000001</v>
      </c>
      <c r="BB52" s="20">
        <f t="shared" si="2"/>
        <v>1.6267</v>
      </c>
      <c r="BC52" s="20">
        <f t="shared" si="11"/>
        <v>1.9457784022529041</v>
      </c>
      <c r="BE52" s="18">
        <f t="shared" si="12"/>
        <v>836.01503548222058</v>
      </c>
      <c r="BF52" s="8">
        <v>0.27500000000000002</v>
      </c>
      <c r="BG52" s="8">
        <v>0.153</v>
      </c>
      <c r="BH52" s="8">
        <v>0.24399999999999999</v>
      </c>
      <c r="BI52" s="13">
        <f t="shared" si="5"/>
        <v>0.67200000000000004</v>
      </c>
      <c r="BJ52" s="14">
        <v>40.9</v>
      </c>
      <c r="BK52" s="14">
        <v>22.8</v>
      </c>
      <c r="BL52" s="14">
        <v>36.299999999999997</v>
      </c>
      <c r="BM52" s="16">
        <f t="shared" si="6"/>
        <v>100</v>
      </c>
      <c r="BN52" s="21">
        <f t="shared" si="7"/>
        <v>2.2999999999999998</v>
      </c>
      <c r="BO52" s="21">
        <f t="shared" si="8"/>
        <v>1.28</v>
      </c>
      <c r="BP52" s="21">
        <f t="shared" si="9"/>
        <v>2.04</v>
      </c>
      <c r="BQ52" s="14">
        <f t="shared" si="10"/>
        <v>5.62</v>
      </c>
      <c r="BR52" s="22" t="str">
        <f>IF(OR(AND(X52="Mourões", BQ52&gt;=6.5),AND(X52="Postes", BQ52&gt;=9.6),AND(X52="Dormentes", BQ52&gt;=9.6),AND(X52="Estacas", BQ52&gt;=6.5),AND(X52="Cruzetas", BQ52&gt;=6.5),AND(X52="Outros - Solo", BQ52&gt;=6.5),AND(X52="Outros - Suspenso",BQ52&gt;=4),AND(X52="Deck",BQ52&gt;=4)),'Listas suspensas'!$C$21,'Listas suspensas'!$C$22)</f>
        <v>Os resultados da análise química apresentaram uma retenção do produto inferior ao padrão mínimo exigido pela norma ABNT NBR 16143</v>
      </c>
    </row>
    <row r="53" spans="2:70" x14ac:dyDescent="0.25">
      <c r="B53" s="8" t="s">
        <v>227</v>
      </c>
      <c r="C53" s="8" t="s">
        <v>71</v>
      </c>
      <c r="F53" s="11">
        <v>45579</v>
      </c>
      <c r="G53" s="11">
        <v>45579</v>
      </c>
      <c r="H53" s="11">
        <v>45580</v>
      </c>
      <c r="I53" s="8" t="s">
        <v>72</v>
      </c>
      <c r="J53" s="8" t="s">
        <v>73</v>
      </c>
      <c r="K53" s="8" t="s">
        <v>74</v>
      </c>
      <c r="L53" s="8" t="s">
        <v>15</v>
      </c>
      <c r="M53" s="30" t="s">
        <v>103</v>
      </c>
      <c r="N53" s="8" t="s">
        <v>75</v>
      </c>
      <c r="O53" s="8" t="s">
        <v>76</v>
      </c>
      <c r="P53" s="28" t="s">
        <v>77</v>
      </c>
      <c r="Q53" s="16" t="s">
        <v>228</v>
      </c>
      <c r="X53" s="8" t="s">
        <v>79</v>
      </c>
      <c r="Y53" s="34">
        <f>IF(X53='Listas suspensas'!$A$21,'Listas suspensas'!$B$23,IF(X53='Listas suspensas'!$A$22,'Listas suspensas'!$B$23,IF(X53='Listas suspensas'!$A$23,'Listas suspensas'!$B$22,IF(X53='Listas suspensas'!$A$26,'Listas suspensas'!$B$22,IF(X53='Listas suspensas'!$A$32,'Listas suspensas'!$B$22,IF(X53='Listas suspensas'!$A$33,'Listas suspensas'!$B$21,IF(X53='Listas suspensas'!$A$24,'Listas suspensas'!$B$22,IF(X53='Listas suspensas'!$A$30,'Listas suspensas'!$B$21,""))))))))</f>
        <v>6.5</v>
      </c>
      <c r="Z53" s="8" t="s">
        <v>80</v>
      </c>
      <c r="AA53" s="8">
        <v>2</v>
      </c>
      <c r="AB53" s="8" t="str">
        <f>IF(AA53='Listas suspensas'!$A$2,'Listas suspensas'!$B$2,IF(AA53='Listas suspensas'!$A$3,'Listas suspensas'!$B$3,IF(AA53='Listas suspensas'!$A$4,'Listas suspensas'!$B$4,IF(AA53='Listas suspensas'!$A$5,'Listas suspensas'!$B$5,IF(AA53='Listas suspensas'!$A$6,'Listas suspensas'!$B$6,"")))))</f>
        <v>Profunda e irregular</v>
      </c>
      <c r="AC53" s="8" t="str">
        <f>IF(AA53='Listas suspensas'!$A$2,'Listas suspensas'!$C$2,IF(AA53='Listas suspensas'!$A$3,'Listas suspensas'!$C$3,IF(AA53='Listas suspensas'!$A$4,'Listas suspensas'!$C$4,IF(AA53='Listas suspensas'!$A$5,'Listas suspensas'!$C$5,IF(AA53='Listas suspensas'!$A$6,'Listas suspensas'!$C$6,"")))))</f>
        <v>Indica a penetração profunda, mas desuniforme em toda a extensão do alburno.</v>
      </c>
      <c r="AK53" s="8">
        <v>11.38</v>
      </c>
      <c r="AL53" s="8">
        <v>11.56</v>
      </c>
      <c r="AM53" s="8">
        <v>11.6</v>
      </c>
      <c r="AN53" s="8">
        <v>11.64</v>
      </c>
      <c r="AO53" s="8">
        <v>11.53</v>
      </c>
      <c r="AP53" s="8">
        <f t="shared" si="0"/>
        <v>1.1541999999999999</v>
      </c>
      <c r="AQ53" s="8">
        <v>12.91</v>
      </c>
      <c r="AR53" s="8">
        <v>12.22</v>
      </c>
      <c r="AS53" s="8">
        <v>10.35</v>
      </c>
      <c r="AT53" s="8">
        <v>12.55</v>
      </c>
      <c r="AU53" s="8">
        <v>12.24</v>
      </c>
      <c r="AV53" s="8">
        <f t="shared" si="1"/>
        <v>1.2054</v>
      </c>
      <c r="AW53" s="20">
        <v>1.0428999999999999</v>
      </c>
      <c r="AX53" s="20">
        <v>0.99229999999999996</v>
      </c>
      <c r="AY53" s="20">
        <v>0.87239999999999995</v>
      </c>
      <c r="AZ53" s="20">
        <v>1.0269999999999999</v>
      </c>
      <c r="BA53" s="20">
        <v>1.0168999999999999</v>
      </c>
      <c r="BB53" s="20">
        <f t="shared" si="2"/>
        <v>0.99029999999999985</v>
      </c>
      <c r="BC53" s="20">
        <f t="shared" si="11"/>
        <v>1.2611978114377622</v>
      </c>
      <c r="BE53" s="18">
        <f t="shared" si="12"/>
        <v>785.20592964799107</v>
      </c>
      <c r="BF53" s="8">
        <v>0.441</v>
      </c>
      <c r="BG53" s="8">
        <v>0.223</v>
      </c>
      <c r="BH53" s="8">
        <v>0.44</v>
      </c>
      <c r="BI53" s="13">
        <f t="shared" si="5"/>
        <v>1.1040000000000001</v>
      </c>
      <c r="BJ53" s="14">
        <v>40</v>
      </c>
      <c r="BK53" s="14">
        <v>20.2</v>
      </c>
      <c r="BL53" s="14">
        <v>39.799999999999997</v>
      </c>
      <c r="BM53" s="16">
        <f t="shared" si="6"/>
        <v>100</v>
      </c>
      <c r="BN53" s="21">
        <f t="shared" si="7"/>
        <v>3.46</v>
      </c>
      <c r="BO53" s="21">
        <f t="shared" si="8"/>
        <v>1.75</v>
      </c>
      <c r="BP53" s="21">
        <f t="shared" si="9"/>
        <v>3.45</v>
      </c>
      <c r="BQ53" s="14">
        <f t="shared" si="10"/>
        <v>8.66</v>
      </c>
      <c r="BR53" s="22" t="str">
        <f>IF(OR(AND(X53="Mourões", BQ53&gt;=6.5),AND(X53="Postes", BQ53&gt;=9.6),AND(X53="Dormentes", BQ53&gt;=9.6),AND(X53="Estacas", BQ53&gt;=6.5),AND(X53="Cruzetas", BQ53&gt;=6.5),AND(X53="Outros - Solo", BQ53&gt;=6.5),AND(X53="Outros - Suspenso",BQ53&gt;=4),AND(X53="Deck",BQ53&gt;=4)),'Listas suspensas'!$C$21,'Listas suspensas'!$C$22)</f>
        <v>Os resultados da análise química apresentaram uma retenção do produto de acordo com o padrão mínimo exigido pela norma ABNT NBR 16143</v>
      </c>
    </row>
    <row r="54" spans="2:70" x14ac:dyDescent="0.25">
      <c r="B54" s="8" t="s">
        <v>229</v>
      </c>
      <c r="C54" s="8" t="s">
        <v>71</v>
      </c>
      <c r="F54" s="11">
        <v>45579</v>
      </c>
      <c r="G54" s="11">
        <v>45579</v>
      </c>
      <c r="H54" s="11">
        <v>45580</v>
      </c>
      <c r="I54" s="8" t="s">
        <v>72</v>
      </c>
      <c r="J54" s="8" t="s">
        <v>73</v>
      </c>
      <c r="K54" s="8" t="s">
        <v>74</v>
      </c>
      <c r="L54" s="8" t="s">
        <v>15</v>
      </c>
      <c r="M54" s="30" t="s">
        <v>103</v>
      </c>
      <c r="N54" s="8" t="s">
        <v>75</v>
      </c>
      <c r="O54" s="8" t="s">
        <v>76</v>
      </c>
      <c r="P54" s="28" t="s">
        <v>77</v>
      </c>
      <c r="Q54" s="16" t="s">
        <v>230</v>
      </c>
      <c r="X54" s="8" t="s">
        <v>98</v>
      </c>
      <c r="Y54" s="34">
        <f>IF(X54='Listas suspensas'!$A$21,'Listas suspensas'!$B$23,IF(X54='Listas suspensas'!$A$22,'Listas suspensas'!$B$23,IF(X54='Listas suspensas'!$A$23,'Listas suspensas'!$B$22,IF(X54='Listas suspensas'!$A$26,'Listas suspensas'!$B$22,IF(X54='Listas suspensas'!$A$32,'Listas suspensas'!$B$22,IF(X54='Listas suspensas'!$A$33,'Listas suspensas'!$B$21,IF(X54='Listas suspensas'!$A$24,'Listas suspensas'!$B$22,IF(X54='Listas suspensas'!$A$30,'Listas suspensas'!$B$21,""))))))))</f>
        <v>9.6</v>
      </c>
      <c r="Z54" s="8" t="s">
        <v>80</v>
      </c>
      <c r="AA54" s="8">
        <v>1</v>
      </c>
      <c r="AB54" s="8" t="str">
        <f>IF(AA54='Listas suspensas'!$A$2,'Listas suspensas'!$B$2,IF(AA54='Listas suspensas'!$A$3,'Listas suspensas'!$B$3,IF(AA54='Listas suspensas'!$A$4,'Listas suspensas'!$B$4,IF(AA54='Listas suspensas'!$A$5,'Listas suspensas'!$B$5,IF(AA54='Listas suspensas'!$A$6,'Listas suspensas'!$B$6,"")))))</f>
        <v>Profunda e regular</v>
      </c>
      <c r="AC54" s="8" t="str">
        <f>IF(AA54='Listas suspensas'!$A$2,'Listas suspensas'!$C$2,IF(AA54='Listas suspensas'!$A$3,'Listas suspensas'!$C$3,IF(AA54='Listas suspensas'!$A$4,'Listas suspensas'!$C$4,IF(AA54='Listas suspensas'!$A$5,'Listas suspensas'!$C$5,IF(AA54='Listas suspensas'!$A$6,'Listas suspensas'!$C$6,"")))))</f>
        <v>Indica a penetração profunda e uniforme em toda a extensão do alburno.</v>
      </c>
      <c r="AK54" s="8">
        <v>11.49</v>
      </c>
      <c r="AL54" s="8">
        <v>11.71</v>
      </c>
      <c r="AM54" s="8">
        <v>11.66</v>
      </c>
      <c r="AN54" s="8">
        <v>11.64</v>
      </c>
      <c r="AO54" s="8">
        <v>11.73</v>
      </c>
      <c r="AP54" s="8">
        <f t="shared" si="0"/>
        <v>1.1646000000000001</v>
      </c>
      <c r="AQ54" s="8">
        <v>13.36</v>
      </c>
      <c r="AR54" s="8">
        <v>12.28</v>
      </c>
      <c r="AS54" s="8">
        <v>12.55</v>
      </c>
      <c r="AT54" s="8">
        <v>13.04</v>
      </c>
      <c r="AU54" s="8">
        <v>12.4</v>
      </c>
      <c r="AV54" s="8">
        <f t="shared" si="1"/>
        <v>1.2726</v>
      </c>
      <c r="AW54" s="20">
        <v>0.90029999999999999</v>
      </c>
      <c r="AX54" s="20">
        <v>1.0844</v>
      </c>
      <c r="AY54" s="20">
        <v>1.0636000000000001</v>
      </c>
      <c r="AZ54" s="20">
        <v>1.1516999999999999</v>
      </c>
      <c r="BA54" s="20">
        <v>0.79969999999999997</v>
      </c>
      <c r="BB54" s="20">
        <f t="shared" si="2"/>
        <v>0.99993999999999994</v>
      </c>
      <c r="BC54" s="20">
        <f t="shared" si="11"/>
        <v>1.3556118976614229</v>
      </c>
      <c r="BE54" s="18">
        <f t="shared" si="12"/>
        <v>737.62999699619377</v>
      </c>
      <c r="BF54" s="8">
        <v>0.68899999999999995</v>
      </c>
      <c r="BG54" s="8">
        <v>0.33200000000000002</v>
      </c>
      <c r="BH54" s="8">
        <v>0.317</v>
      </c>
      <c r="BI54" s="13">
        <f t="shared" si="5"/>
        <v>1.3379999999999999</v>
      </c>
      <c r="BJ54" s="14">
        <v>42</v>
      </c>
      <c r="BK54" s="14">
        <v>20.3</v>
      </c>
      <c r="BL54" s="14">
        <v>37.700000000000003</v>
      </c>
      <c r="BM54" s="16">
        <f t="shared" si="6"/>
        <v>100</v>
      </c>
      <c r="BN54" s="21">
        <f t="shared" si="7"/>
        <v>5.08</v>
      </c>
      <c r="BO54" s="21">
        <f t="shared" si="8"/>
        <v>2.4500000000000002</v>
      </c>
      <c r="BP54" s="21">
        <f t="shared" si="9"/>
        <v>2.34</v>
      </c>
      <c r="BQ54" s="14">
        <f t="shared" si="10"/>
        <v>9.8699999999999992</v>
      </c>
      <c r="BR54" s="22" t="str">
        <f>IF(OR(AND(X54="Mourões", BQ54&gt;=6.5),AND(X54="Postes", BQ54&gt;=9.6),AND(X54="Dormentes", BQ54&gt;=9.6),AND(X54="Estacas", BQ54&gt;=6.5),AND(X54="Cruzetas", BQ54&gt;=6.5),AND(X54="Outros - Solo", BQ54&gt;=6.5),AND(X54="Outros - Suspenso",BQ54&gt;=4),AND(X54="Deck",BQ54&gt;=4)),'Listas suspensas'!$C$21,'Listas suspensas'!$C$22)</f>
        <v>Os resultados da análise química apresentaram uma retenção do produto de acordo com o padrão mínimo exigido pela norma ABNT NBR 16143</v>
      </c>
    </row>
    <row r="55" spans="2:70" x14ac:dyDescent="0.25">
      <c r="B55" s="8" t="s">
        <v>231</v>
      </c>
      <c r="C55" s="8" t="s">
        <v>71</v>
      </c>
      <c r="D55" s="8" t="s">
        <v>186</v>
      </c>
      <c r="F55" s="11">
        <v>45581</v>
      </c>
      <c r="G55" s="11">
        <v>45586</v>
      </c>
      <c r="H55" s="11">
        <v>45587</v>
      </c>
      <c r="I55" s="8" t="s">
        <v>187</v>
      </c>
      <c r="J55" s="8" t="s">
        <v>188</v>
      </c>
      <c r="K55" s="8" t="s">
        <v>189</v>
      </c>
      <c r="L55" s="8" t="s">
        <v>15</v>
      </c>
      <c r="M55" s="30" t="s">
        <v>190</v>
      </c>
      <c r="N55" s="8" t="s">
        <v>75</v>
      </c>
      <c r="O55" s="8" t="s">
        <v>94</v>
      </c>
      <c r="P55" s="28" t="s">
        <v>77</v>
      </c>
      <c r="Q55" s="16" t="s">
        <v>232</v>
      </c>
      <c r="X55" s="8" t="s">
        <v>79</v>
      </c>
      <c r="Y55" s="34">
        <f>IF(X55='Listas suspensas'!$A$21,'Listas suspensas'!$B$23,IF(X55='Listas suspensas'!$A$22,'Listas suspensas'!$B$23,IF(X55='Listas suspensas'!$A$23,'Listas suspensas'!$B$22,IF(X55='Listas suspensas'!$A$26,'Listas suspensas'!$B$22,IF(X55='Listas suspensas'!$A$32,'Listas suspensas'!$B$22,IF(X55='Listas suspensas'!$A$33,'Listas suspensas'!$B$21,IF(X55='Listas suspensas'!$A$24,'Listas suspensas'!$B$22,IF(X55='Listas suspensas'!$A$30,'Listas suspensas'!$B$21,""))))))))</f>
        <v>6.5</v>
      </c>
      <c r="Z55" s="8" t="s">
        <v>80</v>
      </c>
      <c r="AA55" s="8">
        <v>3</v>
      </c>
      <c r="AB55" s="8" t="str">
        <f>IF(AA55='Listas suspensas'!$A$2,'Listas suspensas'!$B$2,IF(AA55='Listas suspensas'!$A$3,'Listas suspensas'!$B$3,IF(AA55='Listas suspensas'!$A$4,'Listas suspensas'!$B$4,IF(AA55='Listas suspensas'!$A$5,'Listas suspensas'!$B$5,IF(AA55='Listas suspensas'!$A$6,'Listas suspensas'!$B$6,"")))))</f>
        <v xml:space="preserve"> Parcial e regular</v>
      </c>
      <c r="AC55" s="8" t="str">
        <f>IF(AA55='Listas suspensas'!$A$2,'Listas suspensas'!$C$2,IF(AA55='Listas suspensas'!$A$3,'Listas suspensas'!$C$3,IF(AA55='Listas suspensas'!$A$4,'Listas suspensas'!$C$4,IF(AA55='Listas suspensas'!$A$5,'Listas suspensas'!$C$5,IF(AA55='Listas suspensas'!$A$6,'Listas suspensas'!$C$6,"")))))</f>
        <v>Indica a penetração uniforme, mas não total pela extensão do alburno.</v>
      </c>
      <c r="AK55" s="8">
        <v>11.62</v>
      </c>
      <c r="AL55" s="8">
        <v>11.83</v>
      </c>
      <c r="AM55" s="8">
        <v>11.85</v>
      </c>
      <c r="AN55" s="8">
        <v>11.65</v>
      </c>
      <c r="AO55" s="8">
        <v>11.74</v>
      </c>
      <c r="AP55" s="8">
        <f t="shared" si="0"/>
        <v>1.1738</v>
      </c>
      <c r="AQ55" s="8">
        <v>30.68</v>
      </c>
      <c r="AR55" s="8">
        <v>31.42</v>
      </c>
      <c r="AS55" s="8">
        <v>36.03</v>
      </c>
      <c r="AT55" s="8">
        <v>32.909999999999997</v>
      </c>
      <c r="AU55" s="8">
        <v>25.77</v>
      </c>
      <c r="AV55" s="8">
        <f t="shared" si="1"/>
        <v>3.1362000000000001</v>
      </c>
      <c r="AW55" s="20">
        <v>2.7284000000000002</v>
      </c>
      <c r="AX55" s="20">
        <v>2.8068</v>
      </c>
      <c r="AY55" s="20">
        <v>3.1583000000000001</v>
      </c>
      <c r="AZ55" s="20">
        <v>2.9119000000000002</v>
      </c>
      <c r="BA55" s="20">
        <v>2.274</v>
      </c>
      <c r="BB55" s="20">
        <f t="shared" si="2"/>
        <v>2.7758799999999999</v>
      </c>
      <c r="BC55" s="20">
        <f t="shared" si="11"/>
        <v>3.3937655918680996</v>
      </c>
      <c r="BE55" s="18">
        <f t="shared" si="12"/>
        <v>817.93510036502425</v>
      </c>
      <c r="BF55" s="8">
        <v>0.28799999999999998</v>
      </c>
      <c r="BG55" s="8">
        <v>0.182</v>
      </c>
      <c r="BH55" s="8">
        <v>0.39</v>
      </c>
      <c r="BI55" s="13">
        <f t="shared" si="5"/>
        <v>0.86</v>
      </c>
      <c r="BJ55" s="14">
        <v>33.5</v>
      </c>
      <c r="BK55" s="14">
        <v>21.2</v>
      </c>
      <c r="BL55" s="14">
        <v>45.3</v>
      </c>
      <c r="BM55" s="16">
        <f t="shared" si="6"/>
        <v>100</v>
      </c>
      <c r="BN55" s="21">
        <f t="shared" si="7"/>
        <v>2.36</v>
      </c>
      <c r="BO55" s="21">
        <f t="shared" si="8"/>
        <v>1.49</v>
      </c>
      <c r="BP55" s="21">
        <f t="shared" si="9"/>
        <v>3.19</v>
      </c>
      <c r="BQ55" s="14">
        <f t="shared" si="10"/>
        <v>7.04</v>
      </c>
      <c r="BR55" s="22" t="str">
        <f>IF(OR(AND(X55="Mourões", BQ55&gt;=6.5),AND(X55="Postes", BQ55&gt;=9.6),AND(X55="Dormentes", BQ55&gt;=9.6),AND(X55="Estacas", BQ55&gt;=6.5),AND(X55="Cruzetas", BQ55&gt;=6.5),AND(X55="Outros - Solo", BQ55&gt;=6.5),AND(X55="Outros - Suspenso",BQ55&gt;=4),AND(X55="Deck",BQ55&gt;=4)),'Listas suspensas'!$C$21,'Listas suspensas'!$C$22)</f>
        <v>Os resultados da análise química apresentaram uma retenção do produto de acordo com o padrão mínimo exigido pela norma ABNT NBR 16143</v>
      </c>
    </row>
    <row r="56" spans="2:70" x14ac:dyDescent="0.25">
      <c r="B56" s="8" t="s">
        <v>233</v>
      </c>
      <c r="C56" s="8" t="s">
        <v>71</v>
      </c>
      <c r="F56" s="11">
        <v>45586</v>
      </c>
      <c r="G56" s="11">
        <v>45586</v>
      </c>
      <c r="H56" s="11">
        <v>45587</v>
      </c>
      <c r="I56" s="8" t="s">
        <v>212</v>
      </c>
      <c r="J56" s="8" t="s">
        <v>213</v>
      </c>
      <c r="K56" s="8" t="s">
        <v>74</v>
      </c>
      <c r="L56" s="8" t="s">
        <v>15</v>
      </c>
      <c r="M56" s="30" t="s">
        <v>214</v>
      </c>
      <c r="N56" s="8" t="s">
        <v>75</v>
      </c>
      <c r="O56" s="8" t="s">
        <v>76</v>
      </c>
      <c r="P56" s="28" t="s">
        <v>215</v>
      </c>
      <c r="Q56" s="16" t="s">
        <v>234</v>
      </c>
      <c r="X56" s="8" t="s">
        <v>98</v>
      </c>
      <c r="Y56" s="34">
        <f>IF(X56='Listas suspensas'!$A$21,'Listas suspensas'!$B$23,IF(X56='Listas suspensas'!$A$22,'Listas suspensas'!$B$23,IF(X56='Listas suspensas'!$A$23,'Listas suspensas'!$B$22,IF(X56='Listas suspensas'!$A$26,'Listas suspensas'!$B$22,IF(X56='Listas suspensas'!$A$32,'Listas suspensas'!$B$22,IF(X56='Listas suspensas'!$A$33,'Listas suspensas'!$B$21,IF(X56='Listas suspensas'!$A$24,'Listas suspensas'!$B$22,IF(X56='Listas suspensas'!$A$30,'Listas suspensas'!$B$21,""))))))))</f>
        <v>9.6</v>
      </c>
      <c r="Z56" s="8" t="s">
        <v>80</v>
      </c>
      <c r="AA56" s="8">
        <v>5</v>
      </c>
      <c r="AB56" s="8" t="str">
        <f>IF(AA56='Listas suspensas'!$A$2,'Listas suspensas'!$B$2,IF(AA56='Listas suspensas'!$A$3,'Listas suspensas'!$B$3,IF(AA56='Listas suspensas'!$A$4,'Listas suspensas'!$B$4,IF(AA56='Listas suspensas'!$A$5,'Listas suspensas'!$B$5,IF(AA56='Listas suspensas'!$A$6,'Listas suspensas'!$B$6,"")))))</f>
        <v>Sem Reação do Cromoazurol</v>
      </c>
      <c r="AC56" s="8" t="str">
        <f>IF(AA56='Listas suspensas'!$A$2,'Listas suspensas'!$C$2,IF(AA56='Listas suspensas'!$A$3,'Listas suspensas'!$C$3,IF(AA56='Listas suspensas'!$A$4,'Listas suspensas'!$C$4,IF(AA56='Listas suspensas'!$A$5,'Listas suspensas'!$C$5,IF(AA56='Listas suspensas'!$A$6,'Listas suspensas'!$C$6,"")))))</f>
        <v>Sem Reação do Cromoazurol</v>
      </c>
      <c r="AK56" s="8">
        <v>11.65</v>
      </c>
      <c r="AL56" s="8">
        <v>11.58</v>
      </c>
      <c r="AM56" s="8">
        <v>11.66</v>
      </c>
      <c r="AN56" s="8">
        <v>11.61</v>
      </c>
      <c r="AO56" s="8">
        <v>11.64</v>
      </c>
      <c r="AP56" s="8">
        <f t="shared" si="0"/>
        <v>1.1628000000000001</v>
      </c>
      <c r="AQ56" s="8">
        <v>10.52</v>
      </c>
      <c r="AR56" s="8">
        <v>8.91</v>
      </c>
      <c r="AS56" s="8">
        <v>9.5399999999999991</v>
      </c>
      <c r="AT56" s="8">
        <v>10.46</v>
      </c>
      <c r="AU56" s="8">
        <v>8.2799999999999994</v>
      </c>
      <c r="AV56" s="8">
        <f t="shared" si="1"/>
        <v>0.95419999999999994</v>
      </c>
      <c r="AW56" s="20">
        <v>0.74229999999999996</v>
      </c>
      <c r="AX56" s="20">
        <v>0.65190000000000003</v>
      </c>
      <c r="AY56" s="20">
        <v>0.66149999999999998</v>
      </c>
      <c r="AZ56" s="20">
        <v>0.70130000000000003</v>
      </c>
      <c r="BA56" s="20">
        <v>0.58930000000000005</v>
      </c>
      <c r="BB56" s="20">
        <f t="shared" si="2"/>
        <v>0.66925999999999997</v>
      </c>
      <c r="BC56" s="20">
        <f t="shared" si="11"/>
        <v>1.0133030264908716</v>
      </c>
      <c r="BE56" s="18">
        <f t="shared" si="12"/>
        <v>660.47370086092315</v>
      </c>
      <c r="BF56" s="8">
        <v>0.19600000000000001</v>
      </c>
      <c r="BG56" s="8">
        <v>9.9000000000000005E-2</v>
      </c>
      <c r="BH56" s="8">
        <v>0.183</v>
      </c>
      <c r="BI56" s="13">
        <f t="shared" si="5"/>
        <v>0.47800000000000004</v>
      </c>
      <c r="BJ56" s="14">
        <v>41</v>
      </c>
      <c r="BK56" s="14">
        <v>20.7</v>
      </c>
      <c r="BL56" s="14">
        <v>38.299999999999997</v>
      </c>
      <c r="BM56" s="16">
        <f t="shared" si="6"/>
        <v>100</v>
      </c>
      <c r="BN56" s="21">
        <f t="shared" si="7"/>
        <v>1.29</v>
      </c>
      <c r="BO56" s="21">
        <f t="shared" si="8"/>
        <v>0.65</v>
      </c>
      <c r="BP56" s="21">
        <f t="shared" si="9"/>
        <v>1.21</v>
      </c>
      <c r="BQ56" s="14">
        <f t="shared" si="10"/>
        <v>3.15</v>
      </c>
      <c r="BR56" s="22" t="str">
        <f>IF(OR(AND(X56="Mourões", BQ56&gt;=6.5),AND(X56="Postes", BQ56&gt;=9.6),AND(X56="Dormentes", BQ56&gt;=9.6),AND(X56="Estacas", BQ56&gt;=6.5),AND(X56="Cruzetas", BQ56&gt;=6.5),AND(X56="Outros - Solo", BQ56&gt;=6.5),AND(X56="Outros - Suspenso",BQ56&gt;=4),AND(X56="Deck",BQ56&gt;=4)),'Listas suspensas'!$C$21,'Listas suspensas'!$C$22)</f>
        <v>Os resultados da análise química apresentaram uma retenção do produto inferior ao padrão mínimo exigido pela norma ABNT NBR 16143</v>
      </c>
    </row>
    <row r="57" spans="2:70" x14ac:dyDescent="0.25">
      <c r="B57" s="8" t="s">
        <v>235</v>
      </c>
      <c r="C57" s="8" t="s">
        <v>71</v>
      </c>
      <c r="F57" s="11">
        <v>45586</v>
      </c>
      <c r="G57" s="11">
        <v>45586</v>
      </c>
      <c r="H57" s="11">
        <v>45587</v>
      </c>
      <c r="I57" s="8" t="s">
        <v>212</v>
      </c>
      <c r="J57" s="8" t="s">
        <v>213</v>
      </c>
      <c r="K57" s="8" t="s">
        <v>74</v>
      </c>
      <c r="L57" s="8" t="s">
        <v>15</v>
      </c>
      <c r="M57" s="30" t="s">
        <v>214</v>
      </c>
      <c r="N57" s="8" t="s">
        <v>75</v>
      </c>
      <c r="O57" s="8" t="s">
        <v>76</v>
      </c>
      <c r="P57" s="28" t="s">
        <v>215</v>
      </c>
      <c r="Q57" s="16" t="s">
        <v>236</v>
      </c>
      <c r="X57" s="8" t="s">
        <v>98</v>
      </c>
      <c r="Y57" s="34">
        <f>IF(X57='Listas suspensas'!$A$21,'Listas suspensas'!$B$23,IF(X57='Listas suspensas'!$A$22,'Listas suspensas'!$B$23,IF(X57='Listas suspensas'!$A$23,'Listas suspensas'!$B$22,IF(X57='Listas suspensas'!$A$26,'Listas suspensas'!$B$22,IF(X57='Listas suspensas'!$A$32,'Listas suspensas'!$B$22,IF(X57='Listas suspensas'!$A$33,'Listas suspensas'!$B$21,IF(X57='Listas suspensas'!$A$24,'Listas suspensas'!$B$22,IF(X57='Listas suspensas'!$A$30,'Listas suspensas'!$B$21,""))))))))</f>
        <v>9.6</v>
      </c>
      <c r="Z57" s="8" t="s">
        <v>80</v>
      </c>
      <c r="AA57" s="8">
        <v>5</v>
      </c>
      <c r="AB57" s="8" t="str">
        <f>IF(AA57='Listas suspensas'!$A$2,'Listas suspensas'!$B$2,IF(AA57='Listas suspensas'!$A$3,'Listas suspensas'!$B$3,IF(AA57='Listas suspensas'!$A$4,'Listas suspensas'!$B$4,IF(AA57='Listas suspensas'!$A$5,'Listas suspensas'!$B$5,IF(AA57='Listas suspensas'!$A$6,'Listas suspensas'!$B$6,"")))))</f>
        <v>Sem Reação do Cromoazurol</v>
      </c>
      <c r="AC57" s="8" t="str">
        <f>IF(AA57='Listas suspensas'!$A$2,'Listas suspensas'!$C$2,IF(AA57='Listas suspensas'!$A$3,'Listas suspensas'!$C$3,IF(AA57='Listas suspensas'!$A$4,'Listas suspensas'!$C$4,IF(AA57='Listas suspensas'!$A$5,'Listas suspensas'!$C$5,IF(AA57='Listas suspensas'!$A$6,'Listas suspensas'!$C$6,"")))))</f>
        <v>Sem Reação do Cromoazurol</v>
      </c>
      <c r="AK57" s="8">
        <v>11.75</v>
      </c>
      <c r="AL57" s="8">
        <v>11.75</v>
      </c>
      <c r="AM57" s="8">
        <v>11.63</v>
      </c>
      <c r="AN57" s="8">
        <v>11.55</v>
      </c>
      <c r="AO57" s="8">
        <v>11.66</v>
      </c>
      <c r="AP57" s="8">
        <f t="shared" si="0"/>
        <v>1.1668000000000001</v>
      </c>
      <c r="AQ57" s="8">
        <v>13</v>
      </c>
      <c r="AR57" s="8">
        <v>14.58</v>
      </c>
      <c r="AS57" s="8">
        <v>14.89</v>
      </c>
      <c r="AT57" s="8">
        <v>14.13</v>
      </c>
      <c r="AU57" s="8">
        <v>13.61</v>
      </c>
      <c r="AV57" s="8">
        <f t="shared" si="1"/>
        <v>1.4042000000000001</v>
      </c>
      <c r="AW57" s="20">
        <v>0.95089999999999997</v>
      </c>
      <c r="AX57" s="20">
        <v>0.98799999999999999</v>
      </c>
      <c r="AY57" s="20">
        <v>1.0653999999999999</v>
      </c>
      <c r="AZ57" s="20">
        <v>1.0524</v>
      </c>
      <c r="BA57" s="20">
        <v>1.0216000000000001</v>
      </c>
      <c r="BB57" s="20">
        <f t="shared" si="2"/>
        <v>1.01566</v>
      </c>
      <c r="BC57" s="20">
        <f t="shared" si="11"/>
        <v>1.501452823479215</v>
      </c>
      <c r="BE57" s="18">
        <f t="shared" si="12"/>
        <v>676.45149026159868</v>
      </c>
      <c r="BF57" s="8">
        <v>0.183</v>
      </c>
      <c r="BG57" s="8">
        <v>0.108</v>
      </c>
      <c r="BH57" s="8">
        <v>0.20399999999999999</v>
      </c>
      <c r="BI57" s="13">
        <f t="shared" si="5"/>
        <v>0.495</v>
      </c>
      <c r="BJ57" s="14">
        <v>36.9</v>
      </c>
      <c r="BK57" s="14">
        <v>21.8</v>
      </c>
      <c r="BL57" s="14">
        <v>41.3</v>
      </c>
      <c r="BM57" s="16">
        <f t="shared" si="6"/>
        <v>100</v>
      </c>
      <c r="BN57" s="21">
        <f t="shared" si="7"/>
        <v>1.24</v>
      </c>
      <c r="BO57" s="21">
        <f t="shared" si="8"/>
        <v>0.73</v>
      </c>
      <c r="BP57" s="21">
        <f t="shared" si="9"/>
        <v>1.38</v>
      </c>
      <c r="BQ57" s="14">
        <f t="shared" si="10"/>
        <v>3.35</v>
      </c>
      <c r="BR57" s="22" t="str">
        <f>IF(OR(AND(X57="Mourões", BQ57&gt;=6.5),AND(X57="Postes", BQ57&gt;=9.6),AND(X57="Dormentes", BQ57&gt;=9.6),AND(X57="Estacas", BQ57&gt;=6.5),AND(X57="Cruzetas", BQ57&gt;=6.5),AND(X57="Outros - Solo", BQ57&gt;=6.5),AND(X57="Outros - Suspenso",BQ57&gt;=4),AND(X57="Deck",BQ57&gt;=4)),'Listas suspensas'!$C$21,'Listas suspensas'!$C$22)</f>
        <v>Os resultados da análise química apresentaram uma retenção do produto inferior ao padrão mínimo exigido pela norma ABNT NBR 16143</v>
      </c>
    </row>
    <row r="58" spans="2:70" x14ac:dyDescent="0.25">
      <c r="B58" s="8" t="s">
        <v>237</v>
      </c>
      <c r="C58" s="8" t="s">
        <v>71</v>
      </c>
      <c r="D58" s="8" t="s">
        <v>89</v>
      </c>
      <c r="F58" s="11">
        <v>45607</v>
      </c>
      <c r="G58" s="11">
        <v>45608</v>
      </c>
      <c r="H58" s="11">
        <v>45609</v>
      </c>
      <c r="I58" s="8" t="s">
        <v>90</v>
      </c>
      <c r="J58" s="8" t="s">
        <v>91</v>
      </c>
      <c r="K58" s="8" t="s">
        <v>92</v>
      </c>
      <c r="L58" s="8" t="s">
        <v>15</v>
      </c>
      <c r="M58" s="30" t="s">
        <v>93</v>
      </c>
      <c r="N58" s="8" t="s">
        <v>75</v>
      </c>
      <c r="O58" s="8" t="s">
        <v>94</v>
      </c>
      <c r="P58" s="28" t="s">
        <v>174</v>
      </c>
      <c r="Q58" s="16" t="s">
        <v>238</v>
      </c>
      <c r="X58" s="8" t="s">
        <v>79</v>
      </c>
      <c r="Y58" s="34">
        <f>IF(X58='Listas suspensas'!$A$21,'Listas suspensas'!$B$23,IF(X58='Listas suspensas'!$A$22,'Listas suspensas'!$B$23,IF(X58='Listas suspensas'!$A$23,'Listas suspensas'!$B$22,IF(X58='Listas suspensas'!$A$26,'Listas suspensas'!$B$22,IF(X58='Listas suspensas'!$A$32,'Listas suspensas'!$B$22,IF(X58='Listas suspensas'!$A$33,'Listas suspensas'!$B$21,IF(X58='Listas suspensas'!$A$24,'Listas suspensas'!$B$22,IF(X58='Listas suspensas'!$A$30,'Listas suspensas'!$B$21,""))))))))</f>
        <v>6.5</v>
      </c>
      <c r="Z58" s="8" t="s">
        <v>80</v>
      </c>
      <c r="AA58" s="8">
        <v>2</v>
      </c>
      <c r="AB58" s="8" t="str">
        <f>IF(AA58='Listas suspensas'!$A$2,'Listas suspensas'!$B$2,IF(AA58='Listas suspensas'!$A$3,'Listas suspensas'!$B$3,IF(AA58='Listas suspensas'!$A$4,'Listas suspensas'!$B$4,IF(AA58='Listas suspensas'!$A$5,'Listas suspensas'!$B$5,IF(AA58='Listas suspensas'!$A$6,'Listas suspensas'!$B$6,"")))))</f>
        <v>Profunda e irregular</v>
      </c>
      <c r="AC58" s="8" t="str">
        <f>IF(AA58='Listas suspensas'!$A$2,'Listas suspensas'!$C$2,IF(AA58='Listas suspensas'!$A$3,'Listas suspensas'!$C$3,IF(AA58='Listas suspensas'!$A$4,'Listas suspensas'!$C$4,IF(AA58='Listas suspensas'!$A$5,'Listas suspensas'!$C$5,IF(AA58='Listas suspensas'!$A$6,'Listas suspensas'!$C$6,"")))))</f>
        <v>Indica a penetração profunda, mas desuniforme em toda a extensão do alburno.</v>
      </c>
      <c r="AK58" s="8">
        <v>11.97</v>
      </c>
      <c r="AL58" s="8">
        <v>11.99</v>
      </c>
      <c r="AM58" s="8">
        <v>11.96</v>
      </c>
      <c r="AN58" s="8">
        <v>11.96</v>
      </c>
      <c r="AO58" s="8">
        <v>11.98</v>
      </c>
      <c r="AP58" s="8">
        <f t="shared" si="0"/>
        <v>1.1972</v>
      </c>
      <c r="AQ58" s="8">
        <v>23.4</v>
      </c>
      <c r="AR58" s="8">
        <v>18.899999999999999</v>
      </c>
      <c r="AS58" s="8">
        <v>22.35</v>
      </c>
      <c r="AT58" s="8">
        <v>23.75</v>
      </c>
      <c r="AU58" s="8">
        <v>25.29</v>
      </c>
      <c r="AV58" s="8">
        <f t="shared" si="1"/>
        <v>2.2738</v>
      </c>
      <c r="AW58" s="20">
        <v>2.1143000000000001</v>
      </c>
      <c r="AX58" s="20">
        <v>1.7905</v>
      </c>
      <c r="AY58" s="20">
        <v>1.9865999999999999</v>
      </c>
      <c r="AZ58" s="20">
        <v>2.1208999999999998</v>
      </c>
      <c r="BA58" s="20">
        <v>2.2425000000000002</v>
      </c>
      <c r="BB58" s="20">
        <f t="shared" si="2"/>
        <v>2.0509599999999999</v>
      </c>
      <c r="BC58" s="20">
        <f t="shared" si="11"/>
        <v>2.5596203825650763</v>
      </c>
      <c r="BE58" s="18">
        <f t="shared" si="12"/>
        <v>801.27506952600072</v>
      </c>
      <c r="BF58" s="8">
        <v>0.34200000000000003</v>
      </c>
      <c r="BG58" s="8">
        <v>0.19500000000000001</v>
      </c>
      <c r="BH58" s="8">
        <v>0.378</v>
      </c>
      <c r="BI58" s="13">
        <f t="shared" si="5"/>
        <v>0.91500000000000004</v>
      </c>
      <c r="BJ58" s="14">
        <v>37.299999999999997</v>
      </c>
      <c r="BK58" s="14">
        <v>21.4</v>
      </c>
      <c r="BL58" s="14">
        <v>41.3</v>
      </c>
      <c r="BM58" s="16">
        <f t="shared" si="6"/>
        <v>100</v>
      </c>
      <c r="BN58" s="21">
        <f t="shared" si="7"/>
        <v>2.74</v>
      </c>
      <c r="BO58" s="21">
        <f t="shared" si="8"/>
        <v>1.56</v>
      </c>
      <c r="BP58" s="21">
        <f t="shared" si="9"/>
        <v>3.03</v>
      </c>
      <c r="BQ58" s="14">
        <f t="shared" si="10"/>
        <v>7.33</v>
      </c>
      <c r="BR58" s="22" t="str">
        <f>IF(OR(AND(X58="Mourões", BQ58&gt;=6.5),AND(X58="Postes", BQ58&gt;=9.6),AND(X58="Dormentes", BQ58&gt;=9.6),AND(X58="Estacas", BQ58&gt;=6.5),AND(X58="Cruzetas", BQ58&gt;=6.5),AND(X58="Outros - Solo", BQ58&gt;=6.5),AND(X58="Outros - Suspenso",BQ58&gt;=4),AND(X58="Deck",BQ58&gt;=4)),'Listas suspensas'!$C$21,'Listas suspensas'!$C$22)</f>
        <v>Os resultados da análise química apresentaram uma retenção do produto de acordo com o padrão mínimo exigido pela norma ABNT NBR 16143</v>
      </c>
    </row>
    <row r="59" spans="2:70" x14ac:dyDescent="0.25">
      <c r="B59" s="8" t="s">
        <v>239</v>
      </c>
      <c r="C59" s="8" t="s">
        <v>71</v>
      </c>
      <c r="D59" s="8" t="s">
        <v>240</v>
      </c>
      <c r="F59" s="11">
        <v>45607</v>
      </c>
      <c r="G59" s="11">
        <v>45608</v>
      </c>
      <c r="H59" s="11">
        <v>45614</v>
      </c>
      <c r="I59" s="8" t="s">
        <v>241</v>
      </c>
      <c r="J59" s="8" t="s">
        <v>242</v>
      </c>
      <c r="K59" s="8" t="s">
        <v>243</v>
      </c>
      <c r="L59" s="8" t="s">
        <v>15</v>
      </c>
      <c r="N59" s="8" t="s">
        <v>75</v>
      </c>
      <c r="O59" s="8" t="s">
        <v>94</v>
      </c>
      <c r="P59" s="28" t="s">
        <v>77</v>
      </c>
      <c r="Q59" s="16" t="s">
        <v>244</v>
      </c>
      <c r="X59" s="8" t="s">
        <v>79</v>
      </c>
      <c r="Y59" s="34">
        <f>IF(X59='Listas suspensas'!$A$21,'Listas suspensas'!$B$23,IF(X59='Listas suspensas'!$A$22,'Listas suspensas'!$B$23,IF(X59='Listas suspensas'!$A$23,'Listas suspensas'!$B$22,IF(X59='Listas suspensas'!$A$26,'Listas suspensas'!$B$22,IF(X59='Listas suspensas'!$A$32,'Listas suspensas'!$B$22,IF(X59='Listas suspensas'!$A$33,'Listas suspensas'!$B$21,IF(X59='Listas suspensas'!$A$24,'Listas suspensas'!$B$22,IF(X59='Listas suspensas'!$A$30,'Listas suspensas'!$B$21,""))))))))</f>
        <v>6.5</v>
      </c>
      <c r="Z59" s="8" t="s">
        <v>80</v>
      </c>
      <c r="AA59" s="8">
        <v>3</v>
      </c>
      <c r="AB59" s="8" t="str">
        <f>IF(AA59='Listas suspensas'!$A$2,'Listas suspensas'!$B$2,IF(AA59='Listas suspensas'!$A$3,'Listas suspensas'!$B$3,IF(AA59='Listas suspensas'!$A$4,'Listas suspensas'!$B$4,IF(AA59='Listas suspensas'!$A$5,'Listas suspensas'!$B$5,IF(AA59='Listas suspensas'!$A$6,'Listas suspensas'!$B$6,"")))))</f>
        <v xml:space="preserve"> Parcial e regular</v>
      </c>
      <c r="AC59" s="8" t="str">
        <f>IF(AA59='Listas suspensas'!$A$2,'Listas suspensas'!$C$2,IF(AA59='Listas suspensas'!$A$3,'Listas suspensas'!$C$3,IF(AA59='Listas suspensas'!$A$4,'Listas suspensas'!$C$4,IF(AA59='Listas suspensas'!$A$5,'Listas suspensas'!$C$5,IF(AA59='Listas suspensas'!$A$6,'Listas suspensas'!$C$6,"")))))</f>
        <v>Indica a penetração uniforme, mas não total pela extensão do alburno.</v>
      </c>
      <c r="AK59" s="8">
        <v>11.52</v>
      </c>
      <c r="AL59" s="8">
        <v>11.37</v>
      </c>
      <c r="AM59" s="8">
        <v>11.49</v>
      </c>
      <c r="AN59" s="8">
        <v>11.43</v>
      </c>
      <c r="AO59" s="8">
        <v>11.27</v>
      </c>
      <c r="AP59" s="8">
        <f t="shared" si="0"/>
        <v>1.1415999999999999</v>
      </c>
      <c r="AQ59" s="8">
        <v>15.48</v>
      </c>
      <c r="AR59" s="8">
        <v>14.35</v>
      </c>
      <c r="AS59" s="8">
        <v>13.66</v>
      </c>
      <c r="AT59" s="8">
        <v>13.32</v>
      </c>
      <c r="AU59" s="8">
        <v>13.11</v>
      </c>
      <c r="AV59" s="8">
        <f t="shared" si="1"/>
        <v>1.3983999999999999</v>
      </c>
      <c r="AW59" s="20">
        <v>1.2850999999999999</v>
      </c>
      <c r="AX59" s="20">
        <v>1.1896</v>
      </c>
      <c r="AY59" s="20">
        <v>1.1172</v>
      </c>
      <c r="AZ59" s="20">
        <v>1.0954999999999999</v>
      </c>
      <c r="BA59" s="20">
        <v>1.0627</v>
      </c>
      <c r="BB59" s="20">
        <f t="shared" si="2"/>
        <v>1.15002</v>
      </c>
      <c r="BC59" s="20">
        <f t="shared" si="11"/>
        <v>1.4313611218249411</v>
      </c>
      <c r="BE59" s="18">
        <f t="shared" si="12"/>
        <v>803.44504434615362</v>
      </c>
      <c r="BF59" s="8">
        <v>0.313</v>
      </c>
      <c r="BG59" s="8">
        <v>0.152</v>
      </c>
      <c r="BH59" s="8">
        <v>0.29299999999999998</v>
      </c>
      <c r="BI59" s="13">
        <f t="shared" si="5"/>
        <v>0.75800000000000001</v>
      </c>
      <c r="BJ59" s="14">
        <v>41.3</v>
      </c>
      <c r="BK59" s="14">
        <v>20.100000000000001</v>
      </c>
      <c r="BL59" s="14">
        <v>38.6</v>
      </c>
      <c r="BM59" s="16">
        <f t="shared" si="6"/>
        <v>100</v>
      </c>
      <c r="BN59" s="21">
        <f t="shared" si="7"/>
        <v>2.5099999999999998</v>
      </c>
      <c r="BO59" s="21">
        <f t="shared" si="8"/>
        <v>1.22</v>
      </c>
      <c r="BP59" s="21">
        <f t="shared" si="9"/>
        <v>2.35</v>
      </c>
      <c r="BQ59" s="14">
        <f t="shared" si="10"/>
        <v>6.08</v>
      </c>
      <c r="BR59" s="22" t="str">
        <f>IF(OR(AND(X59="Mourões", BQ59&gt;=6.5),AND(X59="Postes", BQ59&gt;=9.6),AND(X59="Dormentes", BQ59&gt;=9.6),AND(X59="Estacas", BQ59&gt;=6.5),AND(X59="Cruzetas", BQ59&gt;=6.5),AND(X59="Outros - Solo", BQ59&gt;=6.5),AND(X59="Outros - Suspenso",BQ59&gt;=4),AND(X59="Deck",BQ59&gt;=4)),'Listas suspensas'!$C$21,'Listas suspensas'!$C$22)</f>
        <v>Os resultados da análise química apresentaram uma retenção do produto inferior ao padrão mínimo exigido pela norma ABNT NBR 16143</v>
      </c>
    </row>
    <row r="60" spans="2:70" x14ac:dyDescent="0.25">
      <c r="B60" s="8" t="s">
        <v>245</v>
      </c>
      <c r="C60" s="8" t="s">
        <v>71</v>
      </c>
      <c r="D60" s="8" t="s">
        <v>240</v>
      </c>
      <c r="F60" s="11">
        <v>45607</v>
      </c>
      <c r="G60" s="11">
        <v>45608</v>
      </c>
      <c r="H60" s="11">
        <v>45614</v>
      </c>
      <c r="I60" s="8" t="s">
        <v>241</v>
      </c>
      <c r="J60" s="8" t="s">
        <v>242</v>
      </c>
      <c r="K60" s="8" t="s">
        <v>243</v>
      </c>
      <c r="L60" s="8" t="s">
        <v>15</v>
      </c>
      <c r="N60" s="8" t="s">
        <v>75</v>
      </c>
      <c r="O60" s="8" t="s">
        <v>94</v>
      </c>
      <c r="P60" s="28" t="s">
        <v>77</v>
      </c>
      <c r="Q60" s="16" t="s">
        <v>246</v>
      </c>
      <c r="X60" s="8" t="s">
        <v>79</v>
      </c>
      <c r="Y60" s="34">
        <f>IF(X60='Listas suspensas'!$A$21,'Listas suspensas'!$B$23,IF(X60='Listas suspensas'!$A$22,'Listas suspensas'!$B$23,IF(X60='Listas suspensas'!$A$23,'Listas suspensas'!$B$22,IF(X60='Listas suspensas'!$A$26,'Listas suspensas'!$B$22,IF(X60='Listas suspensas'!$A$32,'Listas suspensas'!$B$22,IF(X60='Listas suspensas'!$A$33,'Listas suspensas'!$B$21,IF(X60='Listas suspensas'!$A$24,'Listas suspensas'!$B$22,IF(X60='Listas suspensas'!$A$30,'Listas suspensas'!$B$21,""))))))))</f>
        <v>6.5</v>
      </c>
      <c r="Z60" s="8" t="s">
        <v>80</v>
      </c>
      <c r="AA60" s="8">
        <v>3</v>
      </c>
      <c r="AB60" s="8" t="str">
        <f>IF(AA60='Listas suspensas'!$A$2,'Listas suspensas'!$B$2,IF(AA60='Listas suspensas'!$A$3,'Listas suspensas'!$B$3,IF(AA60='Listas suspensas'!$A$4,'Listas suspensas'!$B$4,IF(AA60='Listas suspensas'!$A$5,'Listas suspensas'!$B$5,IF(AA60='Listas suspensas'!$A$6,'Listas suspensas'!$B$6,"")))))</f>
        <v xml:space="preserve"> Parcial e regular</v>
      </c>
      <c r="AC60" s="8" t="str">
        <f>IF(AA60='Listas suspensas'!$A$2,'Listas suspensas'!$C$2,IF(AA60='Listas suspensas'!$A$3,'Listas suspensas'!$C$3,IF(AA60='Listas suspensas'!$A$4,'Listas suspensas'!$C$4,IF(AA60='Listas suspensas'!$A$5,'Listas suspensas'!$C$5,IF(AA60='Listas suspensas'!$A$6,'Listas suspensas'!$C$6,"")))))</f>
        <v>Indica a penetração uniforme, mas não total pela extensão do alburno.</v>
      </c>
      <c r="AK60" s="8">
        <v>10.93</v>
      </c>
      <c r="AL60" s="8">
        <v>11.2</v>
      </c>
      <c r="AM60" s="8">
        <v>11.33</v>
      </c>
      <c r="AN60" s="8">
        <v>11.29</v>
      </c>
      <c r="AO60" s="8">
        <v>11.2</v>
      </c>
      <c r="AP60" s="8">
        <f t="shared" si="0"/>
        <v>1.1190000000000002</v>
      </c>
      <c r="AQ60" s="8">
        <v>10.16</v>
      </c>
      <c r="AR60" s="8">
        <v>14.33</v>
      </c>
      <c r="AS60" s="8">
        <v>14.13</v>
      </c>
      <c r="AT60" s="8">
        <v>13.75</v>
      </c>
      <c r="AU60" s="8">
        <v>12.4</v>
      </c>
      <c r="AV60" s="8">
        <f t="shared" si="1"/>
        <v>1.2954000000000003</v>
      </c>
      <c r="AW60" s="20">
        <v>0.83450000000000002</v>
      </c>
      <c r="AX60" s="20">
        <v>1.1596</v>
      </c>
      <c r="AY60" s="20">
        <v>1.1194</v>
      </c>
      <c r="AZ60" s="20">
        <v>1.1559999999999999</v>
      </c>
      <c r="BA60" s="20">
        <v>1.0478000000000001</v>
      </c>
      <c r="BB60" s="20">
        <f t="shared" si="2"/>
        <v>1.0634599999999998</v>
      </c>
      <c r="BC60" s="20">
        <f t="shared" si="11"/>
        <v>1.2739545878127683</v>
      </c>
      <c r="BE60" s="18">
        <f t="shared" si="12"/>
        <v>834.77072901463225</v>
      </c>
      <c r="BF60" s="8">
        <v>0.316</v>
      </c>
      <c r="BG60" s="8">
        <v>0.17499999999999999</v>
      </c>
      <c r="BH60" s="8">
        <v>0.31900000000000001</v>
      </c>
      <c r="BI60" s="13">
        <f t="shared" si="5"/>
        <v>0.81</v>
      </c>
      <c r="BJ60" s="14">
        <v>39.1</v>
      </c>
      <c r="BK60" s="14">
        <v>21.5</v>
      </c>
      <c r="BL60" s="14">
        <v>39.4</v>
      </c>
      <c r="BM60" s="16">
        <f t="shared" si="6"/>
        <v>100</v>
      </c>
      <c r="BN60" s="21">
        <f t="shared" si="7"/>
        <v>2.64</v>
      </c>
      <c r="BO60" s="21">
        <f t="shared" si="8"/>
        <v>1.46</v>
      </c>
      <c r="BP60" s="21">
        <f t="shared" si="9"/>
        <v>2.66</v>
      </c>
      <c r="BQ60" s="14">
        <f t="shared" si="10"/>
        <v>6.76</v>
      </c>
      <c r="BR60" s="22" t="str">
        <f>IF(OR(AND(X60="Mourões", BQ60&gt;=6.5),AND(X60="Postes", BQ60&gt;=9.6),AND(X60="Dormentes", BQ60&gt;=9.6),AND(X60="Estacas", BQ60&gt;=6.5),AND(X60="Cruzetas", BQ60&gt;=6.5),AND(X60="Outros - Solo", BQ60&gt;=6.5),AND(X60="Outros - Suspenso",BQ60&gt;=4),AND(X60="Deck",BQ60&gt;=4)),'Listas suspensas'!$C$21,'Listas suspensas'!$C$22)</f>
        <v>Os resultados da análise química apresentaram uma retenção do produto de acordo com o padrão mínimo exigido pela norma ABNT NBR 16143</v>
      </c>
    </row>
    <row r="61" spans="2:70" x14ac:dyDescent="0.25">
      <c r="B61" s="8" t="s">
        <v>247</v>
      </c>
      <c r="C61" s="8" t="s">
        <v>71</v>
      </c>
      <c r="D61" s="8" t="s">
        <v>240</v>
      </c>
      <c r="F61" s="11">
        <v>45607</v>
      </c>
      <c r="G61" s="11">
        <v>45608</v>
      </c>
      <c r="H61" s="11">
        <v>45614</v>
      </c>
      <c r="I61" s="8" t="s">
        <v>241</v>
      </c>
      <c r="J61" s="8" t="s">
        <v>242</v>
      </c>
      <c r="K61" s="8" t="s">
        <v>243</v>
      </c>
      <c r="L61" s="8" t="s">
        <v>15</v>
      </c>
      <c r="N61" s="8" t="s">
        <v>75</v>
      </c>
      <c r="O61" s="8" t="s">
        <v>94</v>
      </c>
      <c r="P61" s="28" t="s">
        <v>77</v>
      </c>
      <c r="Q61" s="16" t="s">
        <v>248</v>
      </c>
      <c r="X61" s="8" t="s">
        <v>79</v>
      </c>
      <c r="Y61" s="34">
        <f>IF(X61='Listas suspensas'!$A$21,'Listas suspensas'!$B$23,IF(X61='Listas suspensas'!$A$22,'Listas suspensas'!$B$23,IF(X61='Listas suspensas'!$A$23,'Listas suspensas'!$B$22,IF(X61='Listas suspensas'!$A$26,'Listas suspensas'!$B$22,IF(X61='Listas suspensas'!$A$32,'Listas suspensas'!$B$22,IF(X61='Listas suspensas'!$A$33,'Listas suspensas'!$B$21,IF(X61='Listas suspensas'!$A$24,'Listas suspensas'!$B$22,IF(X61='Listas suspensas'!$A$30,'Listas suspensas'!$B$21,""))))))))</f>
        <v>6.5</v>
      </c>
      <c r="Z61" s="8" t="s">
        <v>80</v>
      </c>
      <c r="AA61" s="8">
        <v>3</v>
      </c>
      <c r="AB61" s="8" t="str">
        <f>IF(AA61='Listas suspensas'!$A$2,'Listas suspensas'!$B$2,IF(AA61='Listas suspensas'!$A$3,'Listas suspensas'!$B$3,IF(AA61='Listas suspensas'!$A$4,'Listas suspensas'!$B$4,IF(AA61='Listas suspensas'!$A$5,'Listas suspensas'!$B$5,IF(AA61='Listas suspensas'!$A$6,'Listas suspensas'!$B$6,"")))))</f>
        <v xml:space="preserve"> Parcial e regular</v>
      </c>
      <c r="AC61" s="8" t="str">
        <f>IF(AA61='Listas suspensas'!$A$2,'Listas suspensas'!$C$2,IF(AA61='Listas suspensas'!$A$3,'Listas suspensas'!$C$3,IF(AA61='Listas suspensas'!$A$4,'Listas suspensas'!$C$4,IF(AA61='Listas suspensas'!$A$5,'Listas suspensas'!$C$5,IF(AA61='Listas suspensas'!$A$6,'Listas suspensas'!$C$6,"")))))</f>
        <v>Indica a penetração uniforme, mas não total pela extensão do alburno.</v>
      </c>
      <c r="AK61" s="8">
        <v>11.22</v>
      </c>
      <c r="AL61" s="8">
        <v>11.3</v>
      </c>
      <c r="AM61" s="8">
        <v>11.41</v>
      </c>
      <c r="AN61" s="8">
        <v>11.48</v>
      </c>
      <c r="AO61" s="8">
        <v>11.29</v>
      </c>
      <c r="AP61" s="8">
        <f t="shared" si="0"/>
        <v>1.1340000000000001</v>
      </c>
      <c r="AQ61" s="8">
        <v>10.9</v>
      </c>
      <c r="AR61" s="8">
        <v>11.26</v>
      </c>
      <c r="AS61" s="8">
        <v>10.43</v>
      </c>
      <c r="AT61" s="8">
        <v>10.199999999999999</v>
      </c>
      <c r="AU61" s="8">
        <v>11.96</v>
      </c>
      <c r="AV61" s="8">
        <f t="shared" si="1"/>
        <v>1.0950000000000002</v>
      </c>
      <c r="AW61" s="20">
        <v>0.84399999999999997</v>
      </c>
      <c r="AX61" s="20">
        <v>0.90529999999999999</v>
      </c>
      <c r="AY61" s="20">
        <v>0.84550000000000003</v>
      </c>
      <c r="AZ61" s="20">
        <v>0.82050000000000001</v>
      </c>
      <c r="BA61" s="20">
        <v>0.92490000000000006</v>
      </c>
      <c r="BB61" s="20">
        <f t="shared" si="2"/>
        <v>0.86803999999999992</v>
      </c>
      <c r="BC61" s="20">
        <f t="shared" si="11"/>
        <v>1.1059362912678725</v>
      </c>
      <c r="BE61" s="18">
        <f t="shared" si="12"/>
        <v>784.89150492100907</v>
      </c>
      <c r="BF61" s="8">
        <v>0.29799999999999999</v>
      </c>
      <c r="BG61" s="8">
        <v>0.14799999999999999</v>
      </c>
      <c r="BH61" s="8">
        <v>0.28499999999999998</v>
      </c>
      <c r="BI61" s="13">
        <f t="shared" si="5"/>
        <v>0.73099999999999987</v>
      </c>
      <c r="BJ61" s="14">
        <v>40.799999999999997</v>
      </c>
      <c r="BK61" s="14">
        <v>20.2</v>
      </c>
      <c r="BL61" s="14">
        <v>39</v>
      </c>
      <c r="BM61" s="16">
        <f t="shared" si="6"/>
        <v>100</v>
      </c>
      <c r="BN61" s="21">
        <f t="shared" si="7"/>
        <v>2.34</v>
      </c>
      <c r="BO61" s="21">
        <f t="shared" si="8"/>
        <v>1.1599999999999999</v>
      </c>
      <c r="BP61" s="21">
        <f t="shared" si="9"/>
        <v>2.2400000000000002</v>
      </c>
      <c r="BQ61" s="14">
        <f t="shared" si="10"/>
        <v>5.74</v>
      </c>
      <c r="BR61" s="22" t="str">
        <f>IF(OR(AND(X61="Mourões", BQ61&gt;=6.5),AND(X61="Postes", BQ61&gt;=9.6),AND(X61="Dormentes", BQ61&gt;=9.6),AND(X61="Estacas", BQ61&gt;=6.5),AND(X61="Cruzetas", BQ61&gt;=6.5),AND(X61="Outros - Solo", BQ61&gt;=6.5),AND(X61="Outros - Suspenso",BQ61&gt;=4),AND(X61="Deck",BQ61&gt;=4)),'Listas suspensas'!$C$21,'Listas suspensas'!$C$22)</f>
        <v>Os resultados da análise química apresentaram uma retenção do produto inferior ao padrão mínimo exigido pela norma ABNT NBR 16143</v>
      </c>
    </row>
    <row r="62" spans="2:70" x14ac:dyDescent="0.25">
      <c r="B62" s="8" t="s">
        <v>249</v>
      </c>
      <c r="C62" s="8" t="s">
        <v>71</v>
      </c>
      <c r="D62" s="8" t="s">
        <v>240</v>
      </c>
      <c r="F62" s="11">
        <v>45607</v>
      </c>
      <c r="G62" s="11">
        <v>45608</v>
      </c>
      <c r="H62" s="11">
        <v>45614</v>
      </c>
      <c r="I62" s="8" t="s">
        <v>241</v>
      </c>
      <c r="J62" s="8" t="s">
        <v>242</v>
      </c>
      <c r="K62" s="8" t="s">
        <v>243</v>
      </c>
      <c r="L62" s="8" t="s">
        <v>15</v>
      </c>
      <c r="N62" s="8" t="s">
        <v>75</v>
      </c>
      <c r="O62" s="8" t="s">
        <v>94</v>
      </c>
      <c r="P62" s="28" t="s">
        <v>77</v>
      </c>
      <c r="Q62" s="16" t="s">
        <v>250</v>
      </c>
      <c r="X62" s="8" t="s">
        <v>79</v>
      </c>
      <c r="Y62" s="34">
        <f>IF(X62='Listas suspensas'!$A$21,'Listas suspensas'!$B$23,IF(X62='Listas suspensas'!$A$22,'Listas suspensas'!$B$23,IF(X62='Listas suspensas'!$A$23,'Listas suspensas'!$B$22,IF(X62='Listas suspensas'!$A$26,'Listas suspensas'!$B$22,IF(X62='Listas suspensas'!$A$32,'Listas suspensas'!$B$22,IF(X62='Listas suspensas'!$A$33,'Listas suspensas'!$B$21,IF(X62='Listas suspensas'!$A$24,'Listas suspensas'!$B$22,IF(X62='Listas suspensas'!$A$30,'Listas suspensas'!$B$21,""))))))))</f>
        <v>6.5</v>
      </c>
      <c r="Z62" s="8" t="s">
        <v>80</v>
      </c>
      <c r="AA62" s="8">
        <v>3</v>
      </c>
      <c r="AB62" s="8" t="str">
        <f>IF(AA62='Listas suspensas'!$A$2,'Listas suspensas'!$B$2,IF(AA62='Listas suspensas'!$A$3,'Listas suspensas'!$B$3,IF(AA62='Listas suspensas'!$A$4,'Listas suspensas'!$B$4,IF(AA62='Listas suspensas'!$A$5,'Listas suspensas'!$B$5,IF(AA62='Listas suspensas'!$A$6,'Listas suspensas'!$B$6,"")))))</f>
        <v xml:space="preserve"> Parcial e regular</v>
      </c>
      <c r="AC62" s="8" t="str">
        <f>IF(AA62='Listas suspensas'!$A$2,'Listas suspensas'!$C$2,IF(AA62='Listas suspensas'!$A$3,'Listas suspensas'!$C$3,IF(AA62='Listas suspensas'!$A$4,'Listas suspensas'!$C$4,IF(AA62='Listas suspensas'!$A$5,'Listas suspensas'!$C$5,IF(AA62='Listas suspensas'!$A$6,'Listas suspensas'!$C$6,"")))))</f>
        <v>Indica a penetração uniforme, mas não total pela extensão do alburno.</v>
      </c>
      <c r="AK62" s="8">
        <v>11.34</v>
      </c>
      <c r="AL62" s="8">
        <v>11.4</v>
      </c>
      <c r="AM62" s="8">
        <v>11.4</v>
      </c>
      <c r="AN62" s="8">
        <v>11.4</v>
      </c>
      <c r="AO62" s="8">
        <v>11.39</v>
      </c>
      <c r="AP62" s="8">
        <f t="shared" si="0"/>
        <v>1.1385999999999998</v>
      </c>
      <c r="AQ62" s="8">
        <v>13.07</v>
      </c>
      <c r="AR62" s="8">
        <v>12.82</v>
      </c>
      <c r="AS62" s="8">
        <v>12.25</v>
      </c>
      <c r="AT62" s="8">
        <v>14.3</v>
      </c>
      <c r="AU62" s="8">
        <v>12.41</v>
      </c>
      <c r="AV62" s="8">
        <f t="shared" si="1"/>
        <v>1.2969999999999999</v>
      </c>
      <c r="AW62" s="20">
        <v>1.1198999999999999</v>
      </c>
      <c r="AX62" s="20">
        <v>1.0831</v>
      </c>
      <c r="AY62" s="20">
        <v>1.0755999999999999</v>
      </c>
      <c r="AZ62" s="20">
        <v>1.2037</v>
      </c>
      <c r="BA62" s="20">
        <v>1.0603</v>
      </c>
      <c r="BB62" s="20">
        <f t="shared" si="2"/>
        <v>1.1085199999999999</v>
      </c>
      <c r="BC62" s="20">
        <f t="shared" si="11"/>
        <v>1.3206028080676244</v>
      </c>
      <c r="BE62" s="18">
        <f t="shared" si="12"/>
        <v>839.40454558175963</v>
      </c>
      <c r="BF62" s="8">
        <v>0.28499999999999998</v>
      </c>
      <c r="BG62" s="8">
        <v>0.16300000000000001</v>
      </c>
      <c r="BH62" s="8">
        <v>0.34399999999999997</v>
      </c>
      <c r="BI62" s="13">
        <f t="shared" si="5"/>
        <v>0.79199999999999993</v>
      </c>
      <c r="BJ62" s="14">
        <v>36</v>
      </c>
      <c r="BK62" s="14">
        <v>20.6</v>
      </c>
      <c r="BL62" s="14">
        <v>43.4</v>
      </c>
      <c r="BM62" s="16">
        <f t="shared" si="6"/>
        <v>100</v>
      </c>
      <c r="BN62" s="21">
        <f t="shared" si="7"/>
        <v>2.39</v>
      </c>
      <c r="BO62" s="21">
        <f t="shared" si="8"/>
        <v>1.37</v>
      </c>
      <c r="BP62" s="21">
        <f t="shared" si="9"/>
        <v>2.89</v>
      </c>
      <c r="BQ62" s="14">
        <f t="shared" si="10"/>
        <v>6.65</v>
      </c>
      <c r="BR62" s="22" t="str">
        <f>IF(OR(AND(X62="Mourões", BQ62&gt;=6.5),AND(X62="Postes", BQ62&gt;=9.6),AND(X62="Dormentes", BQ62&gt;=9.6),AND(X62="Estacas", BQ62&gt;=6.5),AND(X62="Cruzetas", BQ62&gt;=6.5),AND(X62="Outros - Solo", BQ62&gt;=6.5),AND(X62="Outros - Suspenso",BQ62&gt;=4),AND(X62="Deck",BQ62&gt;=4)),'Listas suspensas'!$C$21,'Listas suspensas'!$C$22)</f>
        <v>Os resultados da análise química apresentaram uma retenção do produto de acordo com o padrão mínimo exigido pela norma ABNT NBR 16143</v>
      </c>
    </row>
    <row r="63" spans="2:70" x14ac:dyDescent="0.25">
      <c r="B63" s="8" t="s">
        <v>251</v>
      </c>
      <c r="C63" s="8" t="s">
        <v>71</v>
      </c>
      <c r="D63" s="8" t="s">
        <v>240</v>
      </c>
      <c r="F63" s="11">
        <v>45607</v>
      </c>
      <c r="G63" s="11">
        <v>45608</v>
      </c>
      <c r="H63" s="11">
        <v>45614</v>
      </c>
      <c r="I63" s="8" t="s">
        <v>241</v>
      </c>
      <c r="J63" s="8" t="s">
        <v>242</v>
      </c>
      <c r="K63" s="8" t="s">
        <v>243</v>
      </c>
      <c r="L63" s="8" t="s">
        <v>15</v>
      </c>
      <c r="N63" s="8" t="s">
        <v>75</v>
      </c>
      <c r="O63" s="8" t="s">
        <v>94</v>
      </c>
      <c r="P63" s="28" t="s">
        <v>77</v>
      </c>
      <c r="Q63" s="16" t="s">
        <v>252</v>
      </c>
      <c r="X63" s="8" t="s">
        <v>79</v>
      </c>
      <c r="Y63" s="34">
        <f>IF(X63='Listas suspensas'!$A$21,'Listas suspensas'!$B$23,IF(X63='Listas suspensas'!$A$22,'Listas suspensas'!$B$23,IF(X63='Listas suspensas'!$A$23,'Listas suspensas'!$B$22,IF(X63='Listas suspensas'!$A$26,'Listas suspensas'!$B$22,IF(X63='Listas suspensas'!$A$32,'Listas suspensas'!$B$22,IF(X63='Listas suspensas'!$A$33,'Listas suspensas'!$B$21,IF(X63='Listas suspensas'!$A$24,'Listas suspensas'!$B$22,IF(X63='Listas suspensas'!$A$30,'Listas suspensas'!$B$21,""))))))))</f>
        <v>6.5</v>
      </c>
      <c r="Z63" s="8" t="s">
        <v>80</v>
      </c>
      <c r="AA63" s="8">
        <v>3</v>
      </c>
      <c r="AB63" s="8" t="str">
        <f>IF(AA63='Listas suspensas'!$A$2,'Listas suspensas'!$B$2,IF(AA63='Listas suspensas'!$A$3,'Listas suspensas'!$B$3,IF(AA63='Listas suspensas'!$A$4,'Listas suspensas'!$B$4,IF(AA63='Listas suspensas'!$A$5,'Listas suspensas'!$B$5,IF(AA63='Listas suspensas'!$A$6,'Listas suspensas'!$B$6,"")))))</f>
        <v xml:space="preserve"> Parcial e regular</v>
      </c>
      <c r="AC63" s="8" t="str">
        <f>IF(AA63='Listas suspensas'!$A$2,'Listas suspensas'!$C$2,IF(AA63='Listas suspensas'!$A$3,'Listas suspensas'!$C$3,IF(AA63='Listas suspensas'!$A$4,'Listas suspensas'!$C$4,IF(AA63='Listas suspensas'!$A$5,'Listas suspensas'!$C$5,IF(AA63='Listas suspensas'!$A$6,'Listas suspensas'!$C$6,"")))))</f>
        <v>Indica a penetração uniforme, mas não total pela extensão do alburno.</v>
      </c>
      <c r="AK63" s="8">
        <v>11.36</v>
      </c>
      <c r="AL63" s="8">
        <v>11.34</v>
      </c>
      <c r="AM63" s="8">
        <v>11.49</v>
      </c>
      <c r="AN63" s="8">
        <v>11.4</v>
      </c>
      <c r="AO63" s="8">
        <v>11.3</v>
      </c>
      <c r="AP63" s="8">
        <f t="shared" si="0"/>
        <v>1.1377999999999999</v>
      </c>
      <c r="AQ63" s="8">
        <v>13.83</v>
      </c>
      <c r="AR63" s="8">
        <v>13.47</v>
      </c>
      <c r="AS63" s="8">
        <v>12.23</v>
      </c>
      <c r="AT63" s="8">
        <v>10.23</v>
      </c>
      <c r="AU63" s="8">
        <v>12.94</v>
      </c>
      <c r="AV63" s="8">
        <f t="shared" si="1"/>
        <v>1.254</v>
      </c>
      <c r="AW63" s="20">
        <v>1.1262000000000001</v>
      </c>
      <c r="AX63" s="20">
        <v>1.1133</v>
      </c>
      <c r="AY63" s="20">
        <v>1.0054000000000001</v>
      </c>
      <c r="AZ63" s="20">
        <v>0.78049999999999997</v>
      </c>
      <c r="BA63" s="20">
        <v>0.96120000000000005</v>
      </c>
      <c r="BB63" s="20">
        <f t="shared" si="2"/>
        <v>0.99731999999999998</v>
      </c>
      <c r="BC63" s="20">
        <f t="shared" si="11"/>
        <v>1.2750266924027043</v>
      </c>
      <c r="BE63" s="18">
        <f t="shared" si="12"/>
        <v>782.19538927504004</v>
      </c>
      <c r="BF63" s="8">
        <v>0.32200000000000001</v>
      </c>
      <c r="BG63" s="8">
        <v>0.16400000000000001</v>
      </c>
      <c r="BH63" s="8">
        <v>0.35199999999999998</v>
      </c>
      <c r="BI63" s="13">
        <f t="shared" si="5"/>
        <v>0.83799999999999997</v>
      </c>
      <c r="BJ63" s="14">
        <v>38.5</v>
      </c>
      <c r="BK63" s="14">
        <v>19.5</v>
      </c>
      <c r="BL63" s="14">
        <v>42</v>
      </c>
      <c r="BM63" s="16">
        <f t="shared" si="6"/>
        <v>100</v>
      </c>
      <c r="BN63" s="21">
        <f t="shared" si="7"/>
        <v>2.52</v>
      </c>
      <c r="BO63" s="21">
        <f t="shared" si="8"/>
        <v>1.28</v>
      </c>
      <c r="BP63" s="21">
        <f t="shared" si="9"/>
        <v>2.75</v>
      </c>
      <c r="BQ63" s="14">
        <f t="shared" si="10"/>
        <v>6.55</v>
      </c>
      <c r="BR63" s="22" t="str">
        <f>IF(OR(AND(X63="Mourões", BQ63&gt;=6.5),AND(X63="Postes", BQ63&gt;=9.6),AND(X63="Dormentes", BQ63&gt;=9.6),AND(X63="Estacas", BQ63&gt;=6.5),AND(X63="Cruzetas", BQ63&gt;=6.5),AND(X63="Outros - Solo", BQ63&gt;=6.5),AND(X63="Outros - Suspenso",BQ63&gt;=4),AND(X63="Deck",BQ63&gt;=4)),'Listas suspensas'!$C$21,'Listas suspensas'!$C$22)</f>
        <v>Os resultados da análise química apresentaram uma retenção do produto de acordo com o padrão mínimo exigido pela norma ABNT NBR 16143</v>
      </c>
    </row>
    <row r="64" spans="2:70" x14ac:dyDescent="0.25">
      <c r="B64" s="8" t="s">
        <v>253</v>
      </c>
      <c r="C64" s="8" t="s">
        <v>71</v>
      </c>
      <c r="D64" s="8" t="s">
        <v>240</v>
      </c>
      <c r="F64" s="11">
        <v>45607</v>
      </c>
      <c r="G64" s="11">
        <v>45608</v>
      </c>
      <c r="H64" s="11">
        <v>45614</v>
      </c>
      <c r="I64" s="8" t="s">
        <v>241</v>
      </c>
      <c r="J64" s="8" t="s">
        <v>242</v>
      </c>
      <c r="K64" s="8" t="s">
        <v>243</v>
      </c>
      <c r="L64" s="8" t="s">
        <v>15</v>
      </c>
      <c r="N64" s="8" t="s">
        <v>75</v>
      </c>
      <c r="O64" s="8" t="s">
        <v>94</v>
      </c>
      <c r="P64" s="28" t="s">
        <v>77</v>
      </c>
      <c r="Q64" s="16" t="s">
        <v>254</v>
      </c>
      <c r="X64" s="8" t="s">
        <v>79</v>
      </c>
      <c r="Y64" s="34">
        <f>IF(X64='Listas suspensas'!$A$21,'Listas suspensas'!$B$23,IF(X64='Listas suspensas'!$A$22,'Listas suspensas'!$B$23,IF(X64='Listas suspensas'!$A$23,'Listas suspensas'!$B$22,IF(X64='Listas suspensas'!$A$26,'Listas suspensas'!$B$22,IF(X64='Listas suspensas'!$A$32,'Listas suspensas'!$B$22,IF(X64='Listas suspensas'!$A$33,'Listas suspensas'!$B$21,IF(X64='Listas suspensas'!$A$24,'Listas suspensas'!$B$22,IF(X64='Listas suspensas'!$A$30,'Listas suspensas'!$B$21,""))))))))</f>
        <v>6.5</v>
      </c>
      <c r="Z64" s="8" t="s">
        <v>80</v>
      </c>
      <c r="AA64" s="8">
        <v>4</v>
      </c>
      <c r="AB64" s="8" t="str">
        <f>IF(AA64='Listas suspensas'!$A$2,'Listas suspensas'!$B$2,IF(AA64='Listas suspensas'!$A$3,'Listas suspensas'!$B$3,IF(AA64='Listas suspensas'!$A$4,'Listas suspensas'!$B$4,IF(AA64='Listas suspensas'!$A$5,'Listas suspensas'!$B$5,IF(AA64='Listas suspensas'!$A$6,'Listas suspensas'!$B$6,"")))))</f>
        <v>Parcial e irregular</v>
      </c>
      <c r="AC64" s="8" t="str">
        <f>IF(AA64='Listas suspensas'!$A$2,'Listas suspensas'!$C$2,IF(AA64='Listas suspensas'!$A$3,'Listas suspensas'!$C$3,IF(AA64='Listas suspensas'!$A$4,'Listas suspensas'!$C$4,IF(AA64='Listas suspensas'!$A$5,'Listas suspensas'!$C$5,IF(AA64='Listas suspensas'!$A$6,'Listas suspensas'!$C$6,"")))))</f>
        <v>Indica a penetração desuniforme e não total pela extensão do alburno.</v>
      </c>
      <c r="AK64" s="8">
        <v>11.28</v>
      </c>
      <c r="AL64" s="8">
        <v>11.23</v>
      </c>
      <c r="AM64" s="8">
        <v>11.38</v>
      </c>
      <c r="AN64" s="8">
        <v>11.24</v>
      </c>
      <c r="AO64" s="8">
        <v>11.26</v>
      </c>
      <c r="AP64" s="8">
        <f t="shared" si="0"/>
        <v>1.1278000000000001</v>
      </c>
      <c r="AQ64" s="8">
        <v>7.99</v>
      </c>
      <c r="AR64" s="8">
        <v>8.1</v>
      </c>
      <c r="AS64" s="8">
        <v>7.49</v>
      </c>
      <c r="AT64" s="8">
        <v>11.73</v>
      </c>
      <c r="AU64" s="8">
        <v>10.92</v>
      </c>
      <c r="AV64" s="8">
        <f t="shared" si="1"/>
        <v>0.92460000000000009</v>
      </c>
      <c r="AW64" s="20">
        <v>0.55489999999999995</v>
      </c>
      <c r="AX64" s="20">
        <v>0.62380000000000002</v>
      </c>
      <c r="AY64" s="20">
        <v>0.54510000000000003</v>
      </c>
      <c r="AZ64" s="20">
        <v>0.79490000000000005</v>
      </c>
      <c r="BA64" s="20">
        <v>0.66059999999999997</v>
      </c>
      <c r="BB64" s="20">
        <f t="shared" si="2"/>
        <v>0.63586000000000009</v>
      </c>
      <c r="BC64" s="20">
        <f t="shared" si="11"/>
        <v>0.92365109827673275</v>
      </c>
      <c r="BE64" s="18">
        <f t="shared" si="12"/>
        <v>688.42012009332518</v>
      </c>
      <c r="BF64" s="8">
        <v>0.25800000000000001</v>
      </c>
      <c r="BG64" s="8">
        <v>9.6000000000000002E-2</v>
      </c>
      <c r="BH64" s="8">
        <v>0.13800000000000001</v>
      </c>
      <c r="BI64" s="13">
        <f t="shared" si="5"/>
        <v>0.49199999999999999</v>
      </c>
      <c r="BJ64" s="14">
        <v>52.4</v>
      </c>
      <c r="BK64" s="14">
        <v>19.600000000000001</v>
      </c>
      <c r="BL64" s="14">
        <v>28</v>
      </c>
      <c r="BM64" s="16">
        <f t="shared" si="6"/>
        <v>100</v>
      </c>
      <c r="BN64" s="21">
        <f t="shared" si="7"/>
        <v>1.78</v>
      </c>
      <c r="BO64" s="21">
        <f t="shared" si="8"/>
        <v>0.66</v>
      </c>
      <c r="BP64" s="21">
        <f t="shared" si="9"/>
        <v>0.95</v>
      </c>
      <c r="BQ64" s="14">
        <f t="shared" si="10"/>
        <v>3.39</v>
      </c>
      <c r="BR64" s="22" t="str">
        <f>IF(OR(AND(X64="Mourões", BQ64&gt;=6.5),AND(X64="Postes", BQ64&gt;=9.6),AND(X64="Dormentes", BQ64&gt;=9.6),AND(X64="Estacas", BQ64&gt;=6.5),AND(X64="Cruzetas", BQ64&gt;=6.5),AND(X64="Outros - Solo", BQ64&gt;=6.5),AND(X64="Outros - Suspenso",BQ64&gt;=4),AND(X64="Deck",BQ64&gt;=4)),'Listas suspensas'!$C$21,'Listas suspensas'!$C$22)</f>
        <v>Os resultados da análise química apresentaram uma retenção do produto inferior ao padrão mínimo exigido pela norma ABNT NBR 16143</v>
      </c>
    </row>
    <row r="65" spans="2:70" x14ac:dyDescent="0.25">
      <c r="B65" s="8" t="s">
        <v>255</v>
      </c>
      <c r="C65" s="8" t="s">
        <v>71</v>
      </c>
      <c r="D65" s="8" t="s">
        <v>240</v>
      </c>
      <c r="F65" s="11">
        <v>45607</v>
      </c>
      <c r="G65" s="11">
        <v>45608</v>
      </c>
      <c r="H65" s="11">
        <v>45614</v>
      </c>
      <c r="I65" s="8" t="s">
        <v>241</v>
      </c>
      <c r="J65" s="8" t="s">
        <v>242</v>
      </c>
      <c r="K65" s="8" t="s">
        <v>243</v>
      </c>
      <c r="L65" s="8" t="s">
        <v>15</v>
      </c>
      <c r="N65" s="8" t="s">
        <v>75</v>
      </c>
      <c r="O65" s="8" t="s">
        <v>94</v>
      </c>
      <c r="P65" s="28" t="s">
        <v>77</v>
      </c>
      <c r="Q65" s="16" t="s">
        <v>256</v>
      </c>
      <c r="X65" s="8" t="s">
        <v>79</v>
      </c>
      <c r="Y65" s="34">
        <f>IF(X65='Listas suspensas'!$A$21,'Listas suspensas'!$B$23,IF(X65='Listas suspensas'!$A$22,'Listas suspensas'!$B$23,IF(X65='Listas suspensas'!$A$23,'Listas suspensas'!$B$22,IF(X65='Listas suspensas'!$A$26,'Listas suspensas'!$B$22,IF(X65='Listas suspensas'!$A$32,'Listas suspensas'!$B$22,IF(X65='Listas suspensas'!$A$33,'Listas suspensas'!$B$21,IF(X65='Listas suspensas'!$A$24,'Listas suspensas'!$B$22,IF(X65='Listas suspensas'!$A$30,'Listas suspensas'!$B$21,""))))))))</f>
        <v>6.5</v>
      </c>
      <c r="Z65" s="8" t="s">
        <v>80</v>
      </c>
      <c r="AA65" s="8">
        <v>4</v>
      </c>
      <c r="AB65" s="8" t="str">
        <f>IF(AA65='Listas suspensas'!$A$2,'Listas suspensas'!$B$2,IF(AA65='Listas suspensas'!$A$3,'Listas suspensas'!$B$3,IF(AA65='Listas suspensas'!$A$4,'Listas suspensas'!$B$4,IF(AA65='Listas suspensas'!$A$5,'Listas suspensas'!$B$5,IF(AA65='Listas suspensas'!$A$6,'Listas suspensas'!$B$6,"")))))</f>
        <v>Parcial e irregular</v>
      </c>
      <c r="AC65" s="8" t="str">
        <f>IF(AA65='Listas suspensas'!$A$2,'Listas suspensas'!$C$2,IF(AA65='Listas suspensas'!$A$3,'Listas suspensas'!$C$3,IF(AA65='Listas suspensas'!$A$4,'Listas suspensas'!$C$4,IF(AA65='Listas suspensas'!$A$5,'Listas suspensas'!$C$5,IF(AA65='Listas suspensas'!$A$6,'Listas suspensas'!$C$6,"")))))</f>
        <v>Indica a penetração desuniforme e não total pela extensão do alburno.</v>
      </c>
      <c r="AK65" s="8">
        <v>11.42</v>
      </c>
      <c r="AL65" s="8">
        <v>11.49</v>
      </c>
      <c r="AM65" s="8">
        <v>11.42</v>
      </c>
      <c r="AN65" s="8">
        <v>11.41</v>
      </c>
      <c r="AO65" s="8">
        <v>11.41</v>
      </c>
      <c r="AP65" s="8">
        <f t="shared" si="0"/>
        <v>1.1429999999999998</v>
      </c>
      <c r="AQ65" s="8">
        <v>14.12</v>
      </c>
      <c r="AR65" s="8">
        <v>13.78</v>
      </c>
      <c r="AS65" s="8">
        <v>13.21</v>
      </c>
      <c r="AT65" s="8">
        <v>15.93</v>
      </c>
      <c r="AU65" s="8">
        <v>12.18</v>
      </c>
      <c r="AV65" s="8">
        <f t="shared" si="1"/>
        <v>1.3843999999999999</v>
      </c>
      <c r="AW65" s="20">
        <v>1.2148000000000001</v>
      </c>
      <c r="AX65" s="20">
        <v>1.1673</v>
      </c>
      <c r="AY65" s="20">
        <v>1.1007</v>
      </c>
      <c r="AZ65" s="20">
        <v>1.3353999999999999</v>
      </c>
      <c r="BA65" s="20">
        <v>1.0218</v>
      </c>
      <c r="BB65" s="20">
        <f t="shared" si="2"/>
        <v>1.1679999999999999</v>
      </c>
      <c r="BC65" s="20">
        <f t="shared" si="11"/>
        <v>1.4205088139767155</v>
      </c>
      <c r="BE65" s="18">
        <f t="shared" si="12"/>
        <v>822.24058626583462</v>
      </c>
      <c r="BF65" s="8">
        <v>0.217</v>
      </c>
      <c r="BG65" s="8">
        <v>0.109</v>
      </c>
      <c r="BH65" s="8">
        <v>0.20699999999999999</v>
      </c>
      <c r="BI65" s="13">
        <f t="shared" si="5"/>
        <v>0.53300000000000003</v>
      </c>
      <c r="BJ65" s="14">
        <v>40.700000000000003</v>
      </c>
      <c r="BK65" s="14">
        <v>20.5</v>
      </c>
      <c r="BL65" s="14">
        <v>38.799999999999997</v>
      </c>
      <c r="BM65" s="16">
        <f t="shared" si="6"/>
        <v>100</v>
      </c>
      <c r="BN65" s="21">
        <f t="shared" si="7"/>
        <v>1.78</v>
      </c>
      <c r="BO65" s="21">
        <f t="shared" si="8"/>
        <v>0.9</v>
      </c>
      <c r="BP65" s="21">
        <f t="shared" si="9"/>
        <v>1.7</v>
      </c>
      <c r="BQ65" s="14">
        <f t="shared" si="10"/>
        <v>4.38</v>
      </c>
      <c r="BR65" s="22" t="str">
        <f>IF(OR(AND(X65="Mourões", BQ65&gt;=6.5),AND(X65="Postes", BQ65&gt;=9.6),AND(X65="Dormentes", BQ65&gt;=9.6),AND(X65="Estacas", BQ65&gt;=6.5),AND(X65="Cruzetas", BQ65&gt;=6.5),AND(X65="Outros - Solo", BQ65&gt;=6.5),AND(X65="Outros - Suspenso",BQ65&gt;=4),AND(X65="Deck",BQ65&gt;=4)),'Listas suspensas'!$C$21,'Listas suspensas'!$C$22)</f>
        <v>Os resultados da análise química apresentaram uma retenção do produto inferior ao padrão mínimo exigido pela norma ABNT NBR 16143</v>
      </c>
    </row>
    <row r="66" spans="2:70" x14ac:dyDescent="0.25">
      <c r="B66" s="8" t="s">
        <v>257</v>
      </c>
      <c r="C66" s="8" t="s">
        <v>71</v>
      </c>
      <c r="D66" s="8" t="s">
        <v>240</v>
      </c>
      <c r="F66" s="11">
        <v>45607</v>
      </c>
      <c r="G66" s="11">
        <v>45608</v>
      </c>
      <c r="H66" s="11">
        <v>45614</v>
      </c>
      <c r="I66" s="8" t="s">
        <v>241</v>
      </c>
      <c r="J66" s="8" t="s">
        <v>242</v>
      </c>
      <c r="K66" s="8" t="s">
        <v>243</v>
      </c>
      <c r="L66" s="8" t="s">
        <v>15</v>
      </c>
      <c r="N66" s="8" t="s">
        <v>75</v>
      </c>
      <c r="O66" s="8" t="s">
        <v>94</v>
      </c>
      <c r="P66" s="28" t="s">
        <v>77</v>
      </c>
      <c r="Q66" s="16" t="s">
        <v>258</v>
      </c>
      <c r="X66" s="8" t="s">
        <v>79</v>
      </c>
      <c r="Y66" s="34">
        <f>IF(X66='Listas suspensas'!$A$21,'Listas suspensas'!$B$23,IF(X66='Listas suspensas'!$A$22,'Listas suspensas'!$B$23,IF(X66='Listas suspensas'!$A$23,'Listas suspensas'!$B$22,IF(X66='Listas suspensas'!$A$26,'Listas suspensas'!$B$22,IF(X66='Listas suspensas'!$A$32,'Listas suspensas'!$B$22,IF(X66='Listas suspensas'!$A$33,'Listas suspensas'!$B$21,IF(X66='Listas suspensas'!$A$24,'Listas suspensas'!$B$22,IF(X66='Listas suspensas'!$A$30,'Listas suspensas'!$B$21,""))))))))</f>
        <v>6.5</v>
      </c>
      <c r="Z66" s="8" t="s">
        <v>80</v>
      </c>
      <c r="AA66" s="8">
        <v>3</v>
      </c>
      <c r="AB66" s="8" t="str">
        <f>IF(AA66='Listas suspensas'!$A$2,'Listas suspensas'!$B$2,IF(AA66='Listas suspensas'!$A$3,'Listas suspensas'!$B$3,IF(AA66='Listas suspensas'!$A$4,'Listas suspensas'!$B$4,IF(AA66='Listas suspensas'!$A$5,'Listas suspensas'!$B$5,IF(AA66='Listas suspensas'!$A$6,'Listas suspensas'!$B$6,"")))))</f>
        <v xml:space="preserve"> Parcial e regular</v>
      </c>
      <c r="AC66" s="8" t="str">
        <f>IF(AA66='Listas suspensas'!$A$2,'Listas suspensas'!$C$2,IF(AA66='Listas suspensas'!$A$3,'Listas suspensas'!$C$3,IF(AA66='Listas suspensas'!$A$4,'Listas suspensas'!$C$4,IF(AA66='Listas suspensas'!$A$5,'Listas suspensas'!$C$5,IF(AA66='Listas suspensas'!$A$6,'Listas suspensas'!$C$6,"")))))</f>
        <v>Indica a penetração uniforme, mas não total pela extensão do alburno.</v>
      </c>
      <c r="AK66" s="8">
        <v>11.26</v>
      </c>
      <c r="AL66" s="8">
        <v>11.02</v>
      </c>
      <c r="AM66" s="8">
        <v>11.16</v>
      </c>
      <c r="AN66" s="8">
        <v>11.07</v>
      </c>
      <c r="AO66" s="8">
        <v>10.98</v>
      </c>
      <c r="AP66" s="8">
        <f t="shared" ref="AP66:AP129" si="22">AVERAGE(AK66:AO66)/10</f>
        <v>1.1097999999999999</v>
      </c>
      <c r="AQ66" s="8">
        <v>12.44</v>
      </c>
      <c r="AR66" s="8">
        <v>12.18</v>
      </c>
      <c r="AS66" s="8">
        <v>12.08</v>
      </c>
      <c r="AT66" s="8">
        <v>11.79</v>
      </c>
      <c r="AU66" s="8">
        <v>13.77</v>
      </c>
      <c r="AV66" s="8">
        <f t="shared" ref="AV66:AV129" si="23">AVERAGE(AQ66:AU66)/10</f>
        <v>1.2451999999999999</v>
      </c>
      <c r="AW66" s="20">
        <v>0.95320000000000005</v>
      </c>
      <c r="AX66" s="20">
        <v>0.92989999999999995</v>
      </c>
      <c r="AY66" s="20">
        <v>0.97060000000000002</v>
      </c>
      <c r="AZ66" s="20">
        <v>0.89900000000000002</v>
      </c>
      <c r="BA66" s="20">
        <v>0.96430000000000005</v>
      </c>
      <c r="BB66" s="20">
        <f t="shared" ref="BB66:BB103" si="24">AVERAGE(AW66:BA66)</f>
        <v>0.94339999999999991</v>
      </c>
      <c r="BC66" s="20">
        <f t="shared" ref="BC66:BC97" si="25">PI()*(AP66/2)^2*AV66</f>
        <v>1.2045322558113012</v>
      </c>
      <c r="BE66" s="18">
        <f t="shared" ref="BE66:BE97" si="26">(BB66/BC66)*1000</f>
        <v>783.20858196078927</v>
      </c>
      <c r="BF66" s="8">
        <v>0.25900000000000001</v>
      </c>
      <c r="BG66" s="8">
        <v>0.13500000000000001</v>
      </c>
      <c r="BH66" s="8">
        <v>0.247</v>
      </c>
      <c r="BI66" s="13">
        <f t="shared" ref="BI66:BI129" si="27">SUM(BF66:BH66)</f>
        <v>0.64100000000000001</v>
      </c>
      <c r="BJ66" s="14">
        <v>40.4</v>
      </c>
      <c r="BK66" s="14">
        <v>21</v>
      </c>
      <c r="BL66" s="14">
        <v>38.6</v>
      </c>
      <c r="BM66" s="16">
        <f t="shared" ref="BM66:BM103" si="28">ROUND(SUM(BJ66:BL66),2)</f>
        <v>100</v>
      </c>
      <c r="BN66" s="21">
        <f t="shared" ref="BN66:BN103" si="29">ROUND((BF66/100)*BE66,2)</f>
        <v>2.0299999999999998</v>
      </c>
      <c r="BO66" s="21">
        <f t="shared" ref="BO66:BO103" si="30">ROUND((BG66/100)*BE66,2)</f>
        <v>1.06</v>
      </c>
      <c r="BP66" s="21">
        <f t="shared" ref="BP66:BP103" si="31">ROUND((BH66/100)*BE66,2)</f>
        <v>1.93</v>
      </c>
      <c r="BQ66" s="14">
        <f t="shared" ref="BQ66:BQ103" si="32">ROUND(SUM(BN66:BP66),2)</f>
        <v>5.0199999999999996</v>
      </c>
      <c r="BR66" s="22" t="str">
        <f>IF(OR(AND(X66="Mourões", BQ66&gt;=6.5),AND(X66="Postes", BQ66&gt;=9.6),AND(X66="Dormentes", BQ66&gt;=9.6),AND(X66="Estacas", BQ66&gt;=6.5),AND(X66="Cruzetas", BQ66&gt;=6.5),AND(X66="Outros - Solo", BQ66&gt;=6.5),AND(X66="Outros - Suspenso",BQ66&gt;=4),AND(X66="Deck",BQ66&gt;=4)),'Listas suspensas'!$C$21,'Listas suspensas'!$C$22)</f>
        <v>Os resultados da análise química apresentaram uma retenção do produto inferior ao padrão mínimo exigido pela norma ABNT NBR 16143</v>
      </c>
    </row>
    <row r="67" spans="2:70" x14ac:dyDescent="0.25">
      <c r="B67" s="8" t="s">
        <v>259</v>
      </c>
      <c r="C67" s="8" t="s">
        <v>71</v>
      </c>
      <c r="D67" s="8" t="s">
        <v>240</v>
      </c>
      <c r="F67" s="11">
        <v>45607</v>
      </c>
      <c r="G67" s="11">
        <v>45608</v>
      </c>
      <c r="H67" s="11">
        <v>45614</v>
      </c>
      <c r="I67" s="8" t="s">
        <v>241</v>
      </c>
      <c r="J67" s="8" t="s">
        <v>242</v>
      </c>
      <c r="K67" s="8" t="s">
        <v>243</v>
      </c>
      <c r="L67" s="8" t="s">
        <v>15</v>
      </c>
      <c r="N67" s="8" t="s">
        <v>75</v>
      </c>
      <c r="O67" s="8" t="s">
        <v>94</v>
      </c>
      <c r="P67" s="28" t="s">
        <v>77</v>
      </c>
      <c r="Q67" s="16" t="s">
        <v>260</v>
      </c>
      <c r="X67" s="8" t="s">
        <v>79</v>
      </c>
      <c r="Y67" s="34">
        <f>IF(X67='Listas suspensas'!$A$21,'Listas suspensas'!$B$23,IF(X67='Listas suspensas'!$A$22,'Listas suspensas'!$B$23,IF(X67='Listas suspensas'!$A$23,'Listas suspensas'!$B$22,IF(X67='Listas suspensas'!$A$26,'Listas suspensas'!$B$22,IF(X67='Listas suspensas'!$A$32,'Listas suspensas'!$B$22,IF(X67='Listas suspensas'!$A$33,'Listas suspensas'!$B$21,IF(X67='Listas suspensas'!$A$24,'Listas suspensas'!$B$22,IF(X67='Listas suspensas'!$A$30,'Listas suspensas'!$B$21,""))))))))</f>
        <v>6.5</v>
      </c>
      <c r="Z67" s="8" t="s">
        <v>80</v>
      </c>
      <c r="AA67" s="8">
        <v>3</v>
      </c>
      <c r="AB67" s="8" t="str">
        <f>IF(AA67='Listas suspensas'!$A$2,'Listas suspensas'!$B$2,IF(AA67='Listas suspensas'!$A$3,'Listas suspensas'!$B$3,IF(AA67='Listas suspensas'!$A$4,'Listas suspensas'!$B$4,IF(AA67='Listas suspensas'!$A$5,'Listas suspensas'!$B$5,IF(AA67='Listas suspensas'!$A$6,'Listas suspensas'!$B$6,"")))))</f>
        <v xml:space="preserve"> Parcial e regular</v>
      </c>
      <c r="AC67" s="8" t="str">
        <f>IF(AA67='Listas suspensas'!$A$2,'Listas suspensas'!$C$2,IF(AA67='Listas suspensas'!$A$3,'Listas suspensas'!$C$3,IF(AA67='Listas suspensas'!$A$4,'Listas suspensas'!$C$4,IF(AA67='Listas suspensas'!$A$5,'Listas suspensas'!$C$5,IF(AA67='Listas suspensas'!$A$6,'Listas suspensas'!$C$6,"")))))</f>
        <v>Indica a penetração uniforme, mas não total pela extensão do alburno.</v>
      </c>
      <c r="AK67" s="8">
        <v>11.11</v>
      </c>
      <c r="AL67" s="8">
        <v>11.11</v>
      </c>
      <c r="AM67" s="8">
        <v>11.04</v>
      </c>
      <c r="AN67" s="8">
        <v>11.05</v>
      </c>
      <c r="AO67" s="8">
        <v>11.06</v>
      </c>
      <c r="AP67" s="8">
        <f t="shared" si="22"/>
        <v>1.1074000000000002</v>
      </c>
      <c r="AQ67" s="8">
        <v>12.56</v>
      </c>
      <c r="AR67" s="8">
        <v>14</v>
      </c>
      <c r="AS67" s="8">
        <v>13.09</v>
      </c>
      <c r="AT67" s="8">
        <v>11.21</v>
      </c>
      <c r="AU67" s="8">
        <v>11.92</v>
      </c>
      <c r="AV67" s="8">
        <f t="shared" si="23"/>
        <v>1.2556</v>
      </c>
      <c r="AW67" s="20">
        <v>0.94499999999999995</v>
      </c>
      <c r="AX67" s="20">
        <v>0.99399999999999999</v>
      </c>
      <c r="AY67" s="20">
        <v>0.93079999999999996</v>
      </c>
      <c r="AZ67" s="20">
        <v>0.83360000000000001</v>
      </c>
      <c r="BA67" s="20">
        <v>0.76870000000000005</v>
      </c>
      <c r="BB67" s="20">
        <f t="shared" si="24"/>
        <v>0.89441999999999999</v>
      </c>
      <c r="BC67" s="20">
        <f t="shared" si="25"/>
        <v>1.2093450372500645</v>
      </c>
      <c r="BE67" s="18">
        <f t="shared" si="26"/>
        <v>739.59041667200779</v>
      </c>
      <c r="BF67" s="8">
        <v>0.38</v>
      </c>
      <c r="BG67" s="8">
        <v>0.154</v>
      </c>
      <c r="BH67" s="8">
        <v>0.307</v>
      </c>
      <c r="BI67" s="13">
        <f t="shared" si="27"/>
        <v>0.84099999999999997</v>
      </c>
      <c r="BJ67" s="14">
        <v>45.2</v>
      </c>
      <c r="BK67" s="14">
        <v>18.3</v>
      </c>
      <c r="BL67" s="14">
        <v>36.5</v>
      </c>
      <c r="BM67" s="16">
        <f t="shared" si="28"/>
        <v>100</v>
      </c>
      <c r="BN67" s="21">
        <f t="shared" si="29"/>
        <v>2.81</v>
      </c>
      <c r="BO67" s="21">
        <f t="shared" si="30"/>
        <v>1.1399999999999999</v>
      </c>
      <c r="BP67" s="21">
        <f t="shared" si="31"/>
        <v>2.27</v>
      </c>
      <c r="BQ67" s="14">
        <f t="shared" si="32"/>
        <v>6.22</v>
      </c>
      <c r="BR67" s="22" t="str">
        <f>IF(OR(AND(X67="Mourões", BQ67&gt;=6.5),AND(X67="Postes", BQ67&gt;=9.6),AND(X67="Dormentes", BQ67&gt;=9.6),AND(X67="Estacas", BQ67&gt;=6.5),AND(X67="Cruzetas", BQ67&gt;=6.5),AND(X67="Outros - Solo", BQ67&gt;=6.5),AND(X67="Outros - Suspenso",BQ67&gt;=4),AND(X67="Deck",BQ67&gt;=4)),'Listas suspensas'!$C$21,'Listas suspensas'!$C$22)</f>
        <v>Os resultados da análise química apresentaram uma retenção do produto inferior ao padrão mínimo exigido pela norma ABNT NBR 16143</v>
      </c>
    </row>
    <row r="68" spans="2:70" x14ac:dyDescent="0.25">
      <c r="B68" s="8" t="s">
        <v>261</v>
      </c>
      <c r="C68" s="8" t="s">
        <v>71</v>
      </c>
      <c r="D68" s="8" t="s">
        <v>240</v>
      </c>
      <c r="F68" s="11">
        <v>45607</v>
      </c>
      <c r="G68" s="11">
        <v>45608</v>
      </c>
      <c r="H68" s="11">
        <v>45614</v>
      </c>
      <c r="I68" s="8" t="s">
        <v>241</v>
      </c>
      <c r="J68" s="8" t="s">
        <v>242</v>
      </c>
      <c r="K68" s="8" t="s">
        <v>243</v>
      </c>
      <c r="L68" s="8" t="s">
        <v>15</v>
      </c>
      <c r="N68" s="8" t="s">
        <v>75</v>
      </c>
      <c r="O68" s="8" t="s">
        <v>94</v>
      </c>
      <c r="P68" s="28" t="s">
        <v>77</v>
      </c>
      <c r="Q68" s="16" t="s">
        <v>262</v>
      </c>
      <c r="X68" s="8" t="s">
        <v>79</v>
      </c>
      <c r="Y68" s="34">
        <f>IF(X68='Listas suspensas'!$A$21,'Listas suspensas'!$B$23,IF(X68='Listas suspensas'!$A$22,'Listas suspensas'!$B$23,IF(X68='Listas suspensas'!$A$23,'Listas suspensas'!$B$22,IF(X68='Listas suspensas'!$A$26,'Listas suspensas'!$B$22,IF(X68='Listas suspensas'!$A$32,'Listas suspensas'!$B$22,IF(X68='Listas suspensas'!$A$33,'Listas suspensas'!$B$21,IF(X68='Listas suspensas'!$A$24,'Listas suspensas'!$B$22,IF(X68='Listas suspensas'!$A$30,'Listas suspensas'!$B$21,""))))))))</f>
        <v>6.5</v>
      </c>
      <c r="Z68" s="8" t="s">
        <v>80</v>
      </c>
      <c r="AA68" s="8">
        <v>2</v>
      </c>
      <c r="AB68" s="8" t="str">
        <f>IF(AA68='Listas suspensas'!$A$2,'Listas suspensas'!$B$2,IF(AA68='Listas suspensas'!$A$3,'Listas suspensas'!$B$3,IF(AA68='Listas suspensas'!$A$4,'Listas suspensas'!$B$4,IF(AA68='Listas suspensas'!$A$5,'Listas suspensas'!$B$5,IF(AA68='Listas suspensas'!$A$6,'Listas suspensas'!$B$6,"")))))</f>
        <v>Profunda e irregular</v>
      </c>
      <c r="AC68" s="8" t="str">
        <f>IF(AA68='Listas suspensas'!$A$2,'Listas suspensas'!$C$2,IF(AA68='Listas suspensas'!$A$3,'Listas suspensas'!$C$3,IF(AA68='Listas suspensas'!$A$4,'Listas suspensas'!$C$4,IF(AA68='Listas suspensas'!$A$5,'Listas suspensas'!$C$5,IF(AA68='Listas suspensas'!$A$6,'Listas suspensas'!$C$6,"")))))</f>
        <v>Indica a penetração profunda, mas desuniforme em toda a extensão do alburno.</v>
      </c>
      <c r="AK68" s="8">
        <v>10.94</v>
      </c>
      <c r="AL68" s="8">
        <v>11.09</v>
      </c>
      <c r="AM68" s="8">
        <v>11.01</v>
      </c>
      <c r="AN68" s="8">
        <v>10.92</v>
      </c>
      <c r="AO68" s="8">
        <v>11.06</v>
      </c>
      <c r="AP68" s="8">
        <f t="shared" si="22"/>
        <v>1.1004</v>
      </c>
      <c r="AQ68" s="8">
        <v>14.12</v>
      </c>
      <c r="AR68" s="8">
        <v>15.31</v>
      </c>
      <c r="AS68" s="8">
        <v>15.77</v>
      </c>
      <c r="AT68" s="8">
        <v>16.93</v>
      </c>
      <c r="AU68" s="8">
        <v>17.420000000000002</v>
      </c>
      <c r="AV68" s="8">
        <f t="shared" si="23"/>
        <v>1.5910000000000002</v>
      </c>
      <c r="AW68" s="20">
        <v>1.0772999999999999</v>
      </c>
      <c r="AX68" s="20">
        <v>1.1088</v>
      </c>
      <c r="AY68" s="20">
        <v>1.1731</v>
      </c>
      <c r="AZ68" s="20">
        <v>1.2607999999999999</v>
      </c>
      <c r="BA68" s="20">
        <v>1.2678</v>
      </c>
      <c r="BB68" s="20">
        <f t="shared" si="24"/>
        <v>1.1775599999999999</v>
      </c>
      <c r="BC68" s="20">
        <f t="shared" si="25"/>
        <v>1.5130776785296278</v>
      </c>
      <c r="BE68" s="18">
        <f t="shared" si="26"/>
        <v>778.25482241224006</v>
      </c>
      <c r="BF68" s="8">
        <v>0.35899999999999999</v>
      </c>
      <c r="BG68" s="8">
        <v>0.20200000000000001</v>
      </c>
      <c r="BH68" s="8">
        <v>0.41299999999999998</v>
      </c>
      <c r="BI68" s="13">
        <f t="shared" si="27"/>
        <v>0.97399999999999998</v>
      </c>
      <c r="BJ68" s="14">
        <v>36.799999999999997</v>
      </c>
      <c r="BK68" s="14">
        <v>20.7</v>
      </c>
      <c r="BL68" s="14">
        <v>42.5</v>
      </c>
      <c r="BM68" s="16">
        <f t="shared" si="28"/>
        <v>100</v>
      </c>
      <c r="BN68" s="21">
        <f t="shared" si="29"/>
        <v>2.79</v>
      </c>
      <c r="BO68" s="21">
        <f t="shared" si="30"/>
        <v>1.57</v>
      </c>
      <c r="BP68" s="21">
        <f t="shared" si="31"/>
        <v>3.21</v>
      </c>
      <c r="BQ68" s="14">
        <f t="shared" si="32"/>
        <v>7.57</v>
      </c>
      <c r="BR68" s="22" t="str">
        <f>IF(OR(AND(X68="Mourões", BQ68&gt;=6.5),AND(X68="Postes", BQ68&gt;=9.6),AND(X68="Dormentes", BQ68&gt;=9.6),AND(X68="Estacas", BQ68&gt;=6.5),AND(X68="Cruzetas", BQ68&gt;=6.5),AND(X68="Outros - Solo", BQ68&gt;=6.5),AND(X68="Outros - Suspenso",BQ68&gt;=4),AND(X68="Deck",BQ68&gt;=4)),'Listas suspensas'!$C$21,'Listas suspensas'!$C$22)</f>
        <v>Os resultados da análise química apresentaram uma retenção do produto de acordo com o padrão mínimo exigido pela norma ABNT NBR 16143</v>
      </c>
    </row>
    <row r="69" spans="2:70" x14ac:dyDescent="0.25">
      <c r="B69" s="8" t="s">
        <v>263</v>
      </c>
      <c r="C69" s="8" t="s">
        <v>71</v>
      </c>
      <c r="D69" s="8" t="s">
        <v>240</v>
      </c>
      <c r="F69" s="11">
        <v>45607</v>
      </c>
      <c r="G69" s="11">
        <v>45608</v>
      </c>
      <c r="H69" s="11">
        <v>45614</v>
      </c>
      <c r="I69" s="8" t="s">
        <v>241</v>
      </c>
      <c r="J69" s="8" t="s">
        <v>242</v>
      </c>
      <c r="K69" s="8" t="s">
        <v>243</v>
      </c>
      <c r="L69" s="8" t="s">
        <v>15</v>
      </c>
      <c r="N69" s="8" t="s">
        <v>75</v>
      </c>
      <c r="O69" s="8" t="s">
        <v>94</v>
      </c>
      <c r="P69" s="28" t="s">
        <v>77</v>
      </c>
      <c r="Q69" s="16" t="s">
        <v>264</v>
      </c>
      <c r="X69" s="8" t="s">
        <v>79</v>
      </c>
      <c r="Y69" s="34">
        <f>IF(X69='Listas suspensas'!$A$21,'Listas suspensas'!$B$23,IF(X69='Listas suspensas'!$A$22,'Listas suspensas'!$B$23,IF(X69='Listas suspensas'!$A$23,'Listas suspensas'!$B$22,IF(X69='Listas suspensas'!$A$26,'Listas suspensas'!$B$22,IF(X69='Listas suspensas'!$A$32,'Listas suspensas'!$B$22,IF(X69='Listas suspensas'!$A$33,'Listas suspensas'!$B$21,IF(X69='Listas suspensas'!$A$24,'Listas suspensas'!$B$22,IF(X69='Listas suspensas'!$A$30,'Listas suspensas'!$B$21,""))))))))</f>
        <v>6.5</v>
      </c>
      <c r="Z69" s="8" t="s">
        <v>80</v>
      </c>
      <c r="AA69" s="8">
        <v>3</v>
      </c>
      <c r="AB69" s="8" t="str">
        <f>IF(AA69='Listas suspensas'!$A$2,'Listas suspensas'!$B$2,IF(AA69='Listas suspensas'!$A$3,'Listas suspensas'!$B$3,IF(AA69='Listas suspensas'!$A$4,'Listas suspensas'!$B$4,IF(AA69='Listas suspensas'!$A$5,'Listas suspensas'!$B$5,IF(AA69='Listas suspensas'!$A$6,'Listas suspensas'!$B$6,"")))))</f>
        <v xml:space="preserve"> Parcial e regular</v>
      </c>
      <c r="AC69" s="8" t="str">
        <f>IF(AA69='Listas suspensas'!$A$2,'Listas suspensas'!$C$2,IF(AA69='Listas suspensas'!$A$3,'Listas suspensas'!$C$3,IF(AA69='Listas suspensas'!$A$4,'Listas suspensas'!$C$4,IF(AA69='Listas suspensas'!$A$5,'Listas suspensas'!$C$5,IF(AA69='Listas suspensas'!$A$6,'Listas suspensas'!$C$6,"")))))</f>
        <v>Indica a penetração uniforme, mas não total pela extensão do alburno.</v>
      </c>
      <c r="AK69" s="8">
        <v>11.28</v>
      </c>
      <c r="AL69" s="8">
        <v>11.42</v>
      </c>
      <c r="AM69" s="8">
        <v>11.35</v>
      </c>
      <c r="AN69" s="8">
        <v>11.39</v>
      </c>
      <c r="AO69" s="8">
        <v>11.24</v>
      </c>
      <c r="AP69" s="8">
        <f t="shared" si="22"/>
        <v>1.1335999999999999</v>
      </c>
      <c r="AQ69" s="8">
        <v>14.1</v>
      </c>
      <c r="AR69" s="8">
        <v>13.65</v>
      </c>
      <c r="AS69" s="8">
        <v>12.98</v>
      </c>
      <c r="AT69" s="8">
        <v>10.41</v>
      </c>
      <c r="AU69" s="8">
        <v>12.19</v>
      </c>
      <c r="AV69" s="8">
        <f t="shared" si="23"/>
        <v>1.2665999999999999</v>
      </c>
      <c r="AW69" s="20">
        <v>1.0789</v>
      </c>
      <c r="AX69" s="20">
        <v>1.0557000000000001</v>
      </c>
      <c r="AY69" s="20">
        <v>1.0691999999999999</v>
      </c>
      <c r="AZ69" s="20">
        <v>0.80679999999999996</v>
      </c>
      <c r="BA69" s="20">
        <v>0.99550000000000005</v>
      </c>
      <c r="BB69" s="20">
        <f t="shared" si="24"/>
        <v>1.00122</v>
      </c>
      <c r="BC69" s="20">
        <f t="shared" si="25"/>
        <v>1.2783478328695437</v>
      </c>
      <c r="BE69" s="18">
        <f t="shared" si="26"/>
        <v>783.21406291473352</v>
      </c>
      <c r="BF69" s="8">
        <v>0.33700000000000002</v>
      </c>
      <c r="BG69" s="8">
        <v>0.18</v>
      </c>
      <c r="BH69" s="8">
        <v>0.34899999999999998</v>
      </c>
      <c r="BI69" s="13">
        <f t="shared" si="27"/>
        <v>0.86599999999999999</v>
      </c>
      <c r="BJ69" s="14">
        <v>38.9</v>
      </c>
      <c r="BK69" s="14">
        <v>20.8</v>
      </c>
      <c r="BL69" s="14">
        <v>40.299999999999997</v>
      </c>
      <c r="BM69" s="16">
        <f t="shared" si="28"/>
        <v>100</v>
      </c>
      <c r="BN69" s="21">
        <f t="shared" si="29"/>
        <v>2.64</v>
      </c>
      <c r="BO69" s="21">
        <f t="shared" si="30"/>
        <v>1.41</v>
      </c>
      <c r="BP69" s="21">
        <f t="shared" si="31"/>
        <v>2.73</v>
      </c>
      <c r="BQ69" s="14">
        <f t="shared" si="32"/>
        <v>6.78</v>
      </c>
      <c r="BR69" s="22" t="str">
        <f>IF(OR(AND(X69="Mourões", BQ69&gt;=6.5),AND(X69="Postes", BQ69&gt;=9.6),AND(X69="Dormentes", BQ69&gt;=9.6),AND(X69="Estacas", BQ69&gt;=6.5),AND(X69="Cruzetas", BQ69&gt;=6.5),AND(X69="Outros - Solo", BQ69&gt;=6.5),AND(X69="Outros - Suspenso",BQ69&gt;=4),AND(X69="Deck",BQ69&gt;=4)),'Listas suspensas'!$C$21,'Listas suspensas'!$C$22)</f>
        <v>Os resultados da análise química apresentaram uma retenção do produto de acordo com o padrão mínimo exigido pela norma ABNT NBR 16143</v>
      </c>
    </row>
    <row r="70" spans="2:70" x14ac:dyDescent="0.25">
      <c r="B70" s="8" t="s">
        <v>265</v>
      </c>
      <c r="C70" s="8" t="s">
        <v>71</v>
      </c>
      <c r="D70" s="8" t="s">
        <v>186</v>
      </c>
      <c r="F70" s="11">
        <v>45610</v>
      </c>
      <c r="G70" s="11">
        <v>45614</v>
      </c>
      <c r="H70" s="11">
        <v>45615</v>
      </c>
      <c r="I70" s="8" t="s">
        <v>187</v>
      </c>
      <c r="J70" s="8" t="s">
        <v>188</v>
      </c>
      <c r="K70" s="8" t="s">
        <v>189</v>
      </c>
      <c r="L70" s="8" t="s">
        <v>15</v>
      </c>
      <c r="M70" s="30" t="s">
        <v>190</v>
      </c>
      <c r="N70" s="8" t="s">
        <v>75</v>
      </c>
      <c r="O70" s="8" t="s">
        <v>94</v>
      </c>
      <c r="P70" s="28" t="s">
        <v>77</v>
      </c>
      <c r="Q70" s="16" t="s">
        <v>266</v>
      </c>
      <c r="X70" s="8" t="s">
        <v>79</v>
      </c>
      <c r="Y70" s="34">
        <f>IF(X70='Listas suspensas'!$A$21,'Listas suspensas'!$B$23,IF(X70='Listas suspensas'!$A$22,'Listas suspensas'!$B$23,IF(X70='Listas suspensas'!$A$23,'Listas suspensas'!$B$22,IF(X70='Listas suspensas'!$A$26,'Listas suspensas'!$B$22,IF(X70='Listas suspensas'!$A$32,'Listas suspensas'!$B$22,IF(X70='Listas suspensas'!$A$33,'Listas suspensas'!$B$21,IF(X70='Listas suspensas'!$A$24,'Listas suspensas'!$B$22,IF(X70='Listas suspensas'!$A$30,'Listas suspensas'!$B$21,""))))))))</f>
        <v>6.5</v>
      </c>
      <c r="Z70" s="8" t="s">
        <v>80</v>
      </c>
      <c r="AA70" s="8">
        <v>2</v>
      </c>
      <c r="AB70" s="8" t="str">
        <f>IF(AA70='Listas suspensas'!$A$2,'Listas suspensas'!$B$2,IF(AA70='Listas suspensas'!$A$3,'Listas suspensas'!$B$3,IF(AA70='Listas suspensas'!$A$4,'Listas suspensas'!$B$4,IF(AA70='Listas suspensas'!$A$5,'Listas suspensas'!$B$5,IF(AA70='Listas suspensas'!$A$6,'Listas suspensas'!$B$6,"")))))</f>
        <v>Profunda e irregular</v>
      </c>
      <c r="AC70" s="8" t="str">
        <f>IF(AA70='Listas suspensas'!$A$2,'Listas suspensas'!$C$2,IF(AA70='Listas suspensas'!$A$3,'Listas suspensas'!$C$3,IF(AA70='Listas suspensas'!$A$4,'Listas suspensas'!$C$4,IF(AA70='Listas suspensas'!$A$5,'Listas suspensas'!$C$5,IF(AA70='Listas suspensas'!$A$6,'Listas suspensas'!$C$6,"")))))</f>
        <v>Indica a penetração profunda, mas desuniforme em toda a extensão do alburno.</v>
      </c>
      <c r="AK70" s="8">
        <v>11.9</v>
      </c>
      <c r="AL70" s="8">
        <v>11.9</v>
      </c>
      <c r="AM70" s="8">
        <v>11.79</v>
      </c>
      <c r="AN70" s="8">
        <v>11.74</v>
      </c>
      <c r="AO70" s="8">
        <v>11.95</v>
      </c>
      <c r="AP70" s="8">
        <f t="shared" si="22"/>
        <v>1.1856</v>
      </c>
      <c r="AQ70" s="8">
        <v>24.26</v>
      </c>
      <c r="AR70" s="8">
        <v>18.54</v>
      </c>
      <c r="AS70" s="8">
        <v>23.92</v>
      </c>
      <c r="AT70" s="8">
        <v>17.37</v>
      </c>
      <c r="AU70" s="8">
        <v>19.2</v>
      </c>
      <c r="AV70" s="8">
        <f t="shared" si="23"/>
        <v>2.0658000000000003</v>
      </c>
      <c r="AW70" s="20">
        <v>2.1926999999999999</v>
      </c>
      <c r="AX70" s="20">
        <v>1.7425999999999999</v>
      </c>
      <c r="AY70" s="20">
        <v>2.1646999999999998</v>
      </c>
      <c r="AZ70" s="20">
        <v>1.403</v>
      </c>
      <c r="BA70" s="20">
        <v>1.7096</v>
      </c>
      <c r="BB70" s="20">
        <f t="shared" si="24"/>
        <v>1.8425199999999999</v>
      </c>
      <c r="BC70" s="20">
        <f t="shared" si="25"/>
        <v>2.2806284397112373</v>
      </c>
      <c r="BE70" s="18">
        <f t="shared" si="26"/>
        <v>807.90012433296295</v>
      </c>
      <c r="BF70" s="8">
        <v>0.26300000000000001</v>
      </c>
      <c r="BG70" s="8">
        <v>0.161</v>
      </c>
      <c r="BH70" s="8">
        <v>0.32800000000000001</v>
      </c>
      <c r="BI70" s="13">
        <f t="shared" si="27"/>
        <v>0.752</v>
      </c>
      <c r="BJ70" s="14">
        <v>35</v>
      </c>
      <c r="BK70" s="14">
        <v>21.4</v>
      </c>
      <c r="BL70" s="14">
        <v>43.6</v>
      </c>
      <c r="BM70" s="16">
        <f t="shared" si="28"/>
        <v>100</v>
      </c>
      <c r="BN70" s="21">
        <f t="shared" si="29"/>
        <v>2.12</v>
      </c>
      <c r="BO70" s="21">
        <f t="shared" si="30"/>
        <v>1.3</v>
      </c>
      <c r="BP70" s="21">
        <f t="shared" si="31"/>
        <v>2.65</v>
      </c>
      <c r="BQ70" s="14">
        <f t="shared" si="32"/>
        <v>6.07</v>
      </c>
      <c r="BR70" s="22" t="str">
        <f>IF(OR(AND(X70="Mourões", BQ70&gt;=6.5),AND(X70="Postes", BQ70&gt;=9.6),AND(X70="Dormentes", BQ70&gt;=9.6),AND(X70="Estacas", BQ70&gt;=6.5),AND(X70="Cruzetas", BQ70&gt;=6.5),AND(X70="Outros - Solo", BQ70&gt;=6.5),AND(X70="Outros - Suspenso",BQ70&gt;=4),AND(X70="Deck",BQ70&gt;=4)),'Listas suspensas'!$C$21,'Listas suspensas'!$C$22)</f>
        <v>Os resultados da análise química apresentaram uma retenção do produto inferior ao padrão mínimo exigido pela norma ABNT NBR 16143</v>
      </c>
    </row>
    <row r="71" spans="2:70" x14ac:dyDescent="0.25">
      <c r="B71" s="8" t="s">
        <v>267</v>
      </c>
      <c r="C71" s="8" t="s">
        <v>71</v>
      </c>
      <c r="D71" s="8" t="s">
        <v>186</v>
      </c>
      <c r="F71" s="11">
        <v>45610</v>
      </c>
      <c r="G71" s="11">
        <v>45614</v>
      </c>
      <c r="H71" s="11">
        <v>45615</v>
      </c>
      <c r="I71" s="8" t="s">
        <v>187</v>
      </c>
      <c r="J71" s="8" t="s">
        <v>188</v>
      </c>
      <c r="K71" s="8" t="s">
        <v>189</v>
      </c>
      <c r="L71" s="8" t="s">
        <v>15</v>
      </c>
      <c r="M71" s="30" t="s">
        <v>190</v>
      </c>
      <c r="N71" s="8" t="s">
        <v>75</v>
      </c>
      <c r="O71" s="8" t="s">
        <v>94</v>
      </c>
      <c r="P71" s="28" t="s">
        <v>77</v>
      </c>
      <c r="Q71" s="16" t="s">
        <v>268</v>
      </c>
      <c r="X71" s="8" t="s">
        <v>79</v>
      </c>
      <c r="Y71" s="34">
        <f>IF(X71='Listas suspensas'!$A$21,'Listas suspensas'!$B$23,IF(X71='Listas suspensas'!$A$22,'Listas suspensas'!$B$23,IF(X71='Listas suspensas'!$A$23,'Listas suspensas'!$B$22,IF(X71='Listas suspensas'!$A$26,'Listas suspensas'!$B$22,IF(X71='Listas suspensas'!$A$32,'Listas suspensas'!$B$22,IF(X71='Listas suspensas'!$A$33,'Listas suspensas'!$B$21,IF(X71='Listas suspensas'!$A$24,'Listas suspensas'!$B$22,IF(X71='Listas suspensas'!$A$30,'Listas suspensas'!$B$21,""))))))))</f>
        <v>6.5</v>
      </c>
      <c r="Z71" s="8" t="s">
        <v>80</v>
      </c>
      <c r="AA71" s="8">
        <v>2</v>
      </c>
      <c r="AB71" s="8" t="str">
        <f>IF(AA71='Listas suspensas'!$A$2,'Listas suspensas'!$B$2,IF(AA71='Listas suspensas'!$A$3,'Listas suspensas'!$B$3,IF(AA71='Listas suspensas'!$A$4,'Listas suspensas'!$B$4,IF(AA71='Listas suspensas'!$A$5,'Listas suspensas'!$B$5,IF(AA71='Listas suspensas'!$A$6,'Listas suspensas'!$B$6,"")))))</f>
        <v>Profunda e irregular</v>
      </c>
      <c r="AC71" s="8" t="str">
        <f>IF(AA71='Listas suspensas'!$A$2,'Listas suspensas'!$C$2,IF(AA71='Listas suspensas'!$A$3,'Listas suspensas'!$C$3,IF(AA71='Listas suspensas'!$A$4,'Listas suspensas'!$C$4,IF(AA71='Listas suspensas'!$A$5,'Listas suspensas'!$C$5,IF(AA71='Listas suspensas'!$A$6,'Listas suspensas'!$C$6,"")))))</f>
        <v>Indica a penetração profunda, mas desuniforme em toda a extensão do alburno.</v>
      </c>
      <c r="AK71" s="8">
        <v>11.85</v>
      </c>
      <c r="AL71" s="8">
        <v>11.75</v>
      </c>
      <c r="AM71" s="8">
        <v>11.75</v>
      </c>
      <c r="AN71" s="8">
        <v>11.76</v>
      </c>
      <c r="AO71" s="8">
        <v>11.68</v>
      </c>
      <c r="AP71" s="8">
        <f t="shared" si="22"/>
        <v>1.1758</v>
      </c>
      <c r="AQ71" s="8">
        <v>21.3</v>
      </c>
      <c r="AR71" s="8">
        <v>15.82</v>
      </c>
      <c r="AS71" s="8">
        <v>14.43</v>
      </c>
      <c r="AT71" s="8">
        <v>12.53</v>
      </c>
      <c r="AU71" s="8">
        <v>9.42</v>
      </c>
      <c r="AV71" s="8">
        <f t="shared" si="23"/>
        <v>1.47</v>
      </c>
      <c r="AW71" s="20">
        <v>1.1823999999999999</v>
      </c>
      <c r="AX71" s="20">
        <v>0.89019999999999999</v>
      </c>
      <c r="AY71" s="20">
        <v>0.74350000000000005</v>
      </c>
      <c r="AZ71" s="20">
        <v>0.67320000000000002</v>
      </c>
      <c r="BA71" s="20">
        <v>0.49380000000000002</v>
      </c>
      <c r="BB71" s="20">
        <f t="shared" si="24"/>
        <v>0.79662000000000011</v>
      </c>
      <c r="BC71" s="20">
        <f t="shared" si="25"/>
        <v>1.5961515640976423</v>
      </c>
      <c r="BE71" s="18">
        <f t="shared" si="26"/>
        <v>499.08794247265359</v>
      </c>
      <c r="BF71" s="8">
        <v>0.52800000000000002</v>
      </c>
      <c r="BG71" s="8">
        <v>0.249</v>
      </c>
      <c r="BH71" s="8">
        <v>0.35899999999999999</v>
      </c>
      <c r="BI71" s="13">
        <f t="shared" si="27"/>
        <v>1.1360000000000001</v>
      </c>
      <c r="BJ71" s="14">
        <v>46.5</v>
      </c>
      <c r="BK71" s="14">
        <v>21.9</v>
      </c>
      <c r="BL71" s="14">
        <v>31.6</v>
      </c>
      <c r="BM71" s="16">
        <f t="shared" si="28"/>
        <v>100</v>
      </c>
      <c r="BN71" s="21">
        <f t="shared" si="29"/>
        <v>2.64</v>
      </c>
      <c r="BO71" s="21">
        <f t="shared" si="30"/>
        <v>1.24</v>
      </c>
      <c r="BP71" s="21">
        <f t="shared" si="31"/>
        <v>1.79</v>
      </c>
      <c r="BQ71" s="14">
        <f t="shared" si="32"/>
        <v>5.67</v>
      </c>
      <c r="BR71" s="22" t="str">
        <f>IF(OR(AND(X71="Mourões", BQ71&gt;=6.5),AND(X71="Postes", BQ71&gt;=9.6),AND(X71="Dormentes", BQ71&gt;=9.6),AND(X71="Estacas", BQ71&gt;=6.5),AND(X71="Cruzetas", BQ71&gt;=6.5),AND(X71="Outros - Solo", BQ71&gt;=6.5),AND(X71="Outros - Suspenso",BQ71&gt;=4),AND(X71="Deck",BQ71&gt;=4)),'Listas suspensas'!$C$21,'Listas suspensas'!$C$22)</f>
        <v>Os resultados da análise química apresentaram uma retenção do produto inferior ao padrão mínimo exigido pela norma ABNT NBR 16143</v>
      </c>
    </row>
    <row r="72" spans="2:70" x14ac:dyDescent="0.25">
      <c r="B72" s="8" t="s">
        <v>269</v>
      </c>
      <c r="C72" s="8" t="s">
        <v>71</v>
      </c>
      <c r="D72" s="8" t="s">
        <v>186</v>
      </c>
      <c r="F72" s="11">
        <v>45610</v>
      </c>
      <c r="G72" s="11">
        <v>45614</v>
      </c>
      <c r="H72" s="11">
        <v>45615</v>
      </c>
      <c r="I72" s="8" t="s">
        <v>187</v>
      </c>
      <c r="J72" s="8" t="s">
        <v>188</v>
      </c>
      <c r="K72" s="8" t="s">
        <v>189</v>
      </c>
      <c r="L72" s="8" t="s">
        <v>15</v>
      </c>
      <c r="M72" s="30" t="s">
        <v>190</v>
      </c>
      <c r="N72" s="8" t="s">
        <v>75</v>
      </c>
      <c r="O72" s="8" t="s">
        <v>94</v>
      </c>
      <c r="P72" s="28" t="s">
        <v>77</v>
      </c>
      <c r="Q72" s="16" t="s">
        <v>270</v>
      </c>
      <c r="X72" s="8" t="s">
        <v>79</v>
      </c>
      <c r="Y72" s="34">
        <f>IF(X72='Listas suspensas'!$A$21,'Listas suspensas'!$B$23,IF(X72='Listas suspensas'!$A$22,'Listas suspensas'!$B$23,IF(X72='Listas suspensas'!$A$23,'Listas suspensas'!$B$22,IF(X72='Listas suspensas'!$A$26,'Listas suspensas'!$B$22,IF(X72='Listas suspensas'!$A$32,'Listas suspensas'!$B$22,IF(X72='Listas suspensas'!$A$33,'Listas suspensas'!$B$21,IF(X72='Listas suspensas'!$A$24,'Listas suspensas'!$B$22,IF(X72='Listas suspensas'!$A$30,'Listas suspensas'!$B$21,""))))))))</f>
        <v>6.5</v>
      </c>
      <c r="Z72" s="8" t="s">
        <v>80</v>
      </c>
      <c r="AA72" s="8">
        <v>4</v>
      </c>
      <c r="AB72" s="8" t="str">
        <f>IF(AA72='Listas suspensas'!$A$2,'Listas suspensas'!$B$2,IF(AA72='Listas suspensas'!$A$3,'Listas suspensas'!$B$3,IF(AA72='Listas suspensas'!$A$4,'Listas suspensas'!$B$4,IF(AA72='Listas suspensas'!$A$5,'Listas suspensas'!$B$5,IF(AA72='Listas suspensas'!$A$6,'Listas suspensas'!$B$6,"")))))</f>
        <v>Parcial e irregular</v>
      </c>
      <c r="AC72" s="8" t="str">
        <f>IF(AA72='Listas suspensas'!$A$2,'Listas suspensas'!$C$2,IF(AA72='Listas suspensas'!$A$3,'Listas suspensas'!$C$3,IF(AA72='Listas suspensas'!$A$4,'Listas suspensas'!$C$4,IF(AA72='Listas suspensas'!$A$5,'Listas suspensas'!$C$5,IF(AA72='Listas suspensas'!$A$6,'Listas suspensas'!$C$6,"")))))</f>
        <v>Indica a penetração desuniforme e não total pela extensão do alburno.</v>
      </c>
      <c r="AK72" s="8">
        <v>11.77</v>
      </c>
      <c r="AL72" s="8">
        <v>11.96</v>
      </c>
      <c r="AM72" s="8">
        <v>11.74</v>
      </c>
      <c r="AN72" s="8">
        <v>11.87</v>
      </c>
      <c r="AO72" s="8">
        <v>11.95</v>
      </c>
      <c r="AP72" s="8">
        <f t="shared" si="22"/>
        <v>1.1858</v>
      </c>
      <c r="AQ72" s="8">
        <v>21.17</v>
      </c>
      <c r="AR72" s="8">
        <v>23.74</v>
      </c>
      <c r="AS72" s="8">
        <v>23.52</v>
      </c>
      <c r="AT72" s="8">
        <v>21.4</v>
      </c>
      <c r="AU72" s="8">
        <v>23.05</v>
      </c>
      <c r="AV72" s="8">
        <f t="shared" si="23"/>
        <v>2.2575999999999996</v>
      </c>
      <c r="AW72" s="20">
        <v>1.9037999999999999</v>
      </c>
      <c r="AX72" s="20">
        <v>2.2027999999999999</v>
      </c>
      <c r="AY72" s="20">
        <v>2.1602999999999999</v>
      </c>
      <c r="AZ72" s="20">
        <v>1.9632000000000001</v>
      </c>
      <c r="BA72" s="20">
        <v>2.1728999999999998</v>
      </c>
      <c r="BB72" s="20">
        <f t="shared" si="24"/>
        <v>2.0806</v>
      </c>
      <c r="BC72" s="20">
        <f t="shared" si="25"/>
        <v>2.4932152222182946</v>
      </c>
      <c r="BE72" s="18">
        <f t="shared" si="26"/>
        <v>834.50477177370294</v>
      </c>
      <c r="BF72" s="8">
        <v>0.218</v>
      </c>
      <c r="BG72" s="8">
        <v>0.129</v>
      </c>
      <c r="BH72" s="8">
        <v>0.246</v>
      </c>
      <c r="BI72" s="13">
        <f t="shared" si="27"/>
        <v>0.59299999999999997</v>
      </c>
      <c r="BJ72" s="14">
        <v>36.799999999999997</v>
      </c>
      <c r="BK72" s="14">
        <v>21.7</v>
      </c>
      <c r="BL72" s="14">
        <v>41.5</v>
      </c>
      <c r="BM72" s="16">
        <f t="shared" si="28"/>
        <v>100</v>
      </c>
      <c r="BN72" s="21">
        <f t="shared" si="29"/>
        <v>1.82</v>
      </c>
      <c r="BO72" s="21">
        <f t="shared" si="30"/>
        <v>1.08</v>
      </c>
      <c r="BP72" s="21">
        <f t="shared" si="31"/>
        <v>2.0499999999999998</v>
      </c>
      <c r="BQ72" s="14">
        <f t="shared" si="32"/>
        <v>4.95</v>
      </c>
      <c r="BR72" s="22" t="str">
        <f>IF(OR(AND(X72="Mourões", BQ72&gt;=6.5),AND(X72="Postes", BQ72&gt;=9.6),AND(X72="Dormentes", BQ72&gt;=9.6),AND(X72="Estacas", BQ72&gt;=6.5),AND(X72="Cruzetas", BQ72&gt;=6.5),AND(X72="Outros - Solo", BQ72&gt;=6.5),AND(X72="Outros - Suspenso",BQ72&gt;=4),AND(X72="Deck",BQ72&gt;=4)),'Listas suspensas'!$C$21,'Listas suspensas'!$C$22)</f>
        <v>Os resultados da análise química apresentaram uma retenção do produto inferior ao padrão mínimo exigido pela norma ABNT NBR 16143</v>
      </c>
    </row>
    <row r="73" spans="2:70" x14ac:dyDescent="0.25">
      <c r="B73" s="8" t="s">
        <v>271</v>
      </c>
      <c r="C73" s="8" t="s">
        <v>71</v>
      </c>
      <c r="D73" s="8" t="s">
        <v>240</v>
      </c>
      <c r="F73" s="11">
        <v>45623</v>
      </c>
      <c r="G73" s="11">
        <v>45623</v>
      </c>
      <c r="H73" s="11">
        <v>45628</v>
      </c>
      <c r="I73" s="8" t="s">
        <v>241</v>
      </c>
      <c r="J73" s="8" t="s">
        <v>242</v>
      </c>
      <c r="K73" s="8" t="s">
        <v>243</v>
      </c>
      <c r="L73" s="8" t="s">
        <v>15</v>
      </c>
      <c r="N73" s="8" t="s">
        <v>75</v>
      </c>
      <c r="O73" s="8" t="s">
        <v>94</v>
      </c>
      <c r="P73" s="28" t="s">
        <v>77</v>
      </c>
      <c r="Q73" s="16" t="s">
        <v>272</v>
      </c>
      <c r="X73" s="8" t="s">
        <v>79</v>
      </c>
      <c r="Y73" s="34">
        <f>IF(X73='Listas suspensas'!$A$21,'Listas suspensas'!$B$23,IF(X73='Listas suspensas'!$A$22,'Listas suspensas'!$B$23,IF(X73='Listas suspensas'!$A$23,'Listas suspensas'!$B$22,IF(X73='Listas suspensas'!$A$26,'Listas suspensas'!$B$22,IF(X73='Listas suspensas'!$A$32,'Listas suspensas'!$B$22,IF(X73='Listas suspensas'!$A$33,'Listas suspensas'!$B$21,IF(X73='Listas suspensas'!$A$24,'Listas suspensas'!$B$22,IF(X73='Listas suspensas'!$A$30,'Listas suspensas'!$B$21,""))))))))</f>
        <v>6.5</v>
      </c>
      <c r="Z73" s="8" t="s">
        <v>80</v>
      </c>
      <c r="AA73" s="8">
        <v>2</v>
      </c>
      <c r="AB73" s="8" t="str">
        <f>IF(AA73='Listas suspensas'!$A$2,'Listas suspensas'!$B$2,IF(AA73='Listas suspensas'!$A$3,'Listas suspensas'!$B$3,IF(AA73='Listas suspensas'!$A$4,'Listas suspensas'!$B$4,IF(AA73='Listas suspensas'!$A$5,'Listas suspensas'!$B$5,IF(AA73='Listas suspensas'!$A$6,'Listas suspensas'!$B$6,"")))))</f>
        <v>Profunda e irregular</v>
      </c>
      <c r="AC73" s="8" t="str">
        <f>IF(AA73='Listas suspensas'!$A$2,'Listas suspensas'!$C$2,IF(AA73='Listas suspensas'!$A$3,'Listas suspensas'!$C$3,IF(AA73='Listas suspensas'!$A$4,'Listas suspensas'!$C$4,IF(AA73='Listas suspensas'!$A$5,'Listas suspensas'!$C$5,IF(AA73='Listas suspensas'!$A$6,'Listas suspensas'!$C$6,"")))))</f>
        <v>Indica a penetração profunda, mas desuniforme em toda a extensão do alburno.</v>
      </c>
      <c r="AK73" s="8">
        <v>11.08</v>
      </c>
      <c r="AL73" s="8">
        <v>10.94</v>
      </c>
      <c r="AM73" s="8">
        <v>10.94</v>
      </c>
      <c r="AN73" s="8">
        <v>10.96</v>
      </c>
      <c r="AO73" s="8">
        <v>11.06</v>
      </c>
      <c r="AP73" s="8">
        <f t="shared" si="22"/>
        <v>1.0996000000000001</v>
      </c>
      <c r="AQ73" s="8">
        <v>12.06</v>
      </c>
      <c r="AR73" s="8">
        <v>10.02</v>
      </c>
      <c r="AS73" s="8">
        <v>10.42</v>
      </c>
      <c r="AT73" s="8">
        <v>12.7</v>
      </c>
      <c r="AU73" s="8">
        <v>12.42</v>
      </c>
      <c r="AV73" s="8">
        <f t="shared" si="23"/>
        <v>1.1524000000000001</v>
      </c>
      <c r="AW73" s="20">
        <v>0.84709999999999996</v>
      </c>
      <c r="AX73" s="20">
        <v>0.70799999999999996</v>
      </c>
      <c r="AY73" s="20">
        <v>0.72670000000000001</v>
      </c>
      <c r="AZ73" s="20">
        <v>0.89249999999999996</v>
      </c>
      <c r="BA73" s="20">
        <v>0.93269999999999997</v>
      </c>
      <c r="BB73" s="20">
        <f t="shared" si="24"/>
        <v>0.82140000000000002</v>
      </c>
      <c r="BC73" s="20">
        <f t="shared" si="25"/>
        <v>1.0943660037466314</v>
      </c>
      <c r="BE73" s="18">
        <f t="shared" si="26"/>
        <v>750.57156123991888</v>
      </c>
      <c r="BF73" s="8">
        <v>0.35599999999999998</v>
      </c>
      <c r="BG73" s="8">
        <v>0.186</v>
      </c>
      <c r="BH73" s="8">
        <v>0.311</v>
      </c>
      <c r="BI73" s="13">
        <f t="shared" si="27"/>
        <v>0.85299999999999998</v>
      </c>
      <c r="BJ73" s="14">
        <v>41.7</v>
      </c>
      <c r="BK73" s="14">
        <v>21.8</v>
      </c>
      <c r="BL73" s="14">
        <v>36.5</v>
      </c>
      <c r="BM73" s="16">
        <f t="shared" si="28"/>
        <v>100</v>
      </c>
      <c r="BN73" s="21">
        <f t="shared" si="29"/>
        <v>2.67</v>
      </c>
      <c r="BO73" s="21">
        <f t="shared" si="30"/>
        <v>1.4</v>
      </c>
      <c r="BP73" s="21">
        <f t="shared" si="31"/>
        <v>2.33</v>
      </c>
      <c r="BQ73" s="14">
        <f t="shared" si="32"/>
        <v>6.4</v>
      </c>
      <c r="BR73" s="22" t="str">
        <f>IF(OR(AND(X73="Mourões", BQ73&gt;=6.5),AND(X73="Postes", BQ73&gt;=9.6),AND(X73="Dormentes", BQ73&gt;=9.6),AND(X73="Estacas", BQ73&gt;=6.5),AND(X73="Cruzetas", BQ73&gt;=6.5),AND(X73="Outros - Solo", BQ73&gt;=6.5),AND(X73="Outros - Suspenso",BQ73&gt;=4),AND(X73="Deck",BQ73&gt;=4)),'Listas suspensas'!$C$21,'Listas suspensas'!$C$22)</f>
        <v>Os resultados da análise química apresentaram uma retenção do produto inferior ao padrão mínimo exigido pela norma ABNT NBR 16143</v>
      </c>
    </row>
    <row r="74" spans="2:70" x14ac:dyDescent="0.25">
      <c r="B74" s="8" t="s">
        <v>273</v>
      </c>
      <c r="C74" s="8" t="s">
        <v>71</v>
      </c>
      <c r="D74" s="8" t="s">
        <v>240</v>
      </c>
      <c r="F74" s="11">
        <v>45623</v>
      </c>
      <c r="G74" s="11">
        <v>45623</v>
      </c>
      <c r="H74" s="11">
        <v>45628</v>
      </c>
      <c r="I74" s="8" t="s">
        <v>241</v>
      </c>
      <c r="J74" s="8" t="s">
        <v>242</v>
      </c>
      <c r="K74" s="8" t="s">
        <v>243</v>
      </c>
      <c r="L74" s="8" t="s">
        <v>15</v>
      </c>
      <c r="N74" s="8" t="s">
        <v>75</v>
      </c>
      <c r="O74" s="8" t="s">
        <v>94</v>
      </c>
      <c r="P74" s="28" t="s">
        <v>77</v>
      </c>
      <c r="Q74" s="16" t="s">
        <v>274</v>
      </c>
      <c r="X74" s="8" t="s">
        <v>79</v>
      </c>
      <c r="Y74" s="34">
        <f>IF(X74='Listas suspensas'!$A$21,'Listas suspensas'!$B$23,IF(X74='Listas suspensas'!$A$22,'Listas suspensas'!$B$23,IF(X74='Listas suspensas'!$A$23,'Listas suspensas'!$B$22,IF(X74='Listas suspensas'!$A$26,'Listas suspensas'!$B$22,IF(X74='Listas suspensas'!$A$32,'Listas suspensas'!$B$22,IF(X74='Listas suspensas'!$A$33,'Listas suspensas'!$B$21,IF(X74='Listas suspensas'!$A$24,'Listas suspensas'!$B$22,IF(X74='Listas suspensas'!$A$30,'Listas suspensas'!$B$21,""))))))))</f>
        <v>6.5</v>
      </c>
      <c r="Z74" s="8" t="s">
        <v>80</v>
      </c>
      <c r="AA74" s="8">
        <v>3</v>
      </c>
      <c r="AB74" s="8" t="str">
        <f>IF(AA74='Listas suspensas'!$A$2,'Listas suspensas'!$B$2,IF(AA74='Listas suspensas'!$A$3,'Listas suspensas'!$B$3,IF(AA74='Listas suspensas'!$A$4,'Listas suspensas'!$B$4,IF(AA74='Listas suspensas'!$A$5,'Listas suspensas'!$B$5,IF(AA74='Listas suspensas'!$A$6,'Listas suspensas'!$B$6,"")))))</f>
        <v xml:space="preserve"> Parcial e regular</v>
      </c>
      <c r="AC74" s="8" t="str">
        <f>IF(AA74='Listas suspensas'!$A$2,'Listas suspensas'!$C$2,IF(AA74='Listas suspensas'!$A$3,'Listas suspensas'!$C$3,IF(AA74='Listas suspensas'!$A$4,'Listas suspensas'!$C$4,IF(AA74='Listas suspensas'!$A$5,'Listas suspensas'!$C$5,IF(AA74='Listas suspensas'!$A$6,'Listas suspensas'!$C$6,"")))))</f>
        <v>Indica a penetração uniforme, mas não total pela extensão do alburno.</v>
      </c>
      <c r="AK74" s="8">
        <v>10.94</v>
      </c>
      <c r="AL74" s="8">
        <v>10.91</v>
      </c>
      <c r="AM74" s="8">
        <v>11.01</v>
      </c>
      <c r="AN74" s="8">
        <v>11.06</v>
      </c>
      <c r="AO74" s="8">
        <v>10.93</v>
      </c>
      <c r="AP74" s="8">
        <f t="shared" si="22"/>
        <v>1.097</v>
      </c>
      <c r="AQ74" s="8">
        <v>10.199999999999999</v>
      </c>
      <c r="AR74" s="8">
        <v>12.59</v>
      </c>
      <c r="AS74" s="8">
        <v>10.89</v>
      </c>
      <c r="AT74" s="8">
        <v>11.96</v>
      </c>
      <c r="AU74" s="8">
        <v>10.76</v>
      </c>
      <c r="AV74" s="8">
        <f t="shared" si="23"/>
        <v>1.1279999999999999</v>
      </c>
      <c r="AW74" s="20">
        <v>0.72729999999999995</v>
      </c>
      <c r="AX74" s="20">
        <v>0.87239999999999995</v>
      </c>
      <c r="AY74" s="20">
        <v>0.79249999999999998</v>
      </c>
      <c r="AZ74" s="20">
        <v>0.87019999999999997</v>
      </c>
      <c r="BA74" s="20">
        <v>0.81030000000000002</v>
      </c>
      <c r="BB74" s="20">
        <f t="shared" si="24"/>
        <v>0.81454000000000004</v>
      </c>
      <c r="BC74" s="20">
        <f t="shared" si="25"/>
        <v>1.0661350863732026</v>
      </c>
      <c r="BE74" s="18">
        <f t="shared" si="26"/>
        <v>764.01200036565422</v>
      </c>
      <c r="BF74" s="8">
        <v>0.27800000000000002</v>
      </c>
      <c r="BG74" s="8">
        <v>0.14299999999999999</v>
      </c>
      <c r="BH74" s="8">
        <v>0.27500000000000002</v>
      </c>
      <c r="BI74" s="13">
        <f t="shared" si="27"/>
        <v>0.69600000000000006</v>
      </c>
      <c r="BJ74" s="14">
        <v>39.9</v>
      </c>
      <c r="BK74" s="14">
        <v>20.6</v>
      </c>
      <c r="BL74" s="14">
        <v>39.5</v>
      </c>
      <c r="BM74" s="16">
        <f t="shared" si="28"/>
        <v>100</v>
      </c>
      <c r="BN74" s="21">
        <f t="shared" si="29"/>
        <v>2.12</v>
      </c>
      <c r="BO74" s="21">
        <f t="shared" si="30"/>
        <v>1.0900000000000001</v>
      </c>
      <c r="BP74" s="21">
        <f t="shared" si="31"/>
        <v>2.1</v>
      </c>
      <c r="BQ74" s="14">
        <f t="shared" si="32"/>
        <v>5.31</v>
      </c>
      <c r="BR74" s="22" t="str">
        <f>IF(OR(AND(X74="Mourões", BQ74&gt;=6.5),AND(X74="Postes", BQ74&gt;=9.6),AND(X74="Dormentes", BQ74&gt;=9.6),AND(X74="Estacas", BQ74&gt;=6.5),AND(X74="Cruzetas", BQ74&gt;=6.5),AND(X74="Outros - Solo", BQ74&gt;=6.5),AND(X74="Outros - Suspenso",BQ74&gt;=4),AND(X74="Deck",BQ74&gt;=4)),'Listas suspensas'!$C$21,'Listas suspensas'!$C$22)</f>
        <v>Os resultados da análise química apresentaram uma retenção do produto inferior ao padrão mínimo exigido pela norma ABNT NBR 16143</v>
      </c>
    </row>
    <row r="75" spans="2:70" x14ac:dyDescent="0.25">
      <c r="B75" s="8" t="s">
        <v>275</v>
      </c>
      <c r="C75" s="8" t="s">
        <v>71</v>
      </c>
      <c r="D75" s="8" t="s">
        <v>240</v>
      </c>
      <c r="F75" s="11">
        <v>45623</v>
      </c>
      <c r="G75" s="11">
        <v>45623</v>
      </c>
      <c r="H75" s="11">
        <v>45628</v>
      </c>
      <c r="I75" s="8" t="s">
        <v>241</v>
      </c>
      <c r="J75" s="8" t="s">
        <v>242</v>
      </c>
      <c r="K75" s="8" t="s">
        <v>243</v>
      </c>
      <c r="L75" s="8" t="s">
        <v>15</v>
      </c>
      <c r="N75" s="8" t="s">
        <v>75</v>
      </c>
      <c r="O75" s="8" t="s">
        <v>94</v>
      </c>
      <c r="P75" s="28" t="s">
        <v>77</v>
      </c>
      <c r="Q75" s="16" t="s">
        <v>276</v>
      </c>
      <c r="X75" s="8" t="s">
        <v>79</v>
      </c>
      <c r="Y75" s="34">
        <f>IF(X75='Listas suspensas'!$A$21,'Listas suspensas'!$B$23,IF(X75='Listas suspensas'!$A$22,'Listas suspensas'!$B$23,IF(X75='Listas suspensas'!$A$23,'Listas suspensas'!$B$22,IF(X75='Listas suspensas'!$A$26,'Listas suspensas'!$B$22,IF(X75='Listas suspensas'!$A$32,'Listas suspensas'!$B$22,IF(X75='Listas suspensas'!$A$33,'Listas suspensas'!$B$21,IF(X75='Listas suspensas'!$A$24,'Listas suspensas'!$B$22,IF(X75='Listas suspensas'!$A$30,'Listas suspensas'!$B$21,""))))))))</f>
        <v>6.5</v>
      </c>
      <c r="Z75" s="8" t="s">
        <v>80</v>
      </c>
      <c r="AA75" s="8">
        <v>3</v>
      </c>
      <c r="AB75" s="8" t="str">
        <f>IF(AA75='Listas suspensas'!$A$2,'Listas suspensas'!$B$2,IF(AA75='Listas suspensas'!$A$3,'Listas suspensas'!$B$3,IF(AA75='Listas suspensas'!$A$4,'Listas suspensas'!$B$4,IF(AA75='Listas suspensas'!$A$5,'Listas suspensas'!$B$5,IF(AA75='Listas suspensas'!$A$6,'Listas suspensas'!$B$6,"")))))</f>
        <v xml:space="preserve"> Parcial e regular</v>
      </c>
      <c r="AC75" s="8" t="str">
        <f>IF(AA75='Listas suspensas'!$A$2,'Listas suspensas'!$C$2,IF(AA75='Listas suspensas'!$A$3,'Listas suspensas'!$C$3,IF(AA75='Listas suspensas'!$A$4,'Listas suspensas'!$C$4,IF(AA75='Listas suspensas'!$A$5,'Listas suspensas'!$C$5,IF(AA75='Listas suspensas'!$A$6,'Listas suspensas'!$C$6,"")))))</f>
        <v>Indica a penetração uniforme, mas não total pela extensão do alburno.</v>
      </c>
      <c r="AK75" s="8">
        <v>10.99</v>
      </c>
      <c r="AL75" s="8">
        <v>11.07</v>
      </c>
      <c r="AM75" s="8">
        <v>10.96</v>
      </c>
      <c r="AN75" s="8">
        <v>10.86</v>
      </c>
      <c r="AO75" s="8">
        <v>10.81</v>
      </c>
      <c r="AP75" s="8">
        <f t="shared" si="22"/>
        <v>1.0938000000000001</v>
      </c>
      <c r="AQ75" s="8">
        <v>4.32</v>
      </c>
      <c r="AR75" s="8">
        <v>4.74</v>
      </c>
      <c r="AS75" s="8">
        <v>5.05</v>
      </c>
      <c r="AT75" s="8">
        <v>5.01</v>
      </c>
      <c r="AU75" s="8">
        <v>4.84</v>
      </c>
      <c r="AV75" s="8">
        <f t="shared" si="23"/>
        <v>0.47919999999999996</v>
      </c>
      <c r="AW75" s="20">
        <v>0.26829999999999998</v>
      </c>
      <c r="AX75" s="20">
        <v>0.29849999999999999</v>
      </c>
      <c r="AY75" s="20">
        <v>0.31669999999999998</v>
      </c>
      <c r="AZ75" s="20">
        <v>0.27229999999999999</v>
      </c>
      <c r="BA75" s="20">
        <v>0.31740000000000002</v>
      </c>
      <c r="BB75" s="20">
        <f t="shared" si="24"/>
        <v>0.29463999999999996</v>
      </c>
      <c r="BC75" s="20">
        <f t="shared" si="25"/>
        <v>0.45027986667446063</v>
      </c>
      <c r="BE75" s="18">
        <f t="shared" si="26"/>
        <v>654.34859918579525</v>
      </c>
      <c r="BF75" s="8">
        <v>0.46</v>
      </c>
      <c r="BG75" s="8">
        <v>0.17899999999999999</v>
      </c>
      <c r="BH75" s="8">
        <v>0.27600000000000002</v>
      </c>
      <c r="BI75" s="13">
        <f t="shared" si="27"/>
        <v>0.91500000000000004</v>
      </c>
      <c r="BJ75" s="14">
        <v>50.3</v>
      </c>
      <c r="BK75" s="14">
        <v>19.5</v>
      </c>
      <c r="BL75" s="14">
        <v>30.2</v>
      </c>
      <c r="BM75" s="16">
        <f t="shared" si="28"/>
        <v>100</v>
      </c>
      <c r="BN75" s="21">
        <f t="shared" si="29"/>
        <v>3.01</v>
      </c>
      <c r="BO75" s="21">
        <f t="shared" si="30"/>
        <v>1.17</v>
      </c>
      <c r="BP75" s="21">
        <f t="shared" si="31"/>
        <v>1.81</v>
      </c>
      <c r="BQ75" s="14">
        <f t="shared" si="32"/>
        <v>5.99</v>
      </c>
      <c r="BR75" s="22" t="str">
        <f>IF(OR(AND(X75="Mourões", BQ75&gt;=6.5),AND(X75="Postes", BQ75&gt;=9.6),AND(X75="Dormentes", BQ75&gt;=9.6),AND(X75="Estacas", BQ75&gt;=6.5),AND(X75="Cruzetas", BQ75&gt;=6.5),AND(X75="Outros - Solo", BQ75&gt;=6.5),AND(X75="Outros - Suspenso",BQ75&gt;=4),AND(X75="Deck",BQ75&gt;=4)),'Listas suspensas'!$C$21,'Listas suspensas'!$C$22)</f>
        <v>Os resultados da análise química apresentaram uma retenção do produto inferior ao padrão mínimo exigido pela norma ABNT NBR 16143</v>
      </c>
    </row>
    <row r="76" spans="2:70" x14ac:dyDescent="0.25">
      <c r="B76" s="8" t="s">
        <v>277</v>
      </c>
      <c r="C76" s="8" t="s">
        <v>71</v>
      </c>
      <c r="D76" s="8" t="s">
        <v>240</v>
      </c>
      <c r="F76" s="11">
        <v>45623</v>
      </c>
      <c r="G76" s="11">
        <v>45623</v>
      </c>
      <c r="H76" s="11">
        <v>45628</v>
      </c>
      <c r="I76" s="8" t="s">
        <v>241</v>
      </c>
      <c r="J76" s="8" t="s">
        <v>242</v>
      </c>
      <c r="K76" s="8" t="s">
        <v>243</v>
      </c>
      <c r="L76" s="8" t="s">
        <v>15</v>
      </c>
      <c r="N76" s="8" t="s">
        <v>75</v>
      </c>
      <c r="O76" s="8" t="s">
        <v>94</v>
      </c>
      <c r="P76" s="28" t="s">
        <v>77</v>
      </c>
      <c r="Q76" s="16" t="s">
        <v>278</v>
      </c>
      <c r="X76" s="8" t="s">
        <v>79</v>
      </c>
      <c r="Y76" s="34">
        <f>IF(X76='Listas suspensas'!$A$21,'Listas suspensas'!$B$23,IF(X76='Listas suspensas'!$A$22,'Listas suspensas'!$B$23,IF(X76='Listas suspensas'!$A$23,'Listas suspensas'!$B$22,IF(X76='Listas suspensas'!$A$26,'Listas suspensas'!$B$22,IF(X76='Listas suspensas'!$A$32,'Listas suspensas'!$B$22,IF(X76='Listas suspensas'!$A$33,'Listas suspensas'!$B$21,IF(X76='Listas suspensas'!$A$24,'Listas suspensas'!$B$22,IF(X76='Listas suspensas'!$A$30,'Listas suspensas'!$B$21,""))))))))</f>
        <v>6.5</v>
      </c>
      <c r="Z76" s="8" t="s">
        <v>80</v>
      </c>
      <c r="AA76" s="8">
        <v>2</v>
      </c>
      <c r="AB76" s="8" t="str">
        <f>IF(AA76='Listas suspensas'!$A$2,'Listas suspensas'!$B$2,IF(AA76='Listas suspensas'!$A$3,'Listas suspensas'!$B$3,IF(AA76='Listas suspensas'!$A$4,'Listas suspensas'!$B$4,IF(AA76='Listas suspensas'!$A$5,'Listas suspensas'!$B$5,IF(AA76='Listas suspensas'!$A$6,'Listas suspensas'!$B$6,"")))))</f>
        <v>Profunda e irregular</v>
      </c>
      <c r="AC76" s="8" t="str">
        <f>IF(AA76='Listas suspensas'!$A$2,'Listas suspensas'!$C$2,IF(AA76='Listas suspensas'!$A$3,'Listas suspensas'!$C$3,IF(AA76='Listas suspensas'!$A$4,'Listas suspensas'!$C$4,IF(AA76='Listas suspensas'!$A$5,'Listas suspensas'!$C$5,IF(AA76='Listas suspensas'!$A$6,'Listas suspensas'!$C$6,"")))))</f>
        <v>Indica a penetração profunda, mas desuniforme em toda a extensão do alburno.</v>
      </c>
      <c r="AK76" s="8">
        <v>11.02</v>
      </c>
      <c r="AL76" s="8">
        <v>10.94</v>
      </c>
      <c r="AM76" s="8">
        <v>11.08</v>
      </c>
      <c r="AN76" s="8">
        <v>10.98</v>
      </c>
      <c r="AO76" s="8">
        <v>11.02</v>
      </c>
      <c r="AP76" s="8">
        <f t="shared" si="22"/>
        <v>1.1008</v>
      </c>
      <c r="AQ76" s="8">
        <v>13.01</v>
      </c>
      <c r="AR76" s="8">
        <v>12.15</v>
      </c>
      <c r="AS76" s="8">
        <v>11.99</v>
      </c>
      <c r="AT76" s="8">
        <v>12</v>
      </c>
      <c r="AU76" s="8">
        <v>12.88</v>
      </c>
      <c r="AV76" s="8">
        <f t="shared" si="23"/>
        <v>1.2406000000000001</v>
      </c>
      <c r="AW76" s="20">
        <v>1.0722</v>
      </c>
      <c r="AX76" s="20">
        <v>0.91220000000000001</v>
      </c>
      <c r="AY76" s="20">
        <v>0.95030000000000003</v>
      </c>
      <c r="AZ76" s="20">
        <v>0.95330000000000004</v>
      </c>
      <c r="BA76" s="20">
        <v>1.0430999999999999</v>
      </c>
      <c r="BB76" s="20">
        <f t="shared" si="24"/>
        <v>0.98621999999999999</v>
      </c>
      <c r="BC76" s="20">
        <f t="shared" si="25"/>
        <v>1.1806971093539926</v>
      </c>
      <c r="BE76" s="18">
        <f t="shared" si="26"/>
        <v>835.28619845575895</v>
      </c>
      <c r="BF76" s="8">
        <v>0.308</v>
      </c>
      <c r="BG76" s="8">
        <v>0.16200000000000001</v>
      </c>
      <c r="BH76" s="8">
        <v>0.29299999999999998</v>
      </c>
      <c r="BI76" s="13">
        <f t="shared" si="27"/>
        <v>0.7629999999999999</v>
      </c>
      <c r="BJ76" s="14">
        <v>40.299999999999997</v>
      </c>
      <c r="BK76" s="14">
        <v>21.3</v>
      </c>
      <c r="BL76" s="14">
        <v>38.4</v>
      </c>
      <c r="BM76" s="16">
        <f t="shared" si="28"/>
        <v>100</v>
      </c>
      <c r="BN76" s="21">
        <f t="shared" si="29"/>
        <v>2.57</v>
      </c>
      <c r="BO76" s="21">
        <f t="shared" si="30"/>
        <v>1.35</v>
      </c>
      <c r="BP76" s="21">
        <f t="shared" si="31"/>
        <v>2.4500000000000002</v>
      </c>
      <c r="BQ76" s="14">
        <f t="shared" si="32"/>
        <v>6.37</v>
      </c>
      <c r="BR76" s="22" t="str">
        <f>IF(OR(AND(X76="Mourões", BQ76&gt;=6.5),AND(X76="Postes", BQ76&gt;=9.6),AND(X76="Dormentes", BQ76&gt;=9.6),AND(X76="Estacas", BQ76&gt;=6.5),AND(X76="Cruzetas", BQ76&gt;=6.5),AND(X76="Outros - Solo", BQ76&gt;=6.5),AND(X76="Outros - Suspenso",BQ76&gt;=4),AND(X76="Deck",BQ76&gt;=4)),'Listas suspensas'!$C$21,'Listas suspensas'!$C$22)</f>
        <v>Os resultados da análise química apresentaram uma retenção do produto inferior ao padrão mínimo exigido pela norma ABNT NBR 16143</v>
      </c>
    </row>
    <row r="77" spans="2:70" x14ac:dyDescent="0.25">
      <c r="B77" s="8" t="s">
        <v>279</v>
      </c>
      <c r="C77" s="8" t="s">
        <v>71</v>
      </c>
      <c r="D77" s="8" t="s">
        <v>186</v>
      </c>
      <c r="F77" s="11">
        <v>45636</v>
      </c>
      <c r="G77" s="11">
        <v>45636</v>
      </c>
      <c r="H77" s="11">
        <v>45645</v>
      </c>
      <c r="I77" s="8" t="s">
        <v>187</v>
      </c>
      <c r="J77" s="8" t="s">
        <v>188</v>
      </c>
      <c r="K77" s="8" t="s">
        <v>189</v>
      </c>
      <c r="L77" s="8" t="s">
        <v>15</v>
      </c>
      <c r="M77" s="30" t="s">
        <v>190</v>
      </c>
      <c r="N77" s="8" t="s">
        <v>75</v>
      </c>
      <c r="O77" s="8" t="s">
        <v>94</v>
      </c>
      <c r="P77" s="28" t="s">
        <v>77</v>
      </c>
      <c r="Q77" s="16" t="s">
        <v>280</v>
      </c>
      <c r="X77" s="8" t="s">
        <v>79</v>
      </c>
      <c r="Y77" s="34">
        <f>IF(X77='Listas suspensas'!$A$21,'Listas suspensas'!$B$23,IF(X77='Listas suspensas'!$A$22,'Listas suspensas'!$B$23,IF(X77='Listas suspensas'!$A$23,'Listas suspensas'!$B$22,IF(X77='Listas suspensas'!$A$26,'Listas suspensas'!$B$22,IF(X77='Listas suspensas'!$A$32,'Listas suspensas'!$B$22,IF(X77='Listas suspensas'!$A$33,'Listas suspensas'!$B$21,IF(X77='Listas suspensas'!$A$24,'Listas suspensas'!$B$22,IF(X77='Listas suspensas'!$A$30,'Listas suspensas'!$B$21,""))))))))</f>
        <v>6.5</v>
      </c>
      <c r="Z77" s="8" t="s">
        <v>80</v>
      </c>
      <c r="AA77" s="8">
        <v>3</v>
      </c>
      <c r="AB77" s="8" t="str">
        <f>IF(AA77='Listas suspensas'!$A$2,'Listas suspensas'!$B$2,IF(AA77='Listas suspensas'!$A$3,'Listas suspensas'!$B$3,IF(AA77='Listas suspensas'!$A$4,'Listas suspensas'!$B$4,IF(AA77='Listas suspensas'!$A$5,'Listas suspensas'!$B$5,IF(AA77='Listas suspensas'!$A$6,'Listas suspensas'!$B$6,"")))))</f>
        <v xml:space="preserve"> Parcial e regular</v>
      </c>
      <c r="AC77" s="8" t="str">
        <f>IF(AA77='Listas suspensas'!$A$2,'Listas suspensas'!$C$2,IF(AA77='Listas suspensas'!$A$3,'Listas suspensas'!$C$3,IF(AA77='Listas suspensas'!$A$4,'Listas suspensas'!$C$4,IF(AA77='Listas suspensas'!$A$5,'Listas suspensas'!$C$5,IF(AA77='Listas suspensas'!$A$6,'Listas suspensas'!$C$6,"")))))</f>
        <v>Indica a penetração uniforme, mas não total pela extensão do alburno.</v>
      </c>
      <c r="AK77" s="8">
        <v>11.87</v>
      </c>
      <c r="AL77" s="8">
        <v>11.87</v>
      </c>
      <c r="AM77" s="8">
        <v>11.87</v>
      </c>
      <c r="AN77" s="8">
        <v>11.9</v>
      </c>
      <c r="AO77" s="8">
        <v>11.81</v>
      </c>
      <c r="AP77" s="8">
        <f t="shared" si="22"/>
        <v>1.1864000000000001</v>
      </c>
      <c r="AQ77" s="8">
        <v>19.75</v>
      </c>
      <c r="AR77" s="8">
        <v>17.420000000000002</v>
      </c>
      <c r="AS77" s="8">
        <v>17.12</v>
      </c>
      <c r="AT77" s="8">
        <v>18.13</v>
      </c>
      <c r="AU77" s="8">
        <v>19.989999999999998</v>
      </c>
      <c r="AV77" s="8">
        <f t="shared" si="23"/>
        <v>1.8481999999999998</v>
      </c>
      <c r="AW77" s="20">
        <v>1.9683999999999999</v>
      </c>
      <c r="AX77" s="20">
        <v>1.7388999999999999</v>
      </c>
      <c r="AY77" s="20">
        <v>1.7176</v>
      </c>
      <c r="AZ77" s="20">
        <v>1.794</v>
      </c>
      <c r="BA77" s="20">
        <v>1.9930000000000001</v>
      </c>
      <c r="BB77" s="20">
        <f t="shared" si="24"/>
        <v>1.8423799999999999</v>
      </c>
      <c r="BC77" s="20">
        <f t="shared" si="25"/>
        <v>2.0431540991864994</v>
      </c>
      <c r="BE77" s="18">
        <f t="shared" si="26"/>
        <v>901.73325679818311</v>
      </c>
      <c r="BF77" s="8">
        <v>0.191</v>
      </c>
      <c r="BG77" s="8">
        <v>0.1</v>
      </c>
      <c r="BH77" s="8">
        <v>0.23400000000000001</v>
      </c>
      <c r="BI77" s="13">
        <f t="shared" si="27"/>
        <v>0.52500000000000002</v>
      </c>
      <c r="BJ77" s="14">
        <v>36.4</v>
      </c>
      <c r="BK77" s="14">
        <v>19.100000000000001</v>
      </c>
      <c r="BL77" s="14">
        <v>44.5</v>
      </c>
      <c r="BM77" s="16">
        <f t="shared" si="28"/>
        <v>100</v>
      </c>
      <c r="BN77" s="21">
        <f t="shared" si="29"/>
        <v>1.72</v>
      </c>
      <c r="BO77" s="21">
        <f t="shared" si="30"/>
        <v>0.9</v>
      </c>
      <c r="BP77" s="21">
        <f t="shared" si="31"/>
        <v>2.11</v>
      </c>
      <c r="BQ77" s="14">
        <f t="shared" si="32"/>
        <v>4.7300000000000004</v>
      </c>
      <c r="BR77" s="22" t="str">
        <f>IF(OR(AND(X77="Mourões", BQ77&gt;=6.5),AND(X77="Postes", BQ77&gt;=9.6),AND(X77="Dormentes", BQ77&gt;=9.6),AND(X77="Estacas", BQ77&gt;=6.5),AND(X77="Cruzetas", BQ77&gt;=6.5),AND(X77="Outros - Solo", BQ77&gt;=6.5),AND(X77="Outros - Suspenso",BQ77&gt;=4),AND(X77="Deck",BQ77&gt;=4)),'Listas suspensas'!$C$21,'Listas suspensas'!$C$22)</f>
        <v>Os resultados da análise química apresentaram uma retenção do produto inferior ao padrão mínimo exigido pela norma ABNT NBR 16143</v>
      </c>
    </row>
    <row r="78" spans="2:70" x14ac:dyDescent="0.25">
      <c r="B78" s="8" t="s">
        <v>281</v>
      </c>
      <c r="C78" s="8" t="s">
        <v>71</v>
      </c>
      <c r="D78" s="8" t="s">
        <v>240</v>
      </c>
      <c r="F78" s="11">
        <v>45643</v>
      </c>
      <c r="G78" s="11">
        <v>45643</v>
      </c>
      <c r="H78" s="11">
        <v>45645</v>
      </c>
      <c r="I78" s="8" t="s">
        <v>241</v>
      </c>
      <c r="J78" s="8" t="s">
        <v>242</v>
      </c>
      <c r="K78" s="8" t="s">
        <v>243</v>
      </c>
      <c r="L78" s="8" t="s">
        <v>15</v>
      </c>
      <c r="N78" s="8" t="s">
        <v>75</v>
      </c>
      <c r="O78" s="8" t="s">
        <v>94</v>
      </c>
      <c r="P78" s="28" t="s">
        <v>77</v>
      </c>
      <c r="Q78" s="16" t="s">
        <v>282</v>
      </c>
      <c r="X78" s="8" t="s">
        <v>79</v>
      </c>
      <c r="Y78" s="34">
        <f>IF(X78='Listas suspensas'!$A$21,'Listas suspensas'!$B$23,IF(X78='Listas suspensas'!$A$22,'Listas suspensas'!$B$23,IF(X78='Listas suspensas'!$A$23,'Listas suspensas'!$B$22,IF(X78='Listas suspensas'!$A$26,'Listas suspensas'!$B$22,IF(X78='Listas suspensas'!$A$32,'Listas suspensas'!$B$22,IF(X78='Listas suspensas'!$A$33,'Listas suspensas'!$B$21,IF(X78='Listas suspensas'!$A$24,'Listas suspensas'!$B$22,IF(X78='Listas suspensas'!$A$30,'Listas suspensas'!$B$21,""))))))))</f>
        <v>6.5</v>
      </c>
      <c r="Z78" s="8" t="s">
        <v>80</v>
      </c>
      <c r="AA78" s="8">
        <v>3</v>
      </c>
      <c r="AB78" s="8" t="str">
        <f>IF(AA78='Listas suspensas'!$A$2,'Listas suspensas'!$B$2,IF(AA78='Listas suspensas'!$A$3,'Listas suspensas'!$B$3,IF(AA78='Listas suspensas'!$A$4,'Listas suspensas'!$B$4,IF(AA78='Listas suspensas'!$A$5,'Listas suspensas'!$B$5,IF(AA78='Listas suspensas'!$A$6,'Listas suspensas'!$B$6,"")))))</f>
        <v xml:space="preserve"> Parcial e regular</v>
      </c>
      <c r="AC78" s="8" t="str">
        <f>IF(AA78='Listas suspensas'!$A$2,'Listas suspensas'!$C$2,IF(AA78='Listas suspensas'!$A$3,'Listas suspensas'!$C$3,IF(AA78='Listas suspensas'!$A$4,'Listas suspensas'!$C$4,IF(AA78='Listas suspensas'!$A$5,'Listas suspensas'!$C$5,IF(AA78='Listas suspensas'!$A$6,'Listas suspensas'!$C$6,"")))))</f>
        <v>Indica a penetração uniforme, mas não total pela extensão do alburno.</v>
      </c>
      <c r="AK78" s="8">
        <v>11.95</v>
      </c>
      <c r="AL78" s="8">
        <v>11.94</v>
      </c>
      <c r="AM78" s="8">
        <v>11.94</v>
      </c>
      <c r="AN78" s="8">
        <v>11.88</v>
      </c>
      <c r="AO78" s="8">
        <v>11.94</v>
      </c>
      <c r="AP78" s="8">
        <f t="shared" si="22"/>
        <v>1.1930000000000001</v>
      </c>
      <c r="AQ78" s="8">
        <v>10.9</v>
      </c>
      <c r="AR78" s="8">
        <v>10.51</v>
      </c>
      <c r="AS78" s="8">
        <v>9.9</v>
      </c>
      <c r="AT78" s="8">
        <v>11.63</v>
      </c>
      <c r="AU78" s="8">
        <v>11.6</v>
      </c>
      <c r="AV78" s="8">
        <f t="shared" si="23"/>
        <v>1.0908000000000002</v>
      </c>
      <c r="AW78" s="20">
        <v>0.99180000000000001</v>
      </c>
      <c r="AX78" s="20">
        <v>0.9526</v>
      </c>
      <c r="AY78" s="20">
        <v>0.93630000000000002</v>
      </c>
      <c r="AZ78" s="20">
        <v>1.0505</v>
      </c>
      <c r="BA78" s="20">
        <v>1.0381</v>
      </c>
      <c r="BB78" s="20">
        <f t="shared" si="24"/>
        <v>0.99386000000000008</v>
      </c>
      <c r="BC78" s="20">
        <f t="shared" si="25"/>
        <v>1.2193149479369338</v>
      </c>
      <c r="BE78" s="18">
        <f t="shared" si="26"/>
        <v>815.09703598860915</v>
      </c>
      <c r="BF78" s="8">
        <v>0.27700000000000002</v>
      </c>
      <c r="BG78" s="8">
        <v>0.14499999999999999</v>
      </c>
      <c r="BH78" s="8">
        <v>0.26500000000000001</v>
      </c>
      <c r="BI78" s="13">
        <f t="shared" si="27"/>
        <v>0.68700000000000006</v>
      </c>
      <c r="BJ78" s="14">
        <v>40.299999999999997</v>
      </c>
      <c r="BK78" s="14">
        <v>21.1</v>
      </c>
      <c r="BL78" s="14">
        <v>38.6</v>
      </c>
      <c r="BM78" s="16">
        <f t="shared" si="28"/>
        <v>100</v>
      </c>
      <c r="BN78" s="21">
        <f t="shared" si="29"/>
        <v>2.2599999999999998</v>
      </c>
      <c r="BO78" s="21">
        <f t="shared" si="30"/>
        <v>1.18</v>
      </c>
      <c r="BP78" s="21">
        <f t="shared" si="31"/>
        <v>2.16</v>
      </c>
      <c r="BQ78" s="14">
        <f t="shared" si="32"/>
        <v>5.6</v>
      </c>
      <c r="BR78" s="22" t="str">
        <f>IF(OR(AND(X78="Mourões", BQ78&gt;=6.5),AND(X78="Postes", BQ78&gt;=9.6),AND(X78="Dormentes", BQ78&gt;=9.6),AND(X78="Estacas", BQ78&gt;=6.5),AND(X78="Cruzetas", BQ78&gt;=6.5),AND(X78="Outros - Solo", BQ78&gt;=6.5),AND(X78="Outros - Suspenso",BQ78&gt;=4),AND(X78="Deck",BQ78&gt;=4)),'Listas suspensas'!$C$21,'Listas suspensas'!$C$22)</f>
        <v>Os resultados da análise química apresentaram uma retenção do produto inferior ao padrão mínimo exigido pela norma ABNT NBR 16143</v>
      </c>
    </row>
    <row r="79" spans="2:70" x14ac:dyDescent="0.25">
      <c r="B79" s="8" t="s">
        <v>283</v>
      </c>
      <c r="C79" s="8" t="s">
        <v>71</v>
      </c>
      <c r="D79" s="8" t="s">
        <v>240</v>
      </c>
      <c r="F79" s="11">
        <v>45643</v>
      </c>
      <c r="G79" s="11">
        <v>45643</v>
      </c>
      <c r="H79" s="11">
        <v>45645</v>
      </c>
      <c r="I79" s="8" t="s">
        <v>241</v>
      </c>
      <c r="J79" s="8" t="s">
        <v>242</v>
      </c>
      <c r="K79" s="8" t="s">
        <v>243</v>
      </c>
      <c r="L79" s="8" t="s">
        <v>15</v>
      </c>
      <c r="N79" s="8" t="s">
        <v>75</v>
      </c>
      <c r="O79" s="8" t="s">
        <v>94</v>
      </c>
      <c r="P79" s="28" t="s">
        <v>77</v>
      </c>
      <c r="Q79" s="16" t="s">
        <v>284</v>
      </c>
      <c r="X79" s="8" t="s">
        <v>79</v>
      </c>
      <c r="Y79" s="34">
        <f>IF(X79='Listas suspensas'!$A$21,'Listas suspensas'!$B$23,IF(X79='Listas suspensas'!$A$22,'Listas suspensas'!$B$23,IF(X79='Listas suspensas'!$A$23,'Listas suspensas'!$B$22,IF(X79='Listas suspensas'!$A$26,'Listas suspensas'!$B$22,IF(X79='Listas suspensas'!$A$32,'Listas suspensas'!$B$22,IF(X79='Listas suspensas'!$A$33,'Listas suspensas'!$B$21,IF(X79='Listas suspensas'!$A$24,'Listas suspensas'!$B$22,IF(X79='Listas suspensas'!$A$30,'Listas suspensas'!$B$21,""))))))))</f>
        <v>6.5</v>
      </c>
      <c r="Z79" s="8" t="s">
        <v>80</v>
      </c>
      <c r="AA79" s="8">
        <v>2</v>
      </c>
      <c r="AB79" s="8" t="str">
        <f>IF(AA79='Listas suspensas'!$A$2,'Listas suspensas'!$B$2,IF(AA79='Listas suspensas'!$A$3,'Listas suspensas'!$B$3,IF(AA79='Listas suspensas'!$A$4,'Listas suspensas'!$B$4,IF(AA79='Listas suspensas'!$A$5,'Listas suspensas'!$B$5,IF(AA79='Listas suspensas'!$A$6,'Listas suspensas'!$B$6,"")))))</f>
        <v>Profunda e irregular</v>
      </c>
      <c r="AC79" s="8" t="str">
        <f>IF(AA79='Listas suspensas'!$A$2,'Listas suspensas'!$C$2,IF(AA79='Listas suspensas'!$A$3,'Listas suspensas'!$C$3,IF(AA79='Listas suspensas'!$A$4,'Listas suspensas'!$C$4,IF(AA79='Listas suspensas'!$A$5,'Listas suspensas'!$C$5,IF(AA79='Listas suspensas'!$A$6,'Listas suspensas'!$C$6,"")))))</f>
        <v>Indica a penetração profunda, mas desuniforme em toda a extensão do alburno.</v>
      </c>
      <c r="AK79" s="8">
        <v>11.87</v>
      </c>
      <c r="AL79" s="8">
        <v>11.94</v>
      </c>
      <c r="AM79" s="8">
        <v>11.92</v>
      </c>
      <c r="AN79" s="8">
        <v>11.89</v>
      </c>
      <c r="AO79" s="8">
        <v>11.97</v>
      </c>
      <c r="AP79" s="8">
        <f t="shared" si="22"/>
        <v>1.1918</v>
      </c>
      <c r="AQ79" s="8">
        <v>11.41</v>
      </c>
      <c r="AR79" s="8">
        <v>9.25</v>
      </c>
      <c r="AS79" s="8">
        <v>12.44</v>
      </c>
      <c r="AT79" s="8">
        <v>13.02</v>
      </c>
      <c r="AU79" s="8">
        <v>10.36</v>
      </c>
      <c r="AV79" s="8">
        <f t="shared" si="23"/>
        <v>1.1296000000000002</v>
      </c>
      <c r="AW79" s="20">
        <v>1.032</v>
      </c>
      <c r="AX79" s="20">
        <v>0.84989999999999999</v>
      </c>
      <c r="AY79" s="20">
        <v>1.1169</v>
      </c>
      <c r="AZ79" s="20">
        <v>1.1897</v>
      </c>
      <c r="BA79" s="20">
        <v>0.97960000000000003</v>
      </c>
      <c r="BB79" s="20">
        <f t="shared" si="24"/>
        <v>1.0336200000000002</v>
      </c>
      <c r="BC79" s="20">
        <f t="shared" si="25"/>
        <v>1.2601473406465193</v>
      </c>
      <c r="BE79" s="18">
        <f t="shared" si="26"/>
        <v>820.23741721321323</v>
      </c>
      <c r="BF79" s="8">
        <v>0.30199999999999999</v>
      </c>
      <c r="BG79" s="8">
        <v>0.158</v>
      </c>
      <c r="BH79" s="8">
        <v>0.29799999999999999</v>
      </c>
      <c r="BI79" s="13">
        <f t="shared" si="27"/>
        <v>0.75800000000000001</v>
      </c>
      <c r="BJ79" s="14">
        <v>39.799999999999997</v>
      </c>
      <c r="BK79" s="14">
        <v>20.8</v>
      </c>
      <c r="BL79" s="14">
        <v>39.4</v>
      </c>
      <c r="BM79" s="16">
        <f t="shared" si="28"/>
        <v>100</v>
      </c>
      <c r="BN79" s="21">
        <f t="shared" si="29"/>
        <v>2.48</v>
      </c>
      <c r="BO79" s="21">
        <f t="shared" si="30"/>
        <v>1.3</v>
      </c>
      <c r="BP79" s="21">
        <f t="shared" si="31"/>
        <v>2.44</v>
      </c>
      <c r="BQ79" s="14">
        <f t="shared" si="32"/>
        <v>6.22</v>
      </c>
      <c r="BR79" s="22" t="str">
        <f>IF(OR(AND(X79="Mourões", BQ79&gt;=6.5),AND(X79="Postes", BQ79&gt;=9.6),AND(X79="Dormentes", BQ79&gt;=9.6),AND(X79="Estacas", BQ79&gt;=6.5),AND(X79="Cruzetas", BQ79&gt;=6.5),AND(X79="Outros - Solo", BQ79&gt;=6.5),AND(X79="Outros - Suspenso",BQ79&gt;=4),AND(X79="Deck",BQ79&gt;=4)),'Listas suspensas'!$C$21,'Listas suspensas'!$C$22)</f>
        <v>Os resultados da análise química apresentaram uma retenção do produto inferior ao padrão mínimo exigido pela norma ABNT NBR 16143</v>
      </c>
    </row>
    <row r="80" spans="2:70" x14ac:dyDescent="0.25">
      <c r="B80" s="8" t="s">
        <v>285</v>
      </c>
      <c r="C80" s="8" t="s">
        <v>71</v>
      </c>
      <c r="D80" s="8" t="s">
        <v>240</v>
      </c>
      <c r="F80" s="11">
        <v>45643</v>
      </c>
      <c r="G80" s="11">
        <v>45643</v>
      </c>
      <c r="H80" s="11">
        <v>45645</v>
      </c>
      <c r="I80" s="8" t="s">
        <v>241</v>
      </c>
      <c r="J80" s="8" t="s">
        <v>242</v>
      </c>
      <c r="K80" s="8" t="s">
        <v>243</v>
      </c>
      <c r="L80" s="8" t="s">
        <v>15</v>
      </c>
      <c r="N80" s="8" t="s">
        <v>75</v>
      </c>
      <c r="O80" s="8" t="s">
        <v>94</v>
      </c>
      <c r="P80" s="28" t="s">
        <v>77</v>
      </c>
      <c r="Q80" s="16" t="s">
        <v>286</v>
      </c>
      <c r="X80" s="8" t="s">
        <v>79</v>
      </c>
      <c r="Y80" s="34">
        <f>IF(X80='Listas suspensas'!$A$21,'Listas suspensas'!$B$23,IF(X80='Listas suspensas'!$A$22,'Listas suspensas'!$B$23,IF(X80='Listas suspensas'!$A$23,'Listas suspensas'!$B$22,IF(X80='Listas suspensas'!$A$26,'Listas suspensas'!$B$22,IF(X80='Listas suspensas'!$A$32,'Listas suspensas'!$B$22,IF(X80='Listas suspensas'!$A$33,'Listas suspensas'!$B$21,IF(X80='Listas suspensas'!$A$24,'Listas suspensas'!$B$22,IF(X80='Listas suspensas'!$A$30,'Listas suspensas'!$B$21,""))))))))</f>
        <v>6.5</v>
      </c>
      <c r="Z80" s="8" t="s">
        <v>80</v>
      </c>
      <c r="AA80" s="8">
        <v>3</v>
      </c>
      <c r="AB80" s="8" t="str">
        <f>IF(AA80='Listas suspensas'!$A$2,'Listas suspensas'!$B$2,IF(AA80='Listas suspensas'!$A$3,'Listas suspensas'!$B$3,IF(AA80='Listas suspensas'!$A$4,'Listas suspensas'!$B$4,IF(AA80='Listas suspensas'!$A$5,'Listas suspensas'!$B$5,IF(AA80='Listas suspensas'!$A$6,'Listas suspensas'!$B$6,"")))))</f>
        <v xml:space="preserve"> Parcial e regular</v>
      </c>
      <c r="AC80" s="8" t="str">
        <f>IF(AA80='Listas suspensas'!$A$2,'Listas suspensas'!$C$2,IF(AA80='Listas suspensas'!$A$3,'Listas suspensas'!$C$3,IF(AA80='Listas suspensas'!$A$4,'Listas suspensas'!$C$4,IF(AA80='Listas suspensas'!$A$5,'Listas suspensas'!$C$5,IF(AA80='Listas suspensas'!$A$6,'Listas suspensas'!$C$6,"")))))</f>
        <v>Indica a penetração uniforme, mas não total pela extensão do alburno.</v>
      </c>
      <c r="AK80" s="8">
        <v>10.82</v>
      </c>
      <c r="AL80" s="8">
        <v>10.97</v>
      </c>
      <c r="AM80" s="8">
        <v>10.86</v>
      </c>
      <c r="AN80" s="8">
        <v>10.98</v>
      </c>
      <c r="AO80" s="8">
        <v>10.95</v>
      </c>
      <c r="AP80" s="8">
        <f t="shared" si="22"/>
        <v>1.0916000000000001</v>
      </c>
      <c r="AQ80" s="8">
        <v>15.24</v>
      </c>
      <c r="AR80" s="8">
        <v>15.64</v>
      </c>
      <c r="AS80" s="8">
        <v>16.62</v>
      </c>
      <c r="AT80" s="8">
        <v>16.36</v>
      </c>
      <c r="AU80" s="8">
        <v>17.34</v>
      </c>
      <c r="AV80" s="8">
        <f t="shared" si="23"/>
        <v>1.6240000000000001</v>
      </c>
      <c r="AW80" s="20">
        <v>1.1396999999999999</v>
      </c>
      <c r="AX80" s="20">
        <v>1.2202999999999999</v>
      </c>
      <c r="AY80" s="20">
        <v>1.3098000000000001</v>
      </c>
      <c r="AZ80" s="20">
        <v>1.2515000000000001</v>
      </c>
      <c r="BA80" s="20">
        <v>1.3391999999999999</v>
      </c>
      <c r="BB80" s="20">
        <f t="shared" si="24"/>
        <v>1.2521</v>
      </c>
      <c r="BC80" s="20">
        <f t="shared" si="25"/>
        <v>1.5198578126494773</v>
      </c>
      <c r="BE80" s="18">
        <f t="shared" si="26"/>
        <v>823.82706433392536</v>
      </c>
      <c r="BF80" s="8">
        <v>0.311</v>
      </c>
      <c r="BG80" s="8">
        <v>0.155</v>
      </c>
      <c r="BH80" s="8">
        <v>0.28699999999999998</v>
      </c>
      <c r="BI80" s="13">
        <f t="shared" si="27"/>
        <v>0.75299999999999989</v>
      </c>
      <c r="BJ80" s="14">
        <v>41.3</v>
      </c>
      <c r="BK80" s="14">
        <v>20.6</v>
      </c>
      <c r="BL80" s="14">
        <v>38.1</v>
      </c>
      <c r="BM80" s="16">
        <f t="shared" si="28"/>
        <v>100</v>
      </c>
      <c r="BN80" s="21">
        <f t="shared" si="29"/>
        <v>2.56</v>
      </c>
      <c r="BO80" s="21">
        <f t="shared" si="30"/>
        <v>1.28</v>
      </c>
      <c r="BP80" s="21">
        <f t="shared" si="31"/>
        <v>2.36</v>
      </c>
      <c r="BQ80" s="14">
        <f t="shared" si="32"/>
        <v>6.2</v>
      </c>
      <c r="BR80" s="22" t="str">
        <f>IF(OR(AND(X80="Mourões", BQ80&gt;=6.5),AND(X80="Postes", BQ80&gt;=9.6),AND(X80="Dormentes", BQ80&gt;=9.6),AND(X80="Estacas", BQ80&gt;=6.5),AND(X80="Cruzetas", BQ80&gt;=6.5),AND(X80="Outros - Solo", BQ80&gt;=6.5),AND(X80="Outros - Suspenso",BQ80&gt;=4),AND(X80="Deck",BQ80&gt;=4)),'Listas suspensas'!$C$21,'Listas suspensas'!$C$22)</f>
        <v>Os resultados da análise química apresentaram uma retenção do produto inferior ao padrão mínimo exigido pela norma ABNT NBR 16143</v>
      </c>
    </row>
    <row r="81" spans="2:70" x14ac:dyDescent="0.25">
      <c r="B81" s="8" t="s">
        <v>287</v>
      </c>
      <c r="C81" s="8" t="s">
        <v>71</v>
      </c>
      <c r="D81" s="8" t="s">
        <v>240</v>
      </c>
      <c r="F81" s="11">
        <v>45643</v>
      </c>
      <c r="G81" s="11">
        <v>45643</v>
      </c>
      <c r="H81" s="11">
        <v>45645</v>
      </c>
      <c r="I81" s="8" t="s">
        <v>241</v>
      </c>
      <c r="J81" s="8" t="s">
        <v>242</v>
      </c>
      <c r="K81" s="8" t="s">
        <v>243</v>
      </c>
      <c r="L81" s="8" t="s">
        <v>15</v>
      </c>
      <c r="N81" s="8" t="s">
        <v>75</v>
      </c>
      <c r="O81" s="8" t="s">
        <v>94</v>
      </c>
      <c r="P81" s="28" t="s">
        <v>77</v>
      </c>
      <c r="Q81" s="16" t="s">
        <v>288</v>
      </c>
      <c r="X81" s="8" t="s">
        <v>79</v>
      </c>
      <c r="Y81" s="34">
        <f>IF(X81='Listas suspensas'!$A$21,'Listas suspensas'!$B$23,IF(X81='Listas suspensas'!$A$22,'Listas suspensas'!$B$23,IF(X81='Listas suspensas'!$A$23,'Listas suspensas'!$B$22,IF(X81='Listas suspensas'!$A$26,'Listas suspensas'!$B$22,IF(X81='Listas suspensas'!$A$32,'Listas suspensas'!$B$22,IF(X81='Listas suspensas'!$A$33,'Listas suspensas'!$B$21,IF(X81='Listas suspensas'!$A$24,'Listas suspensas'!$B$22,IF(X81='Listas suspensas'!$A$30,'Listas suspensas'!$B$21,""))))))))</f>
        <v>6.5</v>
      </c>
      <c r="Z81" s="8" t="s">
        <v>80</v>
      </c>
      <c r="AA81" s="8">
        <v>2</v>
      </c>
      <c r="AB81" s="8" t="str">
        <f>IF(AA81='Listas suspensas'!$A$2,'Listas suspensas'!$B$2,IF(AA81='Listas suspensas'!$A$3,'Listas suspensas'!$B$3,IF(AA81='Listas suspensas'!$A$4,'Listas suspensas'!$B$4,IF(AA81='Listas suspensas'!$A$5,'Listas suspensas'!$B$5,IF(AA81='Listas suspensas'!$A$6,'Listas suspensas'!$B$6,"")))))</f>
        <v>Profunda e irregular</v>
      </c>
      <c r="AC81" s="8" t="str">
        <f>IF(AA81='Listas suspensas'!$A$2,'Listas suspensas'!$C$2,IF(AA81='Listas suspensas'!$A$3,'Listas suspensas'!$C$3,IF(AA81='Listas suspensas'!$A$4,'Listas suspensas'!$C$4,IF(AA81='Listas suspensas'!$A$5,'Listas suspensas'!$C$5,IF(AA81='Listas suspensas'!$A$6,'Listas suspensas'!$C$6,"")))))</f>
        <v>Indica a penetração profunda, mas desuniforme em toda a extensão do alburno.</v>
      </c>
      <c r="AK81" s="8">
        <v>11.91</v>
      </c>
      <c r="AL81" s="8">
        <v>11.96</v>
      </c>
      <c r="AM81" s="8">
        <v>11.96</v>
      </c>
      <c r="AN81" s="8">
        <v>11.98</v>
      </c>
      <c r="AO81" s="8">
        <v>11.95</v>
      </c>
      <c r="AP81" s="8">
        <f t="shared" si="22"/>
        <v>1.1952000000000003</v>
      </c>
      <c r="AQ81" s="8">
        <v>9.7899999999999991</v>
      </c>
      <c r="AR81" s="8">
        <v>9.06</v>
      </c>
      <c r="AS81" s="8">
        <v>10.28</v>
      </c>
      <c r="AT81" s="8">
        <v>11.11</v>
      </c>
      <c r="AU81" s="8">
        <v>7.72</v>
      </c>
      <c r="AV81" s="8">
        <f t="shared" si="23"/>
        <v>0.95920000000000005</v>
      </c>
      <c r="AW81" s="20">
        <v>0.87549999999999994</v>
      </c>
      <c r="AX81" s="20">
        <v>0.83409999999999995</v>
      </c>
      <c r="AY81" s="20">
        <v>0.87390000000000001</v>
      </c>
      <c r="AZ81" s="20">
        <v>0.90449999999999997</v>
      </c>
      <c r="BA81" s="20">
        <v>0.68810000000000004</v>
      </c>
      <c r="BB81" s="20">
        <f t="shared" si="24"/>
        <v>0.83521999999999996</v>
      </c>
      <c r="BC81" s="20">
        <f t="shared" si="25"/>
        <v>1.0761683625315064</v>
      </c>
      <c r="BE81" s="18">
        <f t="shared" si="26"/>
        <v>776.1053280132528</v>
      </c>
      <c r="BF81" s="8">
        <v>0.371</v>
      </c>
      <c r="BG81" s="8">
        <v>0.184</v>
      </c>
      <c r="BH81" s="8">
        <v>0.32</v>
      </c>
      <c r="BI81" s="13">
        <f t="shared" si="27"/>
        <v>0.875</v>
      </c>
      <c r="BJ81" s="14">
        <v>42.4</v>
      </c>
      <c r="BK81" s="14">
        <v>21</v>
      </c>
      <c r="BL81" s="14">
        <v>36.6</v>
      </c>
      <c r="BM81" s="16">
        <f t="shared" si="28"/>
        <v>100</v>
      </c>
      <c r="BN81" s="21">
        <f t="shared" si="29"/>
        <v>2.88</v>
      </c>
      <c r="BO81" s="21">
        <f t="shared" si="30"/>
        <v>1.43</v>
      </c>
      <c r="BP81" s="21">
        <f t="shared" si="31"/>
        <v>2.48</v>
      </c>
      <c r="BQ81" s="14">
        <f t="shared" si="32"/>
        <v>6.79</v>
      </c>
      <c r="BR81" s="22" t="str">
        <f>IF(OR(AND(X81="Mourões", BQ81&gt;=6.5),AND(X81="Postes", BQ81&gt;=9.6),AND(X81="Dormentes", BQ81&gt;=9.6),AND(X81="Estacas", BQ81&gt;=6.5),AND(X81="Cruzetas", BQ81&gt;=6.5),AND(X81="Outros - Solo", BQ81&gt;=6.5),AND(X81="Outros - Suspenso",BQ81&gt;=4),AND(X81="Deck",BQ81&gt;=4)),'Listas suspensas'!$C$21,'Listas suspensas'!$C$22)</f>
        <v>Os resultados da análise química apresentaram uma retenção do produto de acordo com o padrão mínimo exigido pela norma ABNT NBR 16143</v>
      </c>
    </row>
    <row r="82" spans="2:70" x14ac:dyDescent="0.25">
      <c r="B82" s="8" t="s">
        <v>289</v>
      </c>
      <c r="C82" s="8" t="s">
        <v>71</v>
      </c>
      <c r="D82" s="8" t="s">
        <v>240</v>
      </c>
      <c r="F82" s="11">
        <v>45643</v>
      </c>
      <c r="G82" s="11">
        <v>45643</v>
      </c>
      <c r="H82" s="11">
        <v>45645</v>
      </c>
      <c r="I82" s="8" t="s">
        <v>241</v>
      </c>
      <c r="J82" s="8" t="s">
        <v>242</v>
      </c>
      <c r="K82" s="8" t="s">
        <v>243</v>
      </c>
      <c r="L82" s="8" t="s">
        <v>15</v>
      </c>
      <c r="N82" s="8" t="s">
        <v>75</v>
      </c>
      <c r="O82" s="8" t="s">
        <v>94</v>
      </c>
      <c r="P82" s="28" t="s">
        <v>77</v>
      </c>
      <c r="Q82" s="16" t="s">
        <v>290</v>
      </c>
      <c r="X82" s="8" t="s">
        <v>79</v>
      </c>
      <c r="Y82" s="34">
        <f>IF(X82='Listas suspensas'!$A$21,'Listas suspensas'!$B$23,IF(X82='Listas suspensas'!$A$22,'Listas suspensas'!$B$23,IF(X82='Listas suspensas'!$A$23,'Listas suspensas'!$B$22,IF(X82='Listas suspensas'!$A$26,'Listas suspensas'!$B$22,IF(X82='Listas suspensas'!$A$32,'Listas suspensas'!$B$22,IF(X82='Listas suspensas'!$A$33,'Listas suspensas'!$B$21,IF(X82='Listas suspensas'!$A$24,'Listas suspensas'!$B$22,IF(X82='Listas suspensas'!$A$30,'Listas suspensas'!$B$21,""))))))))</f>
        <v>6.5</v>
      </c>
      <c r="Z82" s="8" t="s">
        <v>80</v>
      </c>
      <c r="AA82" s="8">
        <v>1</v>
      </c>
      <c r="AB82" s="8" t="str">
        <f>IF(AA82='Listas suspensas'!$A$2,'Listas suspensas'!$B$2,IF(AA82='Listas suspensas'!$A$3,'Listas suspensas'!$B$3,IF(AA82='Listas suspensas'!$A$4,'Listas suspensas'!$B$4,IF(AA82='Listas suspensas'!$A$5,'Listas suspensas'!$B$5,IF(AA82='Listas suspensas'!$A$6,'Listas suspensas'!$B$6,"")))))</f>
        <v>Profunda e regular</v>
      </c>
      <c r="AC82" s="8" t="str">
        <f>IF(AA82='Listas suspensas'!$A$2,'Listas suspensas'!$C$2,IF(AA82='Listas suspensas'!$A$3,'Listas suspensas'!$C$3,IF(AA82='Listas suspensas'!$A$4,'Listas suspensas'!$C$4,IF(AA82='Listas suspensas'!$A$5,'Listas suspensas'!$C$5,IF(AA82='Listas suspensas'!$A$6,'Listas suspensas'!$C$6,"")))))</f>
        <v>Indica a penetração profunda e uniforme em toda a extensão do alburno.</v>
      </c>
      <c r="AK82" s="8">
        <v>11.87</v>
      </c>
      <c r="AL82" s="8">
        <v>11.7</v>
      </c>
      <c r="AM82" s="8">
        <v>11.81</v>
      </c>
      <c r="AN82" s="8">
        <v>11.87</v>
      </c>
      <c r="AO82" s="8">
        <v>11.87</v>
      </c>
      <c r="AP82" s="8">
        <f t="shared" si="22"/>
        <v>1.1823999999999999</v>
      </c>
      <c r="AQ82" s="8">
        <v>23.09</v>
      </c>
      <c r="AR82" s="8">
        <v>21</v>
      </c>
      <c r="AS82" s="8">
        <v>19.690000000000001</v>
      </c>
      <c r="AT82" s="8">
        <v>23.83</v>
      </c>
      <c r="AU82" s="8">
        <v>21.83</v>
      </c>
      <c r="AV82" s="8">
        <f t="shared" si="23"/>
        <v>2.1887999999999996</v>
      </c>
      <c r="AW82" s="20">
        <v>1.7793000000000001</v>
      </c>
      <c r="AX82" s="20">
        <v>1.6326000000000001</v>
      </c>
      <c r="AY82" s="20">
        <v>1.5661</v>
      </c>
      <c r="AZ82" s="20">
        <v>1.8104</v>
      </c>
      <c r="BA82" s="20">
        <v>1.6617</v>
      </c>
      <c r="BB82" s="20">
        <f t="shared" si="24"/>
        <v>1.6900199999999999</v>
      </c>
      <c r="BC82" s="20">
        <f t="shared" si="25"/>
        <v>2.4033930640479024</v>
      </c>
      <c r="BE82" s="18">
        <f t="shared" si="26"/>
        <v>703.18085929464758</v>
      </c>
      <c r="BF82" s="8">
        <v>0.39100000000000001</v>
      </c>
      <c r="BG82" s="8">
        <v>0.21</v>
      </c>
      <c r="BH82" s="8">
        <v>0.41799999999999998</v>
      </c>
      <c r="BI82" s="13">
        <f t="shared" si="27"/>
        <v>1.0189999999999999</v>
      </c>
      <c r="BJ82" s="14">
        <v>38.4</v>
      </c>
      <c r="BK82" s="14">
        <v>20.6</v>
      </c>
      <c r="BL82" s="14">
        <v>41</v>
      </c>
      <c r="BM82" s="16">
        <f t="shared" si="28"/>
        <v>100</v>
      </c>
      <c r="BN82" s="21">
        <f t="shared" si="29"/>
        <v>2.75</v>
      </c>
      <c r="BO82" s="21">
        <f t="shared" si="30"/>
        <v>1.48</v>
      </c>
      <c r="BP82" s="21">
        <f t="shared" si="31"/>
        <v>2.94</v>
      </c>
      <c r="BQ82" s="14">
        <f t="shared" si="32"/>
        <v>7.17</v>
      </c>
      <c r="BR82" s="22" t="str">
        <f>IF(OR(AND(X82="Mourões", BQ82&gt;=6.5),AND(X82="Postes", BQ82&gt;=9.6),AND(X82="Dormentes", BQ82&gt;=9.6),AND(X82="Estacas", BQ82&gt;=6.5),AND(X82="Cruzetas", BQ82&gt;=6.5),AND(X82="Outros - Solo", BQ82&gt;=6.5),AND(X82="Outros - Suspenso",BQ82&gt;=4),AND(X82="Deck",BQ82&gt;=4)),'Listas suspensas'!$C$21,'Listas suspensas'!$C$22)</f>
        <v>Os resultados da análise química apresentaram uma retenção do produto de acordo com o padrão mínimo exigido pela norma ABNT NBR 16143</v>
      </c>
    </row>
    <row r="83" spans="2:70" x14ac:dyDescent="0.25">
      <c r="B83" s="8" t="s">
        <v>291</v>
      </c>
      <c r="C83" s="8" t="s">
        <v>71</v>
      </c>
      <c r="D83" s="8" t="s">
        <v>89</v>
      </c>
      <c r="F83" s="11">
        <v>45643</v>
      </c>
      <c r="G83" s="11">
        <v>45643</v>
      </c>
      <c r="H83" s="11">
        <v>45645</v>
      </c>
      <c r="I83" s="8" t="s">
        <v>90</v>
      </c>
      <c r="J83" s="8" t="s">
        <v>91</v>
      </c>
      <c r="K83" s="8" t="s">
        <v>92</v>
      </c>
      <c r="L83" s="8" t="s">
        <v>15</v>
      </c>
      <c r="M83" s="30" t="s">
        <v>93</v>
      </c>
      <c r="N83" s="8" t="s">
        <v>75</v>
      </c>
      <c r="O83" s="8" t="s">
        <v>94</v>
      </c>
      <c r="P83" s="28" t="s">
        <v>77</v>
      </c>
      <c r="Q83" s="16" t="s">
        <v>292</v>
      </c>
      <c r="X83" s="8" t="s">
        <v>101</v>
      </c>
      <c r="Y83" s="34">
        <f>IF(X83='Listas suspensas'!$A$21,'Listas suspensas'!$B$23,IF(X83='Listas suspensas'!$A$22,'Listas suspensas'!$B$23,IF(X83='Listas suspensas'!$A$23,'Listas suspensas'!$B$22,IF(X83='Listas suspensas'!$A$26,'Listas suspensas'!$B$22,IF(X83='Listas suspensas'!$A$32,'Listas suspensas'!$B$22,IF(X83='Listas suspensas'!$A$33,'Listas suspensas'!$B$21,IF(X83='Listas suspensas'!$A$24,'Listas suspensas'!$B$22,IF(X83='Listas suspensas'!$A$30,'Listas suspensas'!$B$21,""))))))))</f>
        <v>6.5</v>
      </c>
      <c r="Z83" s="8" t="s">
        <v>80</v>
      </c>
      <c r="AA83" s="8">
        <v>1</v>
      </c>
      <c r="AB83" s="8" t="str">
        <f>IF(AA83='Listas suspensas'!$A$2,'Listas suspensas'!$B$2,IF(AA83='Listas suspensas'!$A$3,'Listas suspensas'!$B$3,IF(AA83='Listas suspensas'!$A$4,'Listas suspensas'!$B$4,IF(AA83='Listas suspensas'!$A$5,'Listas suspensas'!$B$5,IF(AA83='Listas suspensas'!$A$6,'Listas suspensas'!$B$6,"")))))</f>
        <v>Profunda e regular</v>
      </c>
      <c r="AC83" s="8" t="str">
        <f>IF(AA83='Listas suspensas'!$A$2,'Listas suspensas'!$C$2,IF(AA83='Listas suspensas'!$A$3,'Listas suspensas'!$C$3,IF(AA83='Listas suspensas'!$A$4,'Listas suspensas'!$C$4,IF(AA83='Listas suspensas'!$A$5,'Listas suspensas'!$C$5,IF(AA83='Listas suspensas'!$A$6,'Listas suspensas'!$C$6,"")))))</f>
        <v>Indica a penetração profunda e uniforme em toda a extensão do alburno.</v>
      </c>
      <c r="AK83" s="8">
        <v>13.11</v>
      </c>
      <c r="AP83" s="8">
        <f t="shared" si="22"/>
        <v>1.3109999999999999</v>
      </c>
      <c r="AQ83" s="8">
        <v>9.34</v>
      </c>
      <c r="AV83" s="8">
        <f t="shared" si="23"/>
        <v>0.93399999999999994</v>
      </c>
      <c r="AW83" s="20">
        <v>1.0712999999999999</v>
      </c>
      <c r="BB83" s="20">
        <f t="shared" si="24"/>
        <v>1.0712999999999999</v>
      </c>
      <c r="BC83" s="20">
        <f t="shared" si="25"/>
        <v>1.2607882158843122</v>
      </c>
      <c r="BE83" s="18">
        <f t="shared" si="26"/>
        <v>849.7065458758226</v>
      </c>
      <c r="BF83" s="8">
        <v>0.36199999999999999</v>
      </c>
      <c r="BG83" s="8">
        <v>0.17100000000000001</v>
      </c>
      <c r="BH83" s="8">
        <v>0.36199999999999999</v>
      </c>
      <c r="BI83" s="13">
        <f t="shared" si="27"/>
        <v>0.89500000000000002</v>
      </c>
      <c r="BJ83" s="14">
        <v>40.4</v>
      </c>
      <c r="BK83" s="14">
        <v>19.100000000000001</v>
      </c>
      <c r="BL83" s="14">
        <v>40.5</v>
      </c>
      <c r="BM83" s="16">
        <f t="shared" si="28"/>
        <v>100</v>
      </c>
      <c r="BN83" s="21">
        <f t="shared" si="29"/>
        <v>3.08</v>
      </c>
      <c r="BO83" s="21">
        <f t="shared" si="30"/>
        <v>1.45</v>
      </c>
      <c r="BP83" s="21">
        <f t="shared" si="31"/>
        <v>3.08</v>
      </c>
      <c r="BQ83" s="14">
        <f t="shared" si="32"/>
        <v>7.61</v>
      </c>
      <c r="BR83" s="22" t="str">
        <f>IF(OR(AND(X83="Mourões", BQ83&gt;=6.5),AND(X83="Postes", BQ83&gt;=9.6),AND(X83="Dormentes", BQ83&gt;=9.6),AND(X83="Estacas", BQ83&gt;=6.5),AND(X83="Cruzetas", BQ83&gt;=6.5),AND(X83="Outros - Solo", BQ83&gt;=6.5),AND(X83="Outros - Suspenso",BQ83&gt;=4),AND(X83="Deck",BQ83&gt;=4)),'Listas suspensas'!$C$21,'Listas suspensas'!$C$22)</f>
        <v>Os resultados da análise química apresentaram uma retenção do produto de acordo com o padrão mínimo exigido pela norma ABNT NBR 16143</v>
      </c>
    </row>
    <row r="84" spans="2:70" x14ac:dyDescent="0.25">
      <c r="B84" s="8" t="s">
        <v>293</v>
      </c>
      <c r="C84" s="8" t="s">
        <v>71</v>
      </c>
      <c r="F84" s="11">
        <v>45643</v>
      </c>
      <c r="G84" s="11">
        <v>45643</v>
      </c>
      <c r="H84" s="11">
        <v>45645</v>
      </c>
      <c r="I84" s="8" t="s">
        <v>212</v>
      </c>
      <c r="J84" s="8" t="s">
        <v>213</v>
      </c>
      <c r="K84" s="8" t="s">
        <v>74</v>
      </c>
      <c r="L84" s="8" t="s">
        <v>15</v>
      </c>
      <c r="M84" s="30" t="s">
        <v>214</v>
      </c>
      <c r="N84" s="8" t="s">
        <v>75</v>
      </c>
      <c r="O84" s="8" t="s">
        <v>76</v>
      </c>
      <c r="P84" s="28" t="s">
        <v>215</v>
      </c>
      <c r="Q84" s="16" t="s">
        <v>216</v>
      </c>
      <c r="X84" s="8" t="s">
        <v>98</v>
      </c>
      <c r="Y84" s="34">
        <f>IF(X84='Listas suspensas'!$A$21,'Listas suspensas'!$B$23,IF(X84='Listas suspensas'!$A$22,'Listas suspensas'!$B$23,IF(X84='Listas suspensas'!$A$23,'Listas suspensas'!$B$22,IF(X84='Listas suspensas'!$A$26,'Listas suspensas'!$B$22,IF(X84='Listas suspensas'!$A$32,'Listas suspensas'!$B$22,IF(X84='Listas suspensas'!$A$33,'Listas suspensas'!$B$21,IF(X84='Listas suspensas'!$A$24,'Listas suspensas'!$B$22,IF(X84='Listas suspensas'!$A$30,'Listas suspensas'!$B$21,""))))))))</f>
        <v>9.6</v>
      </c>
      <c r="Z84" s="8" t="s">
        <v>80</v>
      </c>
      <c r="AA84" s="8">
        <v>4</v>
      </c>
      <c r="AB84" s="8" t="str">
        <f>IF(AA84='Listas suspensas'!$A$2,'Listas suspensas'!$B$2,IF(AA84='Listas suspensas'!$A$3,'Listas suspensas'!$B$3,IF(AA84='Listas suspensas'!$A$4,'Listas suspensas'!$B$4,IF(AA84='Listas suspensas'!$A$5,'Listas suspensas'!$B$5,IF(AA84='Listas suspensas'!$A$6,'Listas suspensas'!$B$6,"")))))</f>
        <v>Parcial e irregular</v>
      </c>
      <c r="AC84" s="8" t="str">
        <f>IF(AA84='Listas suspensas'!$A$2,'Listas suspensas'!$C$2,IF(AA84='Listas suspensas'!$A$3,'Listas suspensas'!$C$3,IF(AA84='Listas suspensas'!$A$4,'Listas suspensas'!$C$4,IF(AA84='Listas suspensas'!$A$5,'Listas suspensas'!$C$5,IF(AA84='Listas suspensas'!$A$6,'Listas suspensas'!$C$6,"")))))</f>
        <v>Indica a penetração desuniforme e não total pela extensão do alburno.</v>
      </c>
      <c r="AK84" s="8">
        <v>11.59</v>
      </c>
      <c r="AL84" s="8">
        <v>11.74</v>
      </c>
      <c r="AM84" s="8">
        <v>11.54</v>
      </c>
      <c r="AN84" s="8">
        <v>11.62</v>
      </c>
      <c r="AO84" s="8">
        <v>11.59</v>
      </c>
      <c r="AP84" s="8">
        <f t="shared" si="22"/>
        <v>1.1616</v>
      </c>
      <c r="AQ84" s="8">
        <v>15.07</v>
      </c>
      <c r="AR84" s="8">
        <v>12.52</v>
      </c>
      <c r="AS84" s="8">
        <v>13.76</v>
      </c>
      <c r="AT84" s="8">
        <v>12.91</v>
      </c>
      <c r="AU84" s="8">
        <v>11.13</v>
      </c>
      <c r="AV84" s="8">
        <f t="shared" si="23"/>
        <v>1.3077999999999999</v>
      </c>
      <c r="AW84" s="20">
        <v>1.0457000000000001</v>
      </c>
      <c r="AX84" s="20">
        <v>0.93240000000000001</v>
      </c>
      <c r="AY84" s="20">
        <v>0.99809999999999999</v>
      </c>
      <c r="AZ84" s="20">
        <v>0.93240000000000001</v>
      </c>
      <c r="BA84" s="20">
        <v>0.83699999999999997</v>
      </c>
      <c r="BB84" s="20">
        <f t="shared" si="24"/>
        <v>0.94911999999999996</v>
      </c>
      <c r="BC84" s="20">
        <f t="shared" si="25"/>
        <v>1.3859399740329681</v>
      </c>
      <c r="BE84" s="18">
        <f t="shared" si="26"/>
        <v>684.82042352681481</v>
      </c>
      <c r="BF84" s="8">
        <v>0.31</v>
      </c>
      <c r="BG84" s="8">
        <v>0.156</v>
      </c>
      <c r="BH84" s="8">
        <v>0.27300000000000002</v>
      </c>
      <c r="BI84" s="13">
        <f t="shared" si="27"/>
        <v>0.73899999999999999</v>
      </c>
      <c r="BJ84" s="14">
        <v>42</v>
      </c>
      <c r="BK84" s="14">
        <v>21.1</v>
      </c>
      <c r="BL84" s="14">
        <v>36.9</v>
      </c>
      <c r="BM84" s="16">
        <f t="shared" si="28"/>
        <v>100</v>
      </c>
      <c r="BN84" s="21">
        <f t="shared" si="29"/>
        <v>2.12</v>
      </c>
      <c r="BO84" s="21">
        <f t="shared" si="30"/>
        <v>1.07</v>
      </c>
      <c r="BP84" s="21">
        <f t="shared" si="31"/>
        <v>1.87</v>
      </c>
      <c r="BQ84" s="14">
        <f t="shared" si="32"/>
        <v>5.0599999999999996</v>
      </c>
      <c r="BR84" s="22" t="str">
        <f>IF(OR(AND(X84="Mourões", BQ84&gt;=6.5),AND(X84="Postes", BQ84&gt;=9.6),AND(X84="Dormentes", BQ84&gt;=9.6),AND(X84="Estacas", BQ84&gt;=6.5),AND(X84="Cruzetas", BQ84&gt;=6.5),AND(X84="Outros - Solo", BQ84&gt;=6.5),AND(X84="Outros - Suspenso",BQ84&gt;=4),AND(X84="Deck",BQ84&gt;=4)),'Listas suspensas'!$C$21,'Listas suspensas'!$C$22)</f>
        <v>Os resultados da análise química apresentaram uma retenção do produto inferior ao padrão mínimo exigido pela norma ABNT NBR 16143</v>
      </c>
    </row>
    <row r="85" spans="2:70" x14ac:dyDescent="0.25">
      <c r="B85" s="8" t="s">
        <v>294</v>
      </c>
      <c r="C85" s="8" t="s">
        <v>71</v>
      </c>
      <c r="F85" s="11">
        <v>45643</v>
      </c>
      <c r="G85" s="11">
        <v>45643</v>
      </c>
      <c r="H85" s="11">
        <v>45645</v>
      </c>
      <c r="I85" s="8" t="s">
        <v>212</v>
      </c>
      <c r="J85" s="8" t="s">
        <v>213</v>
      </c>
      <c r="K85" s="8" t="s">
        <v>74</v>
      </c>
      <c r="L85" s="8" t="s">
        <v>15</v>
      </c>
      <c r="M85" s="30" t="s">
        <v>214</v>
      </c>
      <c r="N85" s="8" t="s">
        <v>75</v>
      </c>
      <c r="O85" s="8" t="s">
        <v>76</v>
      </c>
      <c r="P85" s="28" t="s">
        <v>215</v>
      </c>
      <c r="Q85" s="16" t="s">
        <v>295</v>
      </c>
      <c r="X85" s="8" t="s">
        <v>98</v>
      </c>
      <c r="Y85" s="34">
        <f>IF(X85='Listas suspensas'!$A$21,'Listas suspensas'!$B$23,IF(X85='Listas suspensas'!$A$22,'Listas suspensas'!$B$23,IF(X85='Listas suspensas'!$A$23,'Listas suspensas'!$B$22,IF(X85='Listas suspensas'!$A$26,'Listas suspensas'!$B$22,IF(X85='Listas suspensas'!$A$32,'Listas suspensas'!$B$22,IF(X85='Listas suspensas'!$A$33,'Listas suspensas'!$B$21,IF(X85='Listas suspensas'!$A$24,'Listas suspensas'!$B$22,IF(X85='Listas suspensas'!$A$30,'Listas suspensas'!$B$21,""))))))))</f>
        <v>9.6</v>
      </c>
      <c r="Z85" s="8" t="s">
        <v>80</v>
      </c>
      <c r="AA85" s="8">
        <v>4</v>
      </c>
      <c r="AB85" s="8" t="str">
        <f>IF(AA85='Listas suspensas'!$A$2,'Listas suspensas'!$B$2,IF(AA85='Listas suspensas'!$A$3,'Listas suspensas'!$B$3,IF(AA85='Listas suspensas'!$A$4,'Listas suspensas'!$B$4,IF(AA85='Listas suspensas'!$A$5,'Listas suspensas'!$B$5,IF(AA85='Listas suspensas'!$A$6,'Listas suspensas'!$B$6,"")))))</f>
        <v>Parcial e irregular</v>
      </c>
      <c r="AC85" s="8" t="str">
        <f>IF(AA85='Listas suspensas'!$A$2,'Listas suspensas'!$C$2,IF(AA85='Listas suspensas'!$A$3,'Listas suspensas'!$C$3,IF(AA85='Listas suspensas'!$A$4,'Listas suspensas'!$C$4,IF(AA85='Listas suspensas'!$A$5,'Listas suspensas'!$C$5,IF(AA85='Listas suspensas'!$A$6,'Listas suspensas'!$C$6,"")))))</f>
        <v>Indica a penetração desuniforme e não total pela extensão do alburno.</v>
      </c>
      <c r="AK85" s="8">
        <v>11.5</v>
      </c>
      <c r="AL85" s="8">
        <v>11.53</v>
      </c>
      <c r="AM85" s="8">
        <v>11.64</v>
      </c>
      <c r="AN85" s="8">
        <v>11.56</v>
      </c>
      <c r="AO85" s="8">
        <v>11.49</v>
      </c>
      <c r="AP85" s="8">
        <f t="shared" si="22"/>
        <v>1.1544000000000001</v>
      </c>
      <c r="AQ85" s="8">
        <v>12.01</v>
      </c>
      <c r="AR85" s="8">
        <v>11.63</v>
      </c>
      <c r="AS85" s="8">
        <v>12.42</v>
      </c>
      <c r="AT85" s="8">
        <v>10.58</v>
      </c>
      <c r="AU85" s="8">
        <v>9.64</v>
      </c>
      <c r="AV85" s="8">
        <f t="shared" si="23"/>
        <v>1.1255999999999999</v>
      </c>
      <c r="AW85" s="20">
        <v>1.0871999999999999</v>
      </c>
      <c r="AX85" s="20">
        <v>1.0687</v>
      </c>
      <c r="AY85" s="20">
        <v>1.1258999999999999</v>
      </c>
      <c r="AZ85" s="20">
        <v>0.86309999999999998</v>
      </c>
      <c r="BA85" s="20">
        <v>0.86970000000000003</v>
      </c>
      <c r="BB85" s="20">
        <f t="shared" si="24"/>
        <v>1.00292</v>
      </c>
      <c r="BC85" s="20">
        <f t="shared" si="25"/>
        <v>1.178112060545534</v>
      </c>
      <c r="BE85" s="18">
        <f t="shared" si="26"/>
        <v>851.29423047888179</v>
      </c>
      <c r="BF85" s="8">
        <v>0.17699999999999999</v>
      </c>
      <c r="BG85" s="8">
        <v>9.9000000000000005E-2</v>
      </c>
      <c r="BH85" s="8">
        <v>0.17799999999999999</v>
      </c>
      <c r="BI85" s="13">
        <f t="shared" si="27"/>
        <v>0.45400000000000001</v>
      </c>
      <c r="BJ85" s="14">
        <v>38.9</v>
      </c>
      <c r="BK85" s="14">
        <v>21.7</v>
      </c>
      <c r="BL85" s="14">
        <v>39.4</v>
      </c>
      <c r="BM85" s="16">
        <f t="shared" si="28"/>
        <v>100</v>
      </c>
      <c r="BN85" s="21">
        <f t="shared" si="29"/>
        <v>1.51</v>
      </c>
      <c r="BO85" s="21">
        <f t="shared" si="30"/>
        <v>0.84</v>
      </c>
      <c r="BP85" s="21">
        <f t="shared" si="31"/>
        <v>1.52</v>
      </c>
      <c r="BQ85" s="14">
        <f t="shared" si="32"/>
        <v>3.87</v>
      </c>
      <c r="BR85" s="22" t="str">
        <f>IF(OR(AND(X85="Mourões", BQ85&gt;=6.5),AND(X85="Postes", BQ85&gt;=9.6),AND(X85="Dormentes", BQ85&gt;=9.6),AND(X85="Estacas", BQ85&gt;=6.5),AND(X85="Cruzetas", BQ85&gt;=6.5),AND(X85="Outros - Solo", BQ85&gt;=6.5),AND(X85="Outros - Suspenso",BQ85&gt;=4),AND(X85="Deck",BQ85&gt;=4)),'Listas suspensas'!$C$21,'Listas suspensas'!$C$22)</f>
        <v>Os resultados da análise química apresentaram uma retenção do produto inferior ao padrão mínimo exigido pela norma ABNT NBR 16143</v>
      </c>
    </row>
    <row r="86" spans="2:70" x14ac:dyDescent="0.25">
      <c r="B86" s="8" t="s">
        <v>296</v>
      </c>
      <c r="C86" s="8" t="s">
        <v>71</v>
      </c>
      <c r="D86" s="8" t="s">
        <v>89</v>
      </c>
      <c r="F86" s="11">
        <v>45645</v>
      </c>
      <c r="G86" s="11">
        <v>45645</v>
      </c>
      <c r="H86" s="11">
        <v>45645</v>
      </c>
      <c r="I86" s="8" t="s">
        <v>90</v>
      </c>
      <c r="J86" s="8" t="s">
        <v>91</v>
      </c>
      <c r="K86" s="8" t="s">
        <v>92</v>
      </c>
      <c r="L86" s="8" t="s">
        <v>15</v>
      </c>
      <c r="M86" s="30" t="s">
        <v>93</v>
      </c>
      <c r="N86" s="8" t="s">
        <v>75</v>
      </c>
      <c r="O86" s="8" t="s">
        <v>94</v>
      </c>
      <c r="P86" s="28" t="s">
        <v>77</v>
      </c>
      <c r="Q86" s="16" t="s">
        <v>297</v>
      </c>
      <c r="X86" s="8" t="s">
        <v>79</v>
      </c>
      <c r="Y86" s="34">
        <f>IF(X86='Listas suspensas'!$A$21,'Listas suspensas'!$B$23,IF(X86='Listas suspensas'!$A$22,'Listas suspensas'!$B$23,IF(X86='Listas suspensas'!$A$23,'Listas suspensas'!$B$22,IF(X86='Listas suspensas'!$A$26,'Listas suspensas'!$B$22,IF(X86='Listas suspensas'!$A$32,'Listas suspensas'!$B$22,IF(X86='Listas suspensas'!$A$33,'Listas suspensas'!$B$21,IF(X86='Listas suspensas'!$A$24,'Listas suspensas'!$B$22,IF(X86='Listas suspensas'!$A$30,'Listas suspensas'!$B$21,""))))))))</f>
        <v>6.5</v>
      </c>
      <c r="Z86" s="8" t="s">
        <v>80</v>
      </c>
      <c r="AA86" s="8">
        <v>3</v>
      </c>
      <c r="AB86" s="8" t="str">
        <f>IF(AA86='Listas suspensas'!$A$2,'Listas suspensas'!$B$2,IF(AA86='Listas suspensas'!$A$3,'Listas suspensas'!$B$3,IF(AA86='Listas suspensas'!$A$4,'Listas suspensas'!$B$4,IF(AA86='Listas suspensas'!$A$5,'Listas suspensas'!$B$5,IF(AA86='Listas suspensas'!$A$6,'Listas suspensas'!$B$6,"")))))</f>
        <v xml:space="preserve"> Parcial e regular</v>
      </c>
      <c r="AC86" s="8" t="str">
        <f>IF(AA86='Listas suspensas'!$A$2,'Listas suspensas'!$C$2,IF(AA86='Listas suspensas'!$A$3,'Listas suspensas'!$C$3,IF(AA86='Listas suspensas'!$A$4,'Listas suspensas'!$C$4,IF(AA86='Listas suspensas'!$A$5,'Listas suspensas'!$C$5,IF(AA86='Listas suspensas'!$A$6,'Listas suspensas'!$C$6,"")))))</f>
        <v>Indica a penetração uniforme, mas não total pela extensão do alburno.</v>
      </c>
      <c r="AK86" s="8">
        <v>11.93</v>
      </c>
      <c r="AL86" s="8">
        <v>11.67</v>
      </c>
      <c r="AM86" s="8">
        <v>11.76</v>
      </c>
      <c r="AN86" s="8">
        <v>11.43</v>
      </c>
      <c r="AO86" s="8">
        <v>11.8</v>
      </c>
      <c r="AP86" s="8">
        <f t="shared" si="22"/>
        <v>1.1718</v>
      </c>
      <c r="AQ86" s="8">
        <v>16.149999999999999</v>
      </c>
      <c r="AR86" s="8">
        <v>14.82</v>
      </c>
      <c r="AS86" s="8">
        <v>16.010000000000002</v>
      </c>
      <c r="AT86" s="8">
        <v>16.71</v>
      </c>
      <c r="AU86" s="8">
        <v>17.02</v>
      </c>
      <c r="AV86" s="8">
        <f t="shared" si="23"/>
        <v>1.6142000000000003</v>
      </c>
      <c r="AW86" s="20">
        <v>1.7857000000000001</v>
      </c>
      <c r="AX86" s="20">
        <v>1.6431</v>
      </c>
      <c r="AY86" s="20">
        <v>1.7974000000000001</v>
      </c>
      <c r="AZ86" s="20">
        <v>1.8341000000000001</v>
      </c>
      <c r="BA86" s="20">
        <v>1.883</v>
      </c>
      <c r="BB86" s="20">
        <f t="shared" si="24"/>
        <v>1.7886600000000001</v>
      </c>
      <c r="BC86" s="20">
        <f t="shared" si="25"/>
        <v>1.7408213792708072</v>
      </c>
      <c r="BE86" s="18">
        <f t="shared" si="26"/>
        <v>1027.4804878311131</v>
      </c>
      <c r="BF86" s="8">
        <v>0.224</v>
      </c>
      <c r="BG86" s="8">
        <v>0.129</v>
      </c>
      <c r="BH86" s="8">
        <v>0.27200000000000002</v>
      </c>
      <c r="BI86" s="13">
        <f t="shared" si="27"/>
        <v>0.625</v>
      </c>
      <c r="BJ86" s="14">
        <v>35.799999999999997</v>
      </c>
      <c r="BK86" s="14">
        <v>20.7</v>
      </c>
      <c r="BL86" s="14">
        <v>43.5</v>
      </c>
      <c r="BM86" s="16">
        <f t="shared" si="28"/>
        <v>100</v>
      </c>
      <c r="BN86" s="21">
        <f t="shared" si="29"/>
        <v>2.2999999999999998</v>
      </c>
      <c r="BO86" s="21">
        <f t="shared" si="30"/>
        <v>1.33</v>
      </c>
      <c r="BP86" s="21">
        <f t="shared" si="31"/>
        <v>2.79</v>
      </c>
      <c r="BQ86" s="14">
        <f t="shared" si="32"/>
        <v>6.42</v>
      </c>
      <c r="BR86" s="22" t="str">
        <f>IF(OR(AND(X86="Mourões", BQ86&gt;=6.5),AND(X86="Postes", BQ86&gt;=9.6),AND(X86="Dormentes", BQ86&gt;=9.6),AND(X86="Estacas", BQ86&gt;=6.5),AND(X86="Cruzetas", BQ86&gt;=6.5),AND(X86="Outros - Solo", BQ86&gt;=6.5),AND(X86="Outros - Suspenso",BQ86&gt;=4),AND(X86="Deck",BQ86&gt;=4)),'Listas suspensas'!$C$21,'Listas suspensas'!$C$22)</f>
        <v>Os resultados da análise química apresentaram uma retenção do produto inferior ao padrão mínimo exigido pela norma ABNT NBR 16143</v>
      </c>
    </row>
    <row r="87" spans="2:70" x14ac:dyDescent="0.25">
      <c r="B87" s="8" t="s">
        <v>298</v>
      </c>
      <c r="C87" s="8" t="s">
        <v>71</v>
      </c>
      <c r="F87" s="11">
        <v>45670</v>
      </c>
      <c r="G87" s="11">
        <v>45311</v>
      </c>
      <c r="H87" s="11">
        <v>45315</v>
      </c>
      <c r="I87" s="8" t="s">
        <v>72</v>
      </c>
      <c r="J87" s="8" t="s">
        <v>73</v>
      </c>
      <c r="K87" s="8" t="s">
        <v>74</v>
      </c>
      <c r="L87" s="8" t="s">
        <v>15</v>
      </c>
      <c r="M87" s="30" t="s">
        <v>159</v>
      </c>
      <c r="N87" s="8" t="s">
        <v>75</v>
      </c>
      <c r="O87" s="8" t="s">
        <v>76</v>
      </c>
      <c r="P87" s="28" t="s">
        <v>77</v>
      </c>
      <c r="Q87" s="16" t="s">
        <v>299</v>
      </c>
      <c r="X87" s="8" t="s">
        <v>79</v>
      </c>
      <c r="Y87" s="34">
        <f>IF(X87='Listas suspensas'!$A$21,'Listas suspensas'!$B$23,IF(X87='Listas suspensas'!$A$22,'Listas suspensas'!$B$23,IF(X87='Listas suspensas'!$A$23,'Listas suspensas'!$B$22,IF(X87='Listas suspensas'!$A$26,'Listas suspensas'!$B$22,IF(X87='Listas suspensas'!$A$32,'Listas suspensas'!$B$22,IF(X87='Listas suspensas'!$A$33,'Listas suspensas'!$B$21,IF(X87='Listas suspensas'!$A$24,'Listas suspensas'!$B$22,IF(X87='Listas suspensas'!$A$30,'Listas suspensas'!$B$21,""))))))))</f>
        <v>6.5</v>
      </c>
      <c r="Z87" s="8" t="s">
        <v>80</v>
      </c>
      <c r="AA87" s="8">
        <v>2</v>
      </c>
      <c r="AB87" s="8" t="str">
        <f>IF(AA87='Listas suspensas'!$A$2,'Listas suspensas'!$B$2,IF(AA87='Listas suspensas'!$A$3,'Listas suspensas'!$B$3,IF(AA87='Listas suspensas'!$A$4,'Listas suspensas'!$B$4,IF(AA87='Listas suspensas'!$A$5,'Listas suspensas'!$B$5,IF(AA87='Listas suspensas'!$A$6,'Listas suspensas'!$B$6,"")))))</f>
        <v>Profunda e irregular</v>
      </c>
      <c r="AC87" s="8" t="str">
        <f>IF(AA87='Listas suspensas'!$A$2,'Listas suspensas'!$C$2,IF(AA87='Listas suspensas'!$A$3,'Listas suspensas'!$C$3,IF(AA87='Listas suspensas'!$A$4,'Listas suspensas'!$C$4,IF(AA87='Listas suspensas'!$A$5,'Listas suspensas'!$C$5,IF(AA87='Listas suspensas'!$A$6,'Listas suspensas'!$C$6,"")))))</f>
        <v>Indica a penetração profunda, mas desuniforme em toda a extensão do alburno.</v>
      </c>
      <c r="AK87" s="8">
        <v>11.59</v>
      </c>
      <c r="AL87" s="8">
        <v>11.66</v>
      </c>
      <c r="AM87" s="8">
        <v>11.57</v>
      </c>
      <c r="AN87" s="8">
        <v>11.54</v>
      </c>
      <c r="AO87" s="8">
        <v>11.64</v>
      </c>
      <c r="AP87" s="8">
        <f t="shared" si="22"/>
        <v>1.1599999999999999</v>
      </c>
      <c r="AQ87" s="8">
        <v>16.62</v>
      </c>
      <c r="AR87" s="8">
        <v>14.58</v>
      </c>
      <c r="AS87" s="8">
        <v>15.32</v>
      </c>
      <c r="AT87" s="8">
        <v>15.28</v>
      </c>
      <c r="AU87" s="8">
        <v>17.600000000000001</v>
      </c>
      <c r="AV87" s="8">
        <f t="shared" si="23"/>
        <v>1.5880000000000001</v>
      </c>
      <c r="AW87" s="20">
        <v>1.3596999999999999</v>
      </c>
      <c r="AX87" s="20">
        <v>1.1640999999999999</v>
      </c>
      <c r="AY87" s="20">
        <v>1.1921999999999999</v>
      </c>
      <c r="AZ87" s="20">
        <v>1.2395</v>
      </c>
      <c r="BA87" s="20">
        <v>1.4057999999999999</v>
      </c>
      <c r="BB87" s="20">
        <f t="shared" si="24"/>
        <v>1.2722599999999997</v>
      </c>
      <c r="BC87" s="20">
        <f t="shared" si="25"/>
        <v>1.6782488486441589</v>
      </c>
      <c r="BE87" s="18">
        <f t="shared" si="26"/>
        <v>758.08781339420932</v>
      </c>
      <c r="BF87" s="8">
        <v>0.52800000000000002</v>
      </c>
      <c r="BG87" s="8">
        <v>0.27</v>
      </c>
      <c r="BH87" s="8">
        <v>0.54500000000000004</v>
      </c>
      <c r="BI87" s="13">
        <f t="shared" si="27"/>
        <v>1.343</v>
      </c>
      <c r="BJ87" s="14">
        <v>39.299999999999997</v>
      </c>
      <c r="BK87" s="14">
        <v>20.100000000000001</v>
      </c>
      <c r="BL87" s="14">
        <v>40.6</v>
      </c>
      <c r="BM87" s="16">
        <f t="shared" si="28"/>
        <v>100</v>
      </c>
      <c r="BN87" s="21">
        <f t="shared" si="29"/>
        <v>4</v>
      </c>
      <c r="BO87" s="21">
        <f t="shared" si="30"/>
        <v>2.0499999999999998</v>
      </c>
      <c r="BP87" s="21">
        <f t="shared" si="31"/>
        <v>4.13</v>
      </c>
      <c r="BQ87" s="14">
        <f t="shared" si="32"/>
        <v>10.18</v>
      </c>
      <c r="BR87" s="22" t="str">
        <f>IF(OR(AND(X87="Mourões", BQ87&gt;=6.5),AND(X87="Postes", BQ87&gt;=9.6),AND(X87="Dormentes", BQ87&gt;=9.6),AND(X87="Estacas", BQ87&gt;=6.5),AND(X87="Cruzetas", BQ87&gt;=6.5),AND(X87="Outros - Solo", BQ87&gt;=6.5),AND(X87="Outros - Suspenso",BQ87&gt;=4),AND(X87="Deck",BQ87&gt;=4)),'Listas suspensas'!$C$21,'Listas suspensas'!$C$22)</f>
        <v>Os resultados da análise química apresentaram uma retenção do produto de acordo com o padrão mínimo exigido pela norma ABNT NBR 16143</v>
      </c>
    </row>
    <row r="88" spans="2:70" x14ac:dyDescent="0.25">
      <c r="B88" s="8" t="s">
        <v>300</v>
      </c>
      <c r="C88" s="8" t="s">
        <v>71</v>
      </c>
      <c r="F88" s="11">
        <v>45670</v>
      </c>
      <c r="G88" s="11">
        <v>45311</v>
      </c>
      <c r="H88" s="11">
        <v>45315</v>
      </c>
      <c r="I88" s="8" t="s">
        <v>72</v>
      </c>
      <c r="J88" s="8" t="s">
        <v>73</v>
      </c>
      <c r="K88" s="8" t="s">
        <v>74</v>
      </c>
      <c r="L88" s="8" t="s">
        <v>15</v>
      </c>
      <c r="M88" s="30" t="s">
        <v>159</v>
      </c>
      <c r="N88" s="8" t="s">
        <v>75</v>
      </c>
      <c r="O88" s="8" t="s">
        <v>76</v>
      </c>
      <c r="P88" s="28" t="s">
        <v>77</v>
      </c>
      <c r="Q88" s="16" t="s">
        <v>301</v>
      </c>
      <c r="X88" s="8" t="s">
        <v>79</v>
      </c>
      <c r="Y88" s="34">
        <f>IF(X88='Listas suspensas'!$A$21,'Listas suspensas'!$B$23,IF(X88='Listas suspensas'!$A$22,'Listas suspensas'!$B$23,IF(X88='Listas suspensas'!$A$23,'Listas suspensas'!$B$22,IF(X88='Listas suspensas'!$A$26,'Listas suspensas'!$B$22,IF(X88='Listas suspensas'!$A$32,'Listas suspensas'!$B$22,IF(X88='Listas suspensas'!$A$33,'Listas suspensas'!$B$21,IF(X88='Listas suspensas'!$A$24,'Listas suspensas'!$B$22,IF(X88='Listas suspensas'!$A$30,'Listas suspensas'!$B$21,""))))))))</f>
        <v>6.5</v>
      </c>
      <c r="Z88" s="8" t="s">
        <v>80</v>
      </c>
      <c r="AA88" s="8">
        <v>3</v>
      </c>
      <c r="AB88" s="8" t="str">
        <f>IF(AA88='Listas suspensas'!$A$2,'Listas suspensas'!$B$2,IF(AA88='Listas suspensas'!$A$3,'Listas suspensas'!$B$3,IF(AA88='Listas suspensas'!$A$4,'Listas suspensas'!$B$4,IF(AA88='Listas suspensas'!$A$5,'Listas suspensas'!$B$5,IF(AA88='Listas suspensas'!$A$6,'Listas suspensas'!$B$6,"")))))</f>
        <v xml:space="preserve"> Parcial e regular</v>
      </c>
      <c r="AC88" s="8" t="str">
        <f>IF(AA88='Listas suspensas'!$A$2,'Listas suspensas'!$C$2,IF(AA88='Listas suspensas'!$A$3,'Listas suspensas'!$C$3,IF(AA88='Listas suspensas'!$A$4,'Listas suspensas'!$C$4,IF(AA88='Listas suspensas'!$A$5,'Listas suspensas'!$C$5,IF(AA88='Listas suspensas'!$A$6,'Listas suspensas'!$C$6,"")))))</f>
        <v>Indica a penetração uniforme, mas não total pela extensão do alburno.</v>
      </c>
      <c r="AK88" s="8">
        <v>11.53</v>
      </c>
      <c r="AL88" s="8">
        <v>11.58</v>
      </c>
      <c r="AM88" s="8">
        <v>11.52</v>
      </c>
      <c r="AN88" s="8">
        <v>11.52</v>
      </c>
      <c r="AO88" s="8">
        <v>11.52</v>
      </c>
      <c r="AP88" s="8">
        <f t="shared" si="22"/>
        <v>1.1533999999999998</v>
      </c>
      <c r="AQ88" s="8">
        <v>6.23</v>
      </c>
      <c r="AR88" s="8">
        <v>7.35</v>
      </c>
      <c r="AS88" s="8">
        <v>7.26</v>
      </c>
      <c r="AT88" s="8">
        <v>7.55</v>
      </c>
      <c r="AU88" s="8">
        <v>7.34</v>
      </c>
      <c r="AV88" s="8">
        <f t="shared" si="23"/>
        <v>0.71460000000000012</v>
      </c>
      <c r="AW88" s="20">
        <v>0.62419999999999998</v>
      </c>
      <c r="AX88" s="20">
        <v>0.63790000000000002</v>
      </c>
      <c r="AY88" s="20">
        <v>0.65769999999999995</v>
      </c>
      <c r="AZ88" s="20">
        <v>0.77529999999999999</v>
      </c>
      <c r="BA88" s="20">
        <v>0.66790000000000005</v>
      </c>
      <c r="BB88" s="20">
        <f t="shared" si="24"/>
        <v>0.67259999999999998</v>
      </c>
      <c r="BC88" s="20">
        <f t="shared" si="25"/>
        <v>0.74664263822699484</v>
      </c>
      <c r="BE88" s="18">
        <f t="shared" si="26"/>
        <v>900.83256107256443</v>
      </c>
      <c r="BF88" s="8">
        <v>0.39300000000000002</v>
      </c>
      <c r="BG88" s="8">
        <v>0.158</v>
      </c>
      <c r="BH88" s="8">
        <v>0.36899999999999999</v>
      </c>
      <c r="BI88" s="13">
        <f t="shared" si="27"/>
        <v>0.92</v>
      </c>
      <c r="BJ88" s="14">
        <v>42.7</v>
      </c>
      <c r="BK88" s="14">
        <v>17.100000000000001</v>
      </c>
      <c r="BL88" s="14">
        <v>40.200000000000003</v>
      </c>
      <c r="BM88" s="16">
        <f t="shared" si="28"/>
        <v>100</v>
      </c>
      <c r="BN88" s="21">
        <f t="shared" si="29"/>
        <v>3.54</v>
      </c>
      <c r="BO88" s="21">
        <f t="shared" si="30"/>
        <v>1.42</v>
      </c>
      <c r="BP88" s="21">
        <f t="shared" si="31"/>
        <v>3.32</v>
      </c>
      <c r="BQ88" s="14">
        <f t="shared" si="32"/>
        <v>8.2799999999999994</v>
      </c>
      <c r="BR88" s="22" t="str">
        <f>IF(OR(AND(X88="Mourões", BQ88&gt;=6.5),AND(X88="Postes", BQ88&gt;=9.6),AND(X88="Dormentes", BQ88&gt;=9.6),AND(X88="Estacas", BQ88&gt;=6.5),AND(X88="Cruzetas", BQ88&gt;=6.5),AND(X88="Outros - Solo", BQ88&gt;=6.5),AND(X88="Outros - Suspenso",BQ88&gt;=4),AND(X88="Deck",BQ88&gt;=4)),'Listas suspensas'!$C$21,'Listas suspensas'!$C$22)</f>
        <v>Os resultados da análise química apresentaram uma retenção do produto de acordo com o padrão mínimo exigido pela norma ABNT NBR 16143</v>
      </c>
    </row>
    <row r="89" spans="2:70" x14ac:dyDescent="0.25">
      <c r="B89" s="8" t="s">
        <v>302</v>
      </c>
      <c r="C89" s="8" t="s">
        <v>71</v>
      </c>
      <c r="F89" s="11">
        <v>45670</v>
      </c>
      <c r="G89" s="11">
        <v>45311</v>
      </c>
      <c r="H89" s="11">
        <v>45315</v>
      </c>
      <c r="I89" s="8" t="s">
        <v>72</v>
      </c>
      <c r="J89" s="8" t="s">
        <v>73</v>
      </c>
      <c r="K89" s="8" t="s">
        <v>74</v>
      </c>
      <c r="L89" s="8" t="s">
        <v>15</v>
      </c>
      <c r="M89" s="30" t="s">
        <v>159</v>
      </c>
      <c r="N89" s="8" t="s">
        <v>75</v>
      </c>
      <c r="O89" s="8" t="s">
        <v>76</v>
      </c>
      <c r="P89" s="28" t="s">
        <v>77</v>
      </c>
      <c r="Q89" s="16" t="s">
        <v>303</v>
      </c>
      <c r="X89" s="8" t="s">
        <v>79</v>
      </c>
      <c r="Y89" s="34">
        <f>IF(X89='Listas suspensas'!$A$21,'Listas suspensas'!$B$23,IF(X89='Listas suspensas'!$A$22,'Listas suspensas'!$B$23,IF(X89='Listas suspensas'!$A$23,'Listas suspensas'!$B$22,IF(X89='Listas suspensas'!$A$26,'Listas suspensas'!$B$22,IF(X89='Listas suspensas'!$A$32,'Listas suspensas'!$B$22,IF(X89='Listas suspensas'!$A$33,'Listas suspensas'!$B$21,IF(X89='Listas suspensas'!$A$24,'Listas suspensas'!$B$22,IF(X89='Listas suspensas'!$A$30,'Listas suspensas'!$B$21,""))))))))</f>
        <v>6.5</v>
      </c>
      <c r="Z89" s="8" t="s">
        <v>80</v>
      </c>
      <c r="AA89" s="8">
        <v>2</v>
      </c>
      <c r="AB89" s="8" t="str">
        <f>IF(AA89='Listas suspensas'!$A$2,'Listas suspensas'!$B$2,IF(AA89='Listas suspensas'!$A$3,'Listas suspensas'!$B$3,IF(AA89='Listas suspensas'!$A$4,'Listas suspensas'!$B$4,IF(AA89='Listas suspensas'!$A$5,'Listas suspensas'!$B$5,IF(AA89='Listas suspensas'!$A$6,'Listas suspensas'!$B$6,"")))))</f>
        <v>Profunda e irregular</v>
      </c>
      <c r="AC89" s="8" t="str">
        <f>IF(AA89='Listas suspensas'!$A$2,'Listas suspensas'!$C$2,IF(AA89='Listas suspensas'!$A$3,'Listas suspensas'!$C$3,IF(AA89='Listas suspensas'!$A$4,'Listas suspensas'!$C$4,IF(AA89='Listas suspensas'!$A$5,'Listas suspensas'!$C$5,IF(AA89='Listas suspensas'!$A$6,'Listas suspensas'!$C$6,"")))))</f>
        <v>Indica a penetração profunda, mas desuniforme em toda a extensão do alburno.</v>
      </c>
      <c r="AK89" s="8">
        <v>11.55</v>
      </c>
      <c r="AL89" s="8">
        <v>11.54</v>
      </c>
      <c r="AM89" s="8">
        <v>11.56</v>
      </c>
      <c r="AN89" s="8">
        <v>11.55</v>
      </c>
      <c r="AO89" s="8">
        <v>11.54</v>
      </c>
      <c r="AP89" s="8">
        <f t="shared" si="22"/>
        <v>1.1548</v>
      </c>
      <c r="AQ89" s="8">
        <v>12.44</v>
      </c>
      <c r="AR89" s="8">
        <v>12.73</v>
      </c>
      <c r="AS89" s="8">
        <v>12.66</v>
      </c>
      <c r="AT89" s="8">
        <v>11.05</v>
      </c>
      <c r="AU89" s="8">
        <v>11.23</v>
      </c>
      <c r="AV89" s="8">
        <f t="shared" si="23"/>
        <v>1.2021999999999999</v>
      </c>
      <c r="AW89" s="20">
        <v>0.95820000000000005</v>
      </c>
      <c r="AX89" s="20">
        <v>1.0017</v>
      </c>
      <c r="AY89" s="20">
        <v>0.96579999999999999</v>
      </c>
      <c r="AZ89" s="20">
        <v>0.86819999999999997</v>
      </c>
      <c r="BA89" s="20">
        <v>0.87309999999999999</v>
      </c>
      <c r="BB89" s="20">
        <f t="shared" si="24"/>
        <v>0.93340000000000001</v>
      </c>
      <c r="BC89" s="20">
        <f t="shared" si="25"/>
        <v>1.2591577863861207</v>
      </c>
      <c r="BE89" s="18">
        <f t="shared" si="26"/>
        <v>741.28914588133512</v>
      </c>
      <c r="BF89" s="8">
        <v>0.42899999999999999</v>
      </c>
      <c r="BG89" s="8">
        <v>0.19600000000000001</v>
      </c>
      <c r="BH89" s="8">
        <v>0.36499999999999999</v>
      </c>
      <c r="BI89" s="13">
        <f t="shared" si="27"/>
        <v>0.99</v>
      </c>
      <c r="BJ89" s="14">
        <v>43.3</v>
      </c>
      <c r="BK89" s="14">
        <v>19.8</v>
      </c>
      <c r="BL89" s="14">
        <v>36.9</v>
      </c>
      <c r="BM89" s="16">
        <f t="shared" si="28"/>
        <v>100</v>
      </c>
      <c r="BN89" s="21">
        <f t="shared" si="29"/>
        <v>3.18</v>
      </c>
      <c r="BO89" s="21">
        <f t="shared" si="30"/>
        <v>1.45</v>
      </c>
      <c r="BP89" s="21">
        <f t="shared" si="31"/>
        <v>2.71</v>
      </c>
      <c r="BQ89" s="14">
        <f t="shared" si="32"/>
        <v>7.34</v>
      </c>
      <c r="BR89" s="22" t="str">
        <f>IF(OR(AND(X89="Mourões", BQ89&gt;=6.5),AND(X89="Postes", BQ89&gt;=9.6),AND(X89="Dormentes", BQ89&gt;=9.6),AND(X89="Estacas", BQ89&gt;=6.5),AND(X89="Cruzetas", BQ89&gt;=6.5),AND(X89="Outros - Solo", BQ89&gt;=6.5),AND(X89="Outros - Suspenso",BQ89&gt;=4),AND(X89="Deck",BQ89&gt;=4)),'Listas suspensas'!$C$21,'Listas suspensas'!$C$22)</f>
        <v>Os resultados da análise química apresentaram uma retenção do produto de acordo com o padrão mínimo exigido pela norma ABNT NBR 16143</v>
      </c>
    </row>
    <row r="90" spans="2:70" x14ac:dyDescent="0.25">
      <c r="B90" s="8" t="s">
        <v>304</v>
      </c>
      <c r="C90" s="8" t="s">
        <v>71</v>
      </c>
      <c r="F90" s="11">
        <v>45670</v>
      </c>
      <c r="G90" s="11">
        <v>45311</v>
      </c>
      <c r="H90" s="11">
        <v>45315</v>
      </c>
      <c r="I90" s="8" t="s">
        <v>72</v>
      </c>
      <c r="J90" s="8" t="s">
        <v>73</v>
      </c>
      <c r="K90" s="8" t="s">
        <v>74</v>
      </c>
      <c r="L90" s="8" t="s">
        <v>15</v>
      </c>
      <c r="M90" s="30" t="s">
        <v>159</v>
      </c>
      <c r="N90" s="8" t="s">
        <v>75</v>
      </c>
      <c r="O90" s="8" t="s">
        <v>76</v>
      </c>
      <c r="P90" s="28" t="s">
        <v>77</v>
      </c>
      <c r="Q90" s="16" t="s">
        <v>305</v>
      </c>
      <c r="X90" s="8" t="s">
        <v>79</v>
      </c>
      <c r="Y90" s="34">
        <f>IF(X90='Listas suspensas'!$A$21,'Listas suspensas'!$B$23,IF(X90='Listas suspensas'!$A$22,'Listas suspensas'!$B$23,IF(X90='Listas suspensas'!$A$23,'Listas suspensas'!$B$22,IF(X90='Listas suspensas'!$A$26,'Listas suspensas'!$B$22,IF(X90='Listas suspensas'!$A$32,'Listas suspensas'!$B$22,IF(X90='Listas suspensas'!$A$33,'Listas suspensas'!$B$21,IF(X90='Listas suspensas'!$A$24,'Listas suspensas'!$B$22,IF(X90='Listas suspensas'!$A$30,'Listas suspensas'!$B$21,""))))))))</f>
        <v>6.5</v>
      </c>
      <c r="Z90" s="8" t="s">
        <v>80</v>
      </c>
      <c r="AA90" s="8">
        <v>3</v>
      </c>
      <c r="AB90" s="8" t="str">
        <f>IF(AA90='Listas suspensas'!$A$2,'Listas suspensas'!$B$2,IF(AA90='Listas suspensas'!$A$3,'Listas suspensas'!$B$3,IF(AA90='Listas suspensas'!$A$4,'Listas suspensas'!$B$4,IF(AA90='Listas suspensas'!$A$5,'Listas suspensas'!$B$5,IF(AA90='Listas suspensas'!$A$6,'Listas suspensas'!$B$6,"")))))</f>
        <v xml:space="preserve"> Parcial e regular</v>
      </c>
      <c r="AC90" s="8" t="str">
        <f>IF(AA90='Listas suspensas'!$A$2,'Listas suspensas'!$C$2,IF(AA90='Listas suspensas'!$A$3,'Listas suspensas'!$C$3,IF(AA90='Listas suspensas'!$A$4,'Listas suspensas'!$C$4,IF(AA90='Listas suspensas'!$A$5,'Listas suspensas'!$C$5,IF(AA90='Listas suspensas'!$A$6,'Listas suspensas'!$C$6,"")))))</f>
        <v>Indica a penetração uniforme, mas não total pela extensão do alburno.</v>
      </c>
      <c r="AK90" s="8">
        <v>11.67</v>
      </c>
      <c r="AL90" s="8">
        <v>11.57</v>
      </c>
      <c r="AM90" s="8">
        <v>11.56</v>
      </c>
      <c r="AN90" s="8">
        <v>11.69</v>
      </c>
      <c r="AO90" s="8">
        <v>11.58</v>
      </c>
      <c r="AP90" s="8">
        <f t="shared" si="22"/>
        <v>1.1614</v>
      </c>
      <c r="AQ90" s="8">
        <v>9.01</v>
      </c>
      <c r="AR90" s="8">
        <v>6.62</v>
      </c>
      <c r="AS90" s="8">
        <v>7.63</v>
      </c>
      <c r="AT90" s="8">
        <v>6.47</v>
      </c>
      <c r="AU90" s="8">
        <v>6.84</v>
      </c>
      <c r="AV90" s="8">
        <f t="shared" si="23"/>
        <v>0.73139999999999983</v>
      </c>
      <c r="AW90" s="20">
        <v>0.7752</v>
      </c>
      <c r="AX90" s="20">
        <v>0.53680000000000005</v>
      </c>
      <c r="AY90" s="20">
        <v>0.60219999999999996</v>
      </c>
      <c r="AZ90" s="20">
        <v>0.53680000000000005</v>
      </c>
      <c r="BA90" s="20">
        <v>0.54610000000000003</v>
      </c>
      <c r="BB90" s="20">
        <f t="shared" si="24"/>
        <v>0.59942000000000006</v>
      </c>
      <c r="BC90" s="20">
        <f t="shared" si="25"/>
        <v>0.77483366333018233</v>
      </c>
      <c r="BE90" s="18">
        <f t="shared" si="26"/>
        <v>773.61119988480334</v>
      </c>
      <c r="BF90" s="8">
        <v>0.54</v>
      </c>
      <c r="BG90" s="8">
        <v>0.24</v>
      </c>
      <c r="BH90" s="8">
        <v>0.47099999999999997</v>
      </c>
      <c r="BI90" s="13">
        <f t="shared" si="27"/>
        <v>1.2509999999999999</v>
      </c>
      <c r="BJ90" s="14">
        <v>43.2</v>
      </c>
      <c r="BK90" s="14">
        <v>19.2</v>
      </c>
      <c r="BL90" s="14">
        <v>37.6</v>
      </c>
      <c r="BM90" s="16">
        <f t="shared" si="28"/>
        <v>100</v>
      </c>
      <c r="BN90" s="21">
        <f t="shared" si="29"/>
        <v>4.18</v>
      </c>
      <c r="BO90" s="21">
        <f t="shared" si="30"/>
        <v>1.86</v>
      </c>
      <c r="BP90" s="21">
        <f t="shared" si="31"/>
        <v>3.64</v>
      </c>
      <c r="BQ90" s="14">
        <f t="shared" si="32"/>
        <v>9.68</v>
      </c>
      <c r="BR90" s="22" t="str">
        <f>IF(OR(AND(X90="Mourões", BQ90&gt;=6.5),AND(X90="Postes", BQ90&gt;=9.6),AND(X90="Dormentes", BQ90&gt;=9.6),AND(X90="Estacas", BQ90&gt;=6.5),AND(X90="Cruzetas", BQ90&gt;=6.5),AND(X90="Outros - Solo", BQ90&gt;=6.5),AND(X90="Outros - Suspenso",BQ90&gt;=4),AND(X90="Deck",BQ90&gt;=4)),'Listas suspensas'!$C$21,'Listas suspensas'!$C$22)</f>
        <v>Os resultados da análise química apresentaram uma retenção do produto de acordo com o padrão mínimo exigido pela norma ABNT NBR 16143</v>
      </c>
    </row>
    <row r="91" spans="2:70" x14ac:dyDescent="0.25">
      <c r="B91" s="8" t="s">
        <v>306</v>
      </c>
      <c r="C91" s="8" t="s">
        <v>71</v>
      </c>
      <c r="F91" s="11">
        <v>45670</v>
      </c>
      <c r="G91" s="11">
        <v>45311</v>
      </c>
      <c r="H91" s="11">
        <v>45315</v>
      </c>
      <c r="I91" s="8" t="s">
        <v>72</v>
      </c>
      <c r="J91" s="8" t="s">
        <v>73</v>
      </c>
      <c r="K91" s="8" t="s">
        <v>74</v>
      </c>
      <c r="L91" s="8" t="s">
        <v>15</v>
      </c>
      <c r="M91" s="30" t="s">
        <v>159</v>
      </c>
      <c r="N91" s="8" t="s">
        <v>75</v>
      </c>
      <c r="O91" s="8" t="s">
        <v>76</v>
      </c>
      <c r="P91" s="28" t="s">
        <v>77</v>
      </c>
      <c r="Q91" s="16" t="s">
        <v>307</v>
      </c>
      <c r="X91" s="8" t="s">
        <v>79</v>
      </c>
      <c r="Y91" s="34">
        <f>IF(X91='Listas suspensas'!$A$21,'Listas suspensas'!$B$23,IF(X91='Listas suspensas'!$A$22,'Listas suspensas'!$B$23,IF(X91='Listas suspensas'!$A$23,'Listas suspensas'!$B$22,IF(X91='Listas suspensas'!$A$26,'Listas suspensas'!$B$22,IF(X91='Listas suspensas'!$A$32,'Listas suspensas'!$B$22,IF(X91='Listas suspensas'!$A$33,'Listas suspensas'!$B$21,IF(X91='Listas suspensas'!$A$24,'Listas suspensas'!$B$22,IF(X91='Listas suspensas'!$A$30,'Listas suspensas'!$B$21,""))))))))</f>
        <v>6.5</v>
      </c>
      <c r="Z91" s="8" t="s">
        <v>80</v>
      </c>
      <c r="AA91" s="8">
        <v>2</v>
      </c>
      <c r="AB91" s="8" t="str">
        <f>IF(AA91='Listas suspensas'!$A$2,'Listas suspensas'!$B$2,IF(AA91='Listas suspensas'!$A$3,'Listas suspensas'!$B$3,IF(AA91='Listas suspensas'!$A$4,'Listas suspensas'!$B$4,IF(AA91='Listas suspensas'!$A$5,'Listas suspensas'!$B$5,IF(AA91='Listas suspensas'!$A$6,'Listas suspensas'!$B$6,"")))))</f>
        <v>Profunda e irregular</v>
      </c>
      <c r="AC91" s="8" t="str">
        <f>IF(AA91='Listas suspensas'!$A$2,'Listas suspensas'!$C$2,IF(AA91='Listas suspensas'!$A$3,'Listas suspensas'!$C$3,IF(AA91='Listas suspensas'!$A$4,'Listas suspensas'!$C$4,IF(AA91='Listas suspensas'!$A$5,'Listas suspensas'!$C$5,IF(AA91='Listas suspensas'!$A$6,'Listas suspensas'!$C$6,"")))))</f>
        <v>Indica a penetração profunda, mas desuniforme em toda a extensão do alburno.</v>
      </c>
      <c r="AK91" s="8">
        <v>11.56</v>
      </c>
      <c r="AL91" s="8">
        <v>11.64</v>
      </c>
      <c r="AM91" s="8">
        <v>11.58</v>
      </c>
      <c r="AN91" s="8">
        <v>11.52</v>
      </c>
      <c r="AO91" s="8">
        <v>11.54</v>
      </c>
      <c r="AP91" s="8">
        <f t="shared" si="22"/>
        <v>1.1568000000000001</v>
      </c>
      <c r="AQ91" s="8">
        <v>10.01</v>
      </c>
      <c r="AR91" s="8">
        <v>9.2100000000000009</v>
      </c>
      <c r="AS91" s="8">
        <v>9.59</v>
      </c>
      <c r="AT91" s="8">
        <v>10.44</v>
      </c>
      <c r="AU91" s="8">
        <v>10.64</v>
      </c>
      <c r="AV91" s="8">
        <f t="shared" si="23"/>
        <v>0.99780000000000002</v>
      </c>
      <c r="AW91" s="20">
        <v>0.9002</v>
      </c>
      <c r="AX91" s="20">
        <v>0.80940000000000001</v>
      </c>
      <c r="AY91" s="20">
        <v>0.81859999999999999</v>
      </c>
      <c r="AZ91" s="20">
        <v>0.85370000000000001</v>
      </c>
      <c r="BA91" s="20">
        <v>0.97960000000000003</v>
      </c>
      <c r="BB91" s="20">
        <f t="shared" si="24"/>
        <v>0.87229999999999985</v>
      </c>
      <c r="BC91" s="20">
        <f t="shared" si="25"/>
        <v>1.0486967953463417</v>
      </c>
      <c r="BE91" s="18">
        <f t="shared" si="26"/>
        <v>831.79428398264031</v>
      </c>
      <c r="BF91" s="8">
        <v>0.42899999999999999</v>
      </c>
      <c r="BG91" s="8">
        <v>0.218</v>
      </c>
      <c r="BH91" s="8">
        <v>0.41699999999999998</v>
      </c>
      <c r="BI91" s="13">
        <f t="shared" si="27"/>
        <v>1.0640000000000001</v>
      </c>
      <c r="BJ91" s="14">
        <v>40.299999999999997</v>
      </c>
      <c r="BK91" s="14">
        <v>20.5</v>
      </c>
      <c r="BL91" s="14">
        <v>39.200000000000003</v>
      </c>
      <c r="BM91" s="16">
        <f t="shared" si="28"/>
        <v>100</v>
      </c>
      <c r="BN91" s="21">
        <f t="shared" si="29"/>
        <v>3.57</v>
      </c>
      <c r="BO91" s="21">
        <f t="shared" si="30"/>
        <v>1.81</v>
      </c>
      <c r="BP91" s="21">
        <f t="shared" si="31"/>
        <v>3.47</v>
      </c>
      <c r="BQ91" s="14">
        <f t="shared" si="32"/>
        <v>8.85</v>
      </c>
      <c r="BR91" s="22" t="str">
        <f>IF(OR(AND(X91="Mourões", BQ91&gt;=6.5),AND(X91="Postes", BQ91&gt;=9.6),AND(X91="Dormentes", BQ91&gt;=9.6),AND(X91="Estacas", BQ91&gt;=6.5),AND(X91="Cruzetas", BQ91&gt;=6.5),AND(X91="Outros - Solo", BQ91&gt;=6.5),AND(X91="Outros - Suspenso",BQ91&gt;=4),AND(X91="Deck",BQ91&gt;=4)),'Listas suspensas'!$C$21,'Listas suspensas'!$C$22)</f>
        <v>Os resultados da análise química apresentaram uma retenção do produto de acordo com o padrão mínimo exigido pela norma ABNT NBR 16143</v>
      </c>
    </row>
    <row r="92" spans="2:70" x14ac:dyDescent="0.25">
      <c r="B92" s="8" t="s">
        <v>308</v>
      </c>
      <c r="C92" s="8" t="s">
        <v>71</v>
      </c>
      <c r="D92" s="8" t="s">
        <v>240</v>
      </c>
      <c r="F92" s="11">
        <v>45671</v>
      </c>
      <c r="G92" s="11">
        <v>45311</v>
      </c>
      <c r="H92" s="11">
        <v>45315</v>
      </c>
      <c r="I92" s="8" t="s">
        <v>241</v>
      </c>
      <c r="J92" s="8" t="s">
        <v>242</v>
      </c>
      <c r="K92" s="8" t="s">
        <v>243</v>
      </c>
      <c r="L92" s="8" t="s">
        <v>15</v>
      </c>
      <c r="N92" s="8" t="s">
        <v>75</v>
      </c>
      <c r="O92" s="8" t="s">
        <v>94</v>
      </c>
      <c r="P92" s="28" t="s">
        <v>77</v>
      </c>
      <c r="Q92" s="16" t="s">
        <v>309</v>
      </c>
      <c r="X92" s="8" t="s">
        <v>79</v>
      </c>
      <c r="Y92" s="34">
        <f>IF(X92='Listas suspensas'!$A$21,'Listas suspensas'!$B$23,IF(X92='Listas suspensas'!$A$22,'Listas suspensas'!$B$23,IF(X92='Listas suspensas'!$A$23,'Listas suspensas'!$B$22,IF(X92='Listas suspensas'!$A$26,'Listas suspensas'!$B$22,IF(X92='Listas suspensas'!$A$32,'Listas suspensas'!$B$22,IF(X92='Listas suspensas'!$A$33,'Listas suspensas'!$B$21,IF(X92='Listas suspensas'!$A$24,'Listas suspensas'!$B$22,IF(X92='Listas suspensas'!$A$30,'Listas suspensas'!$B$21,""))))))))</f>
        <v>6.5</v>
      </c>
      <c r="Z92" s="8" t="s">
        <v>80</v>
      </c>
      <c r="AA92" s="8">
        <v>2</v>
      </c>
      <c r="AB92" s="8" t="str">
        <f>IF(AA92='Listas suspensas'!$A$2,'Listas suspensas'!$B$2,IF(AA92='Listas suspensas'!$A$3,'Listas suspensas'!$B$3,IF(AA92='Listas suspensas'!$A$4,'Listas suspensas'!$B$4,IF(AA92='Listas suspensas'!$A$5,'Listas suspensas'!$B$5,IF(AA92='Listas suspensas'!$A$6,'Listas suspensas'!$B$6,"")))))</f>
        <v>Profunda e irregular</v>
      </c>
      <c r="AC92" s="8" t="str">
        <f>IF(AA92='Listas suspensas'!$A$2,'Listas suspensas'!$C$2,IF(AA92='Listas suspensas'!$A$3,'Listas suspensas'!$C$3,IF(AA92='Listas suspensas'!$A$4,'Listas suspensas'!$C$4,IF(AA92='Listas suspensas'!$A$5,'Listas suspensas'!$C$5,IF(AA92='Listas suspensas'!$A$6,'Listas suspensas'!$C$6,"")))))</f>
        <v>Indica a penetração profunda, mas desuniforme em toda a extensão do alburno.</v>
      </c>
      <c r="AK92" s="8">
        <v>11.98</v>
      </c>
      <c r="AL92" s="8">
        <v>11.96</v>
      </c>
      <c r="AM92" s="8">
        <v>11.98</v>
      </c>
      <c r="AN92" s="8">
        <v>11.93</v>
      </c>
      <c r="AO92" s="8">
        <v>11.73</v>
      </c>
      <c r="AP92" s="8">
        <f t="shared" si="22"/>
        <v>1.1916</v>
      </c>
      <c r="AQ92" s="8">
        <v>9.66</v>
      </c>
      <c r="AR92" s="8">
        <v>7.67</v>
      </c>
      <c r="AS92" s="8">
        <v>7.79</v>
      </c>
      <c r="AT92" s="8">
        <v>8.7899999999999991</v>
      </c>
      <c r="AU92" s="8">
        <v>8.75</v>
      </c>
      <c r="AV92" s="8">
        <f t="shared" si="23"/>
        <v>0.85319999999999996</v>
      </c>
      <c r="AW92" s="20">
        <v>0.81710000000000005</v>
      </c>
      <c r="AX92" s="20">
        <v>0.67059999999999997</v>
      </c>
      <c r="AY92" s="20">
        <v>0.68130000000000002</v>
      </c>
      <c r="AZ92" s="20">
        <v>0.7419</v>
      </c>
      <c r="BA92" s="20">
        <v>0.74560000000000004</v>
      </c>
      <c r="BB92" s="20">
        <f t="shared" si="24"/>
        <v>0.73129999999999995</v>
      </c>
      <c r="BC92" s="20">
        <f t="shared" si="25"/>
        <v>0.95148449857798623</v>
      </c>
      <c r="BE92" s="18">
        <f t="shared" si="26"/>
        <v>768.5884542448598</v>
      </c>
      <c r="BF92" s="8">
        <v>0.36199999999999999</v>
      </c>
      <c r="BG92" s="8">
        <v>0.17299999999999999</v>
      </c>
      <c r="BH92" s="8">
        <v>0.313</v>
      </c>
      <c r="BI92" s="13">
        <f t="shared" si="27"/>
        <v>0.84799999999999986</v>
      </c>
      <c r="BJ92" s="14">
        <v>42.7</v>
      </c>
      <c r="BK92" s="14">
        <v>20.399999999999999</v>
      </c>
      <c r="BL92" s="14">
        <v>36.9</v>
      </c>
      <c r="BM92" s="16">
        <f t="shared" si="28"/>
        <v>100</v>
      </c>
      <c r="BN92" s="21">
        <f t="shared" si="29"/>
        <v>2.78</v>
      </c>
      <c r="BO92" s="21">
        <f t="shared" si="30"/>
        <v>1.33</v>
      </c>
      <c r="BP92" s="21">
        <f t="shared" si="31"/>
        <v>2.41</v>
      </c>
      <c r="BQ92" s="14">
        <f t="shared" si="32"/>
        <v>6.52</v>
      </c>
      <c r="BR92" s="22" t="str">
        <f>IF(OR(AND(X92="Mourões", BQ92&gt;=6.5),AND(X92="Postes", BQ92&gt;=9.6),AND(X92="Dormentes", BQ92&gt;=9.6),AND(X92="Estacas", BQ92&gt;=6.5),AND(X92="Cruzetas", BQ92&gt;=6.5),AND(X92="Outros - Solo", BQ92&gt;=6.5),AND(X92="Outros - Suspenso",BQ92&gt;=4),AND(X92="Deck",BQ92&gt;=4)),'Listas suspensas'!$C$21,'Listas suspensas'!$C$22)</f>
        <v>Os resultados da análise química apresentaram uma retenção do produto de acordo com o padrão mínimo exigido pela norma ABNT NBR 16143</v>
      </c>
    </row>
    <row r="93" spans="2:70" x14ac:dyDescent="0.25">
      <c r="B93" s="8" t="s">
        <v>310</v>
      </c>
      <c r="C93" s="8" t="s">
        <v>71</v>
      </c>
      <c r="D93" s="8" t="s">
        <v>240</v>
      </c>
      <c r="F93" s="11">
        <v>45671</v>
      </c>
      <c r="G93" s="11">
        <v>45311</v>
      </c>
      <c r="H93" s="11">
        <v>45315</v>
      </c>
      <c r="I93" s="8" t="s">
        <v>241</v>
      </c>
      <c r="J93" s="8" t="s">
        <v>242</v>
      </c>
      <c r="K93" s="8" t="s">
        <v>243</v>
      </c>
      <c r="L93" s="8" t="s">
        <v>15</v>
      </c>
      <c r="N93" s="8" t="s">
        <v>75</v>
      </c>
      <c r="O93" s="8" t="s">
        <v>94</v>
      </c>
      <c r="P93" s="28" t="s">
        <v>77</v>
      </c>
      <c r="Q93" s="16" t="s">
        <v>311</v>
      </c>
      <c r="X93" s="8" t="s">
        <v>79</v>
      </c>
      <c r="Y93" s="34">
        <f>IF(X93='Listas suspensas'!$A$21,'Listas suspensas'!$B$23,IF(X93='Listas suspensas'!$A$22,'Listas suspensas'!$B$23,IF(X93='Listas suspensas'!$A$23,'Listas suspensas'!$B$22,IF(X93='Listas suspensas'!$A$26,'Listas suspensas'!$B$22,IF(X93='Listas suspensas'!$A$32,'Listas suspensas'!$B$22,IF(X93='Listas suspensas'!$A$33,'Listas suspensas'!$B$21,IF(X93='Listas suspensas'!$A$24,'Listas suspensas'!$B$22,IF(X93='Listas suspensas'!$A$30,'Listas suspensas'!$B$21,""))))))))</f>
        <v>6.5</v>
      </c>
      <c r="Z93" s="8" t="s">
        <v>80</v>
      </c>
      <c r="AA93" s="8">
        <v>2</v>
      </c>
      <c r="AB93" s="8" t="str">
        <f>IF(AA93='Listas suspensas'!$A$2,'Listas suspensas'!$B$2,IF(AA93='Listas suspensas'!$A$3,'Listas suspensas'!$B$3,IF(AA93='Listas suspensas'!$A$4,'Listas suspensas'!$B$4,IF(AA93='Listas suspensas'!$A$5,'Listas suspensas'!$B$5,IF(AA93='Listas suspensas'!$A$6,'Listas suspensas'!$B$6,"")))))</f>
        <v>Profunda e irregular</v>
      </c>
      <c r="AC93" s="8" t="str">
        <f>IF(AA93='Listas suspensas'!$A$2,'Listas suspensas'!$C$2,IF(AA93='Listas suspensas'!$A$3,'Listas suspensas'!$C$3,IF(AA93='Listas suspensas'!$A$4,'Listas suspensas'!$C$4,IF(AA93='Listas suspensas'!$A$5,'Listas suspensas'!$C$5,IF(AA93='Listas suspensas'!$A$6,'Listas suspensas'!$C$6,"")))))</f>
        <v>Indica a penetração profunda, mas desuniforme em toda a extensão do alburno.</v>
      </c>
      <c r="AK93" s="8">
        <v>11.97</v>
      </c>
      <c r="AL93" s="8">
        <v>11.94</v>
      </c>
      <c r="AM93" s="8">
        <v>11.96</v>
      </c>
      <c r="AN93" s="8">
        <v>11.96</v>
      </c>
      <c r="AO93" s="8">
        <v>11.96</v>
      </c>
      <c r="AP93" s="8">
        <f t="shared" si="22"/>
        <v>1.1958000000000002</v>
      </c>
      <c r="AQ93" s="8">
        <v>9.83</v>
      </c>
      <c r="AR93" s="8">
        <v>8.82</v>
      </c>
      <c r="AS93" s="8">
        <v>10.43</v>
      </c>
      <c r="AT93" s="8">
        <v>8.18</v>
      </c>
      <c r="AU93" s="8">
        <v>8.89</v>
      </c>
      <c r="AV93" s="8">
        <f t="shared" si="23"/>
        <v>0.92300000000000004</v>
      </c>
      <c r="AW93" s="20">
        <v>0.91830000000000001</v>
      </c>
      <c r="AX93" s="20">
        <v>0.81169999999999998</v>
      </c>
      <c r="AY93" s="20">
        <v>0.9466</v>
      </c>
      <c r="AZ93" s="20">
        <v>0.78139999999999998</v>
      </c>
      <c r="BA93" s="20">
        <v>0.81310000000000004</v>
      </c>
      <c r="BB93" s="20">
        <f t="shared" si="24"/>
        <v>0.85422000000000009</v>
      </c>
      <c r="BC93" s="20">
        <f t="shared" si="25"/>
        <v>1.0365939757192582</v>
      </c>
      <c r="BE93" s="18">
        <f t="shared" si="26"/>
        <v>824.0642141560636</v>
      </c>
      <c r="BF93" s="8">
        <v>0.312</v>
      </c>
      <c r="BG93" s="8">
        <v>0.16300000000000001</v>
      </c>
      <c r="BH93" s="8">
        <v>0.27900000000000003</v>
      </c>
      <c r="BI93" s="13">
        <f t="shared" si="27"/>
        <v>0.754</v>
      </c>
      <c r="BJ93" s="14">
        <v>41.4</v>
      </c>
      <c r="BK93" s="14">
        <v>21.6</v>
      </c>
      <c r="BL93" s="14">
        <v>37</v>
      </c>
      <c r="BM93" s="16">
        <f t="shared" si="28"/>
        <v>100</v>
      </c>
      <c r="BN93" s="21">
        <f t="shared" si="29"/>
        <v>2.57</v>
      </c>
      <c r="BO93" s="21">
        <f t="shared" si="30"/>
        <v>1.34</v>
      </c>
      <c r="BP93" s="21">
        <f t="shared" si="31"/>
        <v>2.2999999999999998</v>
      </c>
      <c r="BQ93" s="14">
        <f t="shared" si="32"/>
        <v>6.21</v>
      </c>
      <c r="BR93" s="22" t="str">
        <f>IF(OR(AND(X93="Mourões", BQ93&gt;=6.5),AND(X93="Postes", BQ93&gt;=9.6),AND(X93="Dormentes", BQ93&gt;=9.6),AND(X93="Estacas", BQ93&gt;=6.5),AND(X93="Cruzetas", BQ93&gt;=6.5),AND(X93="Outros - Solo", BQ93&gt;=6.5),AND(X93="Outros - Suspenso",BQ93&gt;=4),AND(X93="Deck",BQ93&gt;=4)),'Listas suspensas'!$C$21,'Listas suspensas'!$C$22)</f>
        <v>Os resultados da análise química apresentaram uma retenção do produto inferior ao padrão mínimo exigido pela norma ABNT NBR 16143</v>
      </c>
    </row>
    <row r="94" spans="2:70" x14ac:dyDescent="0.25">
      <c r="B94" s="8" t="s">
        <v>312</v>
      </c>
      <c r="C94" s="8" t="s">
        <v>71</v>
      </c>
      <c r="D94" s="8" t="s">
        <v>240</v>
      </c>
      <c r="F94" s="11">
        <v>45671</v>
      </c>
      <c r="G94" s="11">
        <v>45311</v>
      </c>
      <c r="H94" s="11">
        <v>45315</v>
      </c>
      <c r="I94" s="8" t="s">
        <v>241</v>
      </c>
      <c r="J94" s="8" t="s">
        <v>242</v>
      </c>
      <c r="K94" s="8" t="s">
        <v>243</v>
      </c>
      <c r="L94" s="8" t="s">
        <v>15</v>
      </c>
      <c r="N94" s="8" t="s">
        <v>75</v>
      </c>
      <c r="O94" s="8" t="s">
        <v>94</v>
      </c>
      <c r="P94" s="28" t="s">
        <v>77</v>
      </c>
      <c r="Q94" s="16" t="s">
        <v>313</v>
      </c>
      <c r="X94" s="8" t="s">
        <v>79</v>
      </c>
      <c r="Y94" s="34">
        <f>IF(X94='Listas suspensas'!$A$21,'Listas suspensas'!$B$23,IF(X94='Listas suspensas'!$A$22,'Listas suspensas'!$B$23,IF(X94='Listas suspensas'!$A$23,'Listas suspensas'!$B$22,IF(X94='Listas suspensas'!$A$26,'Listas suspensas'!$B$22,IF(X94='Listas suspensas'!$A$32,'Listas suspensas'!$B$22,IF(X94='Listas suspensas'!$A$33,'Listas suspensas'!$B$21,IF(X94='Listas suspensas'!$A$24,'Listas suspensas'!$B$22,IF(X94='Listas suspensas'!$A$30,'Listas suspensas'!$B$21,""))))))))</f>
        <v>6.5</v>
      </c>
      <c r="Z94" s="8" t="s">
        <v>80</v>
      </c>
      <c r="AA94" s="8">
        <v>1</v>
      </c>
      <c r="AB94" s="8" t="str">
        <f>IF(AA94='Listas suspensas'!$A$2,'Listas suspensas'!$B$2,IF(AA94='Listas suspensas'!$A$3,'Listas suspensas'!$B$3,IF(AA94='Listas suspensas'!$A$4,'Listas suspensas'!$B$4,IF(AA94='Listas suspensas'!$A$5,'Listas suspensas'!$B$5,IF(AA94='Listas suspensas'!$A$6,'Listas suspensas'!$B$6,"")))))</f>
        <v>Profunda e regular</v>
      </c>
      <c r="AC94" s="8" t="str">
        <f>IF(AA94='Listas suspensas'!$A$2,'Listas suspensas'!$C$2,IF(AA94='Listas suspensas'!$A$3,'Listas suspensas'!$C$3,IF(AA94='Listas suspensas'!$A$4,'Listas suspensas'!$C$4,IF(AA94='Listas suspensas'!$A$5,'Listas suspensas'!$C$5,IF(AA94='Listas suspensas'!$A$6,'Listas suspensas'!$C$6,"")))))</f>
        <v>Indica a penetração profunda e uniforme em toda a extensão do alburno.</v>
      </c>
      <c r="AK94" s="8">
        <v>11.91</v>
      </c>
      <c r="AL94" s="8">
        <v>11.93</v>
      </c>
      <c r="AM94" s="8">
        <v>11.87</v>
      </c>
      <c r="AN94" s="8">
        <v>11.95</v>
      </c>
      <c r="AO94" s="8">
        <v>11.92</v>
      </c>
      <c r="AP94" s="8">
        <f t="shared" si="22"/>
        <v>1.1916</v>
      </c>
      <c r="AQ94" s="8">
        <v>11.57</v>
      </c>
      <c r="AR94" s="8">
        <v>11.43</v>
      </c>
      <c r="AS94" s="8">
        <v>9.44</v>
      </c>
      <c r="AT94" s="8">
        <v>12.46</v>
      </c>
      <c r="AU94" s="8">
        <v>10.28</v>
      </c>
      <c r="AV94" s="8">
        <f t="shared" si="23"/>
        <v>1.1035999999999999</v>
      </c>
      <c r="AW94" s="20">
        <v>0.8861</v>
      </c>
      <c r="AX94" s="20">
        <v>0.87819999999999998</v>
      </c>
      <c r="AY94" s="20">
        <v>0.76890000000000003</v>
      </c>
      <c r="AZ94" s="20">
        <v>0.98170000000000002</v>
      </c>
      <c r="BA94" s="20">
        <v>0.79490000000000005</v>
      </c>
      <c r="BB94" s="20">
        <f t="shared" si="24"/>
        <v>0.86196000000000006</v>
      </c>
      <c r="BC94" s="20">
        <f t="shared" si="25"/>
        <v>1.2307293631395517</v>
      </c>
      <c r="BE94" s="18">
        <f t="shared" si="26"/>
        <v>700.36518654366648</v>
      </c>
      <c r="BF94" s="8">
        <v>0.30299999999999999</v>
      </c>
      <c r="BG94" s="8">
        <v>0.155</v>
      </c>
      <c r="BH94" s="8">
        <v>0.26600000000000001</v>
      </c>
      <c r="BI94" s="13">
        <f t="shared" si="27"/>
        <v>0.72399999999999998</v>
      </c>
      <c r="BJ94" s="14">
        <v>41.8</v>
      </c>
      <c r="BK94" s="14">
        <v>21.4</v>
      </c>
      <c r="BL94" s="14">
        <v>36.799999999999997</v>
      </c>
      <c r="BM94" s="16">
        <f t="shared" si="28"/>
        <v>100</v>
      </c>
      <c r="BN94" s="21">
        <f t="shared" si="29"/>
        <v>2.12</v>
      </c>
      <c r="BO94" s="21">
        <f t="shared" si="30"/>
        <v>1.0900000000000001</v>
      </c>
      <c r="BP94" s="21">
        <f t="shared" si="31"/>
        <v>1.86</v>
      </c>
      <c r="BQ94" s="14">
        <f t="shared" si="32"/>
        <v>5.07</v>
      </c>
      <c r="BR94" s="22" t="str">
        <f>IF(OR(AND(X94="Mourões", BQ94&gt;=6.5),AND(X94="Postes", BQ94&gt;=9.6),AND(X94="Dormentes", BQ94&gt;=9.6),AND(X94="Estacas", BQ94&gt;=6.5),AND(X94="Cruzetas", BQ94&gt;=6.5),AND(X94="Outros - Solo", BQ94&gt;=6.5),AND(X94="Outros - Suspenso",BQ94&gt;=4),AND(X94="Deck",BQ94&gt;=4)),'Listas suspensas'!$C$21,'Listas suspensas'!$C$22)</f>
        <v>Os resultados da análise química apresentaram uma retenção do produto inferior ao padrão mínimo exigido pela norma ABNT NBR 16143</v>
      </c>
    </row>
    <row r="95" spans="2:70" x14ac:dyDescent="0.25">
      <c r="B95" s="8" t="s">
        <v>314</v>
      </c>
      <c r="C95" s="8" t="s">
        <v>71</v>
      </c>
      <c r="D95" s="8" t="s">
        <v>240</v>
      </c>
      <c r="F95" s="11">
        <v>45671</v>
      </c>
      <c r="G95" s="11">
        <v>45311</v>
      </c>
      <c r="H95" s="11">
        <v>45315</v>
      </c>
      <c r="I95" s="8" t="s">
        <v>241</v>
      </c>
      <c r="J95" s="8" t="s">
        <v>242</v>
      </c>
      <c r="K95" s="8" t="s">
        <v>243</v>
      </c>
      <c r="L95" s="8" t="s">
        <v>15</v>
      </c>
      <c r="N95" s="8" t="s">
        <v>75</v>
      </c>
      <c r="O95" s="8" t="s">
        <v>94</v>
      </c>
      <c r="P95" s="28" t="s">
        <v>77</v>
      </c>
      <c r="Q95" s="16" t="s">
        <v>315</v>
      </c>
      <c r="X95" s="8" t="s">
        <v>79</v>
      </c>
      <c r="Y95" s="34">
        <f>IF(X95='Listas suspensas'!$A$21,'Listas suspensas'!$B$23,IF(X95='Listas suspensas'!$A$22,'Listas suspensas'!$B$23,IF(X95='Listas suspensas'!$A$23,'Listas suspensas'!$B$22,IF(X95='Listas suspensas'!$A$26,'Listas suspensas'!$B$22,IF(X95='Listas suspensas'!$A$32,'Listas suspensas'!$B$22,IF(X95='Listas suspensas'!$A$33,'Listas suspensas'!$B$21,IF(X95='Listas suspensas'!$A$24,'Listas suspensas'!$B$22,IF(X95='Listas suspensas'!$A$30,'Listas suspensas'!$B$21,""))))))))</f>
        <v>6.5</v>
      </c>
      <c r="Z95" s="8" t="s">
        <v>80</v>
      </c>
      <c r="AA95" s="8">
        <v>1</v>
      </c>
      <c r="AB95" s="8" t="str">
        <f>IF(AA95='Listas suspensas'!$A$2,'Listas suspensas'!$B$2,IF(AA95='Listas suspensas'!$A$3,'Listas suspensas'!$B$3,IF(AA95='Listas suspensas'!$A$4,'Listas suspensas'!$B$4,IF(AA95='Listas suspensas'!$A$5,'Listas suspensas'!$B$5,IF(AA95='Listas suspensas'!$A$6,'Listas suspensas'!$B$6,"")))))</f>
        <v>Profunda e regular</v>
      </c>
      <c r="AC95" s="8" t="str">
        <f>IF(AA95='Listas suspensas'!$A$2,'Listas suspensas'!$C$2,IF(AA95='Listas suspensas'!$A$3,'Listas suspensas'!$C$3,IF(AA95='Listas suspensas'!$A$4,'Listas suspensas'!$C$4,IF(AA95='Listas suspensas'!$A$5,'Listas suspensas'!$C$5,IF(AA95='Listas suspensas'!$A$6,'Listas suspensas'!$C$6,"")))))</f>
        <v>Indica a penetração profunda e uniforme em toda a extensão do alburno.</v>
      </c>
      <c r="AK95" s="8">
        <v>11.97</v>
      </c>
      <c r="AL95" s="8">
        <v>11.93</v>
      </c>
      <c r="AM95" s="8">
        <v>11.9</v>
      </c>
      <c r="AN95" s="8">
        <v>11.96</v>
      </c>
      <c r="AO95" s="8">
        <v>11.97</v>
      </c>
      <c r="AP95" s="8">
        <f t="shared" si="22"/>
        <v>1.1945999999999999</v>
      </c>
      <c r="AQ95" s="8">
        <v>11.81</v>
      </c>
      <c r="AR95" s="8">
        <v>12.52</v>
      </c>
      <c r="AS95" s="8">
        <v>12.22</v>
      </c>
      <c r="AT95" s="8">
        <v>11.97</v>
      </c>
      <c r="AU95" s="8">
        <v>11.13</v>
      </c>
      <c r="AV95" s="8">
        <f t="shared" si="23"/>
        <v>1.1930000000000001</v>
      </c>
      <c r="AW95" s="20">
        <v>0.88719999999999999</v>
      </c>
      <c r="AX95" s="20">
        <v>0.92159999999999997</v>
      </c>
      <c r="AY95" s="20">
        <v>0.93020000000000003</v>
      </c>
      <c r="AZ95" s="20">
        <v>0.90090000000000003</v>
      </c>
      <c r="BA95" s="20">
        <v>0.82530000000000003</v>
      </c>
      <c r="BB95" s="20">
        <f t="shared" si="24"/>
        <v>0.89304000000000006</v>
      </c>
      <c r="BC95" s="20">
        <f t="shared" si="25"/>
        <v>1.3371352742850309</v>
      </c>
      <c r="BE95" s="18">
        <f t="shared" si="26"/>
        <v>667.8755823546054</v>
      </c>
      <c r="BF95" s="8">
        <v>0.41299999999999998</v>
      </c>
      <c r="BG95" s="8">
        <v>0.19800000000000001</v>
      </c>
      <c r="BH95" s="8">
        <v>0.33</v>
      </c>
      <c r="BI95" s="13">
        <f t="shared" si="27"/>
        <v>0.94100000000000006</v>
      </c>
      <c r="BJ95" s="14">
        <v>43.9</v>
      </c>
      <c r="BK95" s="14">
        <v>21.1</v>
      </c>
      <c r="BL95" s="14">
        <v>35</v>
      </c>
      <c r="BM95" s="16">
        <f t="shared" si="28"/>
        <v>100</v>
      </c>
      <c r="BN95" s="21">
        <f t="shared" si="29"/>
        <v>2.76</v>
      </c>
      <c r="BO95" s="21">
        <f t="shared" si="30"/>
        <v>1.32</v>
      </c>
      <c r="BP95" s="21">
        <f t="shared" si="31"/>
        <v>2.2000000000000002</v>
      </c>
      <c r="BQ95" s="14">
        <f t="shared" si="32"/>
        <v>6.28</v>
      </c>
      <c r="BR95" s="22" t="str">
        <f>IF(OR(AND(X95="Mourões", BQ95&gt;=6.5),AND(X95="Postes", BQ95&gt;=9.6),AND(X95="Dormentes", BQ95&gt;=9.6),AND(X95="Estacas", BQ95&gt;=6.5),AND(X95="Cruzetas", BQ95&gt;=6.5),AND(X95="Outros - Solo", BQ95&gt;=6.5),AND(X95="Outros - Suspenso",BQ95&gt;=4),AND(X95="Deck",BQ95&gt;=4)),'Listas suspensas'!$C$21,'Listas suspensas'!$C$22)</f>
        <v>Os resultados da análise química apresentaram uma retenção do produto inferior ao padrão mínimo exigido pela norma ABNT NBR 16143</v>
      </c>
    </row>
    <row r="96" spans="2:70" x14ac:dyDescent="0.25">
      <c r="B96" s="8" t="s">
        <v>316</v>
      </c>
      <c r="C96" s="8" t="s">
        <v>71</v>
      </c>
      <c r="D96" s="8" t="s">
        <v>240</v>
      </c>
      <c r="F96" s="11">
        <v>45671</v>
      </c>
      <c r="G96" s="11">
        <v>45311</v>
      </c>
      <c r="H96" s="11">
        <v>45315</v>
      </c>
      <c r="I96" s="8" t="s">
        <v>241</v>
      </c>
      <c r="J96" s="8" t="s">
        <v>242</v>
      </c>
      <c r="K96" s="8" t="s">
        <v>243</v>
      </c>
      <c r="L96" s="8" t="s">
        <v>15</v>
      </c>
      <c r="N96" s="8" t="s">
        <v>75</v>
      </c>
      <c r="O96" s="8" t="s">
        <v>94</v>
      </c>
      <c r="P96" s="28" t="s">
        <v>77</v>
      </c>
      <c r="Q96" s="16" t="s">
        <v>317</v>
      </c>
      <c r="X96" s="8" t="s">
        <v>79</v>
      </c>
      <c r="Y96" s="34">
        <f>IF(X96='Listas suspensas'!$A$21,'Listas suspensas'!$B$23,IF(X96='Listas suspensas'!$A$22,'Listas suspensas'!$B$23,IF(X96='Listas suspensas'!$A$23,'Listas suspensas'!$B$22,IF(X96='Listas suspensas'!$A$26,'Listas suspensas'!$B$22,IF(X96='Listas suspensas'!$A$32,'Listas suspensas'!$B$22,IF(X96='Listas suspensas'!$A$33,'Listas suspensas'!$B$21,IF(X96='Listas suspensas'!$A$24,'Listas suspensas'!$B$22,IF(X96='Listas suspensas'!$A$30,'Listas suspensas'!$B$21,""))))))))</f>
        <v>6.5</v>
      </c>
      <c r="Z96" s="8" t="s">
        <v>80</v>
      </c>
      <c r="AA96" s="8">
        <v>2</v>
      </c>
      <c r="AB96" s="8" t="str">
        <f>IF(AA96='Listas suspensas'!$A$2,'Listas suspensas'!$B$2,IF(AA96='Listas suspensas'!$A$3,'Listas suspensas'!$B$3,IF(AA96='Listas suspensas'!$A$4,'Listas suspensas'!$B$4,IF(AA96='Listas suspensas'!$A$5,'Listas suspensas'!$B$5,IF(AA96='Listas suspensas'!$A$6,'Listas suspensas'!$B$6,"")))))</f>
        <v>Profunda e irregular</v>
      </c>
      <c r="AC96" s="8" t="str">
        <f>IF(AA96='Listas suspensas'!$A$2,'Listas suspensas'!$C$2,IF(AA96='Listas suspensas'!$A$3,'Listas suspensas'!$C$3,IF(AA96='Listas suspensas'!$A$4,'Listas suspensas'!$C$4,IF(AA96='Listas suspensas'!$A$5,'Listas suspensas'!$C$5,IF(AA96='Listas suspensas'!$A$6,'Listas suspensas'!$C$6,"")))))</f>
        <v>Indica a penetração profunda, mas desuniforme em toda a extensão do alburno.</v>
      </c>
      <c r="AK96" s="8">
        <v>11.98</v>
      </c>
      <c r="AL96" s="8">
        <v>11.94</v>
      </c>
      <c r="AM96" s="8">
        <v>11.96</v>
      </c>
      <c r="AN96" s="8">
        <v>11.98</v>
      </c>
      <c r="AO96" s="8">
        <v>11.97</v>
      </c>
      <c r="AP96" s="8">
        <f t="shared" si="22"/>
        <v>1.1965999999999999</v>
      </c>
      <c r="AQ96" s="8">
        <v>12.32</v>
      </c>
      <c r="AR96" s="8">
        <v>10.41</v>
      </c>
      <c r="AS96" s="8">
        <v>11.9</v>
      </c>
      <c r="AT96" s="8">
        <v>12.35</v>
      </c>
      <c r="AU96" s="8">
        <v>11.95</v>
      </c>
      <c r="AV96" s="8">
        <f t="shared" si="23"/>
        <v>1.1786000000000001</v>
      </c>
      <c r="AW96" s="20">
        <v>0.97070000000000001</v>
      </c>
      <c r="AX96" s="20">
        <v>0.8569</v>
      </c>
      <c r="AY96" s="20">
        <v>0.93479999999999996</v>
      </c>
      <c r="AZ96" s="20">
        <v>0.95840000000000003</v>
      </c>
      <c r="BA96" s="20">
        <v>0.92279999999999995</v>
      </c>
      <c r="BB96" s="20">
        <f t="shared" si="24"/>
        <v>0.92871999999999999</v>
      </c>
      <c r="BC96" s="20">
        <f t="shared" si="25"/>
        <v>1.3254224278488154</v>
      </c>
      <c r="BE96" s="18">
        <f t="shared" si="26"/>
        <v>700.69736295871303</v>
      </c>
      <c r="BF96" s="8">
        <v>0.35</v>
      </c>
      <c r="BG96" s="8">
        <v>0.18</v>
      </c>
      <c r="BH96" s="8">
        <v>0.29599999999999999</v>
      </c>
      <c r="BI96" s="13">
        <f t="shared" si="27"/>
        <v>0.82600000000000007</v>
      </c>
      <c r="BJ96" s="14">
        <v>42.4</v>
      </c>
      <c r="BK96" s="14">
        <v>21.8</v>
      </c>
      <c r="BL96" s="14">
        <v>35.799999999999997</v>
      </c>
      <c r="BM96" s="16">
        <f t="shared" si="28"/>
        <v>100</v>
      </c>
      <c r="BN96" s="21">
        <f t="shared" si="29"/>
        <v>2.4500000000000002</v>
      </c>
      <c r="BO96" s="21">
        <f t="shared" si="30"/>
        <v>1.26</v>
      </c>
      <c r="BP96" s="21">
        <f t="shared" si="31"/>
        <v>2.0699999999999998</v>
      </c>
      <c r="BQ96" s="14">
        <f t="shared" si="32"/>
        <v>5.78</v>
      </c>
      <c r="BR96" s="22" t="str">
        <f>IF(OR(AND(X96="Mourões", BQ96&gt;=6.5),AND(X96="Postes", BQ96&gt;=9.6),AND(X96="Dormentes", BQ96&gt;=9.6),AND(X96="Estacas", BQ96&gt;=6.5),AND(X96="Cruzetas", BQ96&gt;=6.5),AND(X96="Outros - Solo", BQ96&gt;=6.5),AND(X96="Outros - Suspenso",BQ96&gt;=4),AND(X96="Deck",BQ96&gt;=4)),'Listas suspensas'!$C$21,'Listas suspensas'!$C$22)</f>
        <v>Os resultados da análise química apresentaram uma retenção do produto inferior ao padrão mínimo exigido pela norma ABNT NBR 16143</v>
      </c>
    </row>
    <row r="97" spans="2:70" x14ac:dyDescent="0.25">
      <c r="B97" s="8" t="s">
        <v>318</v>
      </c>
      <c r="C97" s="8" t="s">
        <v>71</v>
      </c>
      <c r="D97" s="8" t="s">
        <v>240</v>
      </c>
      <c r="F97" s="11">
        <v>45671</v>
      </c>
      <c r="G97" s="11">
        <v>45311</v>
      </c>
      <c r="H97" s="11">
        <v>45315</v>
      </c>
      <c r="I97" s="8" t="s">
        <v>241</v>
      </c>
      <c r="J97" s="8" t="s">
        <v>242</v>
      </c>
      <c r="K97" s="8" t="s">
        <v>243</v>
      </c>
      <c r="L97" s="8" t="s">
        <v>15</v>
      </c>
      <c r="N97" s="8" t="s">
        <v>75</v>
      </c>
      <c r="O97" s="8" t="s">
        <v>94</v>
      </c>
      <c r="P97" s="28" t="s">
        <v>77</v>
      </c>
      <c r="Q97" s="16" t="s">
        <v>319</v>
      </c>
      <c r="X97" s="8" t="s">
        <v>79</v>
      </c>
      <c r="Y97" s="34">
        <f>IF(X97='Listas suspensas'!$A$21,'Listas suspensas'!$B$23,IF(X97='Listas suspensas'!$A$22,'Listas suspensas'!$B$23,IF(X97='Listas suspensas'!$A$23,'Listas suspensas'!$B$22,IF(X97='Listas suspensas'!$A$26,'Listas suspensas'!$B$22,IF(X97='Listas suspensas'!$A$32,'Listas suspensas'!$B$22,IF(X97='Listas suspensas'!$A$33,'Listas suspensas'!$B$21,IF(X97='Listas suspensas'!$A$24,'Listas suspensas'!$B$22,IF(X97='Listas suspensas'!$A$30,'Listas suspensas'!$B$21,""))))))))</f>
        <v>6.5</v>
      </c>
      <c r="Z97" s="8" t="s">
        <v>80</v>
      </c>
      <c r="AA97" s="8">
        <v>2</v>
      </c>
      <c r="AB97" s="8" t="str">
        <f>IF(AA97='Listas suspensas'!$A$2,'Listas suspensas'!$B$2,IF(AA97='Listas suspensas'!$A$3,'Listas suspensas'!$B$3,IF(AA97='Listas suspensas'!$A$4,'Listas suspensas'!$B$4,IF(AA97='Listas suspensas'!$A$5,'Listas suspensas'!$B$5,IF(AA97='Listas suspensas'!$A$6,'Listas suspensas'!$B$6,"")))))</f>
        <v>Profunda e irregular</v>
      </c>
      <c r="AC97" s="8" t="str">
        <f>IF(AA97='Listas suspensas'!$A$2,'Listas suspensas'!$C$2,IF(AA97='Listas suspensas'!$A$3,'Listas suspensas'!$C$3,IF(AA97='Listas suspensas'!$A$4,'Listas suspensas'!$C$4,IF(AA97='Listas suspensas'!$A$5,'Listas suspensas'!$C$5,IF(AA97='Listas suspensas'!$A$6,'Listas suspensas'!$C$6,"")))))</f>
        <v>Indica a penetração profunda, mas desuniforme em toda a extensão do alburno.</v>
      </c>
      <c r="AK97" s="8">
        <v>11.94</v>
      </c>
      <c r="AL97" s="8">
        <v>11.93</v>
      </c>
      <c r="AM97" s="8">
        <v>11.86</v>
      </c>
      <c r="AN97" s="8">
        <v>11.9</v>
      </c>
      <c r="AO97" s="8">
        <v>11.95</v>
      </c>
      <c r="AP97" s="8">
        <f t="shared" si="22"/>
        <v>1.1916</v>
      </c>
      <c r="AQ97" s="8">
        <v>12.91</v>
      </c>
      <c r="AR97" s="8">
        <v>12.98</v>
      </c>
      <c r="AS97" s="8">
        <v>12.34</v>
      </c>
      <c r="AT97" s="8">
        <v>12.09</v>
      </c>
      <c r="AU97" s="8">
        <v>10.97</v>
      </c>
      <c r="AV97" s="8">
        <f t="shared" si="23"/>
        <v>1.2258</v>
      </c>
      <c r="AW97" s="20">
        <v>1.3431</v>
      </c>
      <c r="AX97" s="20">
        <v>1.2798</v>
      </c>
      <c r="AY97" s="20">
        <v>1.2743</v>
      </c>
      <c r="AZ97" s="20">
        <v>1.2343</v>
      </c>
      <c r="BA97" s="20">
        <v>1.1146</v>
      </c>
      <c r="BB97" s="20">
        <f t="shared" si="24"/>
        <v>1.24922</v>
      </c>
      <c r="BC97" s="20">
        <f t="shared" si="25"/>
        <v>1.3670062099822968</v>
      </c>
      <c r="BE97" s="18">
        <f t="shared" si="26"/>
        <v>913.8363753418339</v>
      </c>
      <c r="BF97" s="8">
        <v>0.23699999999999999</v>
      </c>
      <c r="BG97" s="8">
        <v>0.113</v>
      </c>
      <c r="BH97" s="8">
        <v>0.193</v>
      </c>
      <c r="BI97" s="13">
        <f t="shared" si="27"/>
        <v>0.54299999999999993</v>
      </c>
      <c r="BJ97" s="14">
        <v>43.6</v>
      </c>
      <c r="BK97" s="14">
        <v>20.8</v>
      </c>
      <c r="BL97" s="14">
        <v>35.6</v>
      </c>
      <c r="BM97" s="16">
        <f t="shared" si="28"/>
        <v>100</v>
      </c>
      <c r="BN97" s="21">
        <f t="shared" si="29"/>
        <v>2.17</v>
      </c>
      <c r="BO97" s="21">
        <f t="shared" si="30"/>
        <v>1.03</v>
      </c>
      <c r="BP97" s="21">
        <f t="shared" si="31"/>
        <v>1.76</v>
      </c>
      <c r="BQ97" s="14">
        <f t="shared" si="32"/>
        <v>4.96</v>
      </c>
      <c r="BR97" s="22" t="str">
        <f>IF(OR(AND(X97="Mourões", BQ97&gt;=6.5),AND(X97="Postes", BQ97&gt;=9.6),AND(X97="Dormentes", BQ97&gt;=9.6),AND(X97="Estacas", BQ97&gt;=6.5),AND(X97="Cruzetas", BQ97&gt;=6.5),AND(X97="Outros - Solo", BQ97&gt;=6.5),AND(X97="Outros - Suspenso",BQ97&gt;=4),AND(X97="Deck",BQ97&gt;=4)),'Listas suspensas'!$C$21,'Listas suspensas'!$C$22)</f>
        <v>Os resultados da análise química apresentaram uma retenção do produto inferior ao padrão mínimo exigido pela norma ABNT NBR 16143</v>
      </c>
    </row>
    <row r="98" spans="2:70" x14ac:dyDescent="0.25">
      <c r="B98" s="8" t="s">
        <v>320</v>
      </c>
      <c r="C98" s="8" t="s">
        <v>71</v>
      </c>
      <c r="D98" s="8" t="s">
        <v>186</v>
      </c>
      <c r="F98" s="11">
        <v>45671</v>
      </c>
      <c r="G98" s="11">
        <v>45311</v>
      </c>
      <c r="H98" s="11">
        <v>45315</v>
      </c>
      <c r="I98" s="8" t="s">
        <v>187</v>
      </c>
      <c r="J98" s="8" t="s">
        <v>188</v>
      </c>
      <c r="K98" s="8" t="s">
        <v>189</v>
      </c>
      <c r="L98" s="8" t="s">
        <v>15</v>
      </c>
      <c r="M98" s="30" t="s">
        <v>190</v>
      </c>
      <c r="N98" s="8" t="s">
        <v>75</v>
      </c>
      <c r="O98" s="8" t="s">
        <v>94</v>
      </c>
      <c r="P98" s="28" t="s">
        <v>77</v>
      </c>
      <c r="Q98" s="16" t="s">
        <v>321</v>
      </c>
      <c r="X98" s="8" t="s">
        <v>79</v>
      </c>
      <c r="Y98" s="34">
        <f>IF(X98='Listas suspensas'!$A$21,'Listas suspensas'!$B$23,IF(X98='Listas suspensas'!$A$22,'Listas suspensas'!$B$23,IF(X98='Listas suspensas'!$A$23,'Listas suspensas'!$B$22,IF(X98='Listas suspensas'!$A$26,'Listas suspensas'!$B$22,IF(X98='Listas suspensas'!$A$32,'Listas suspensas'!$B$22,IF(X98='Listas suspensas'!$A$33,'Listas suspensas'!$B$21,IF(X98='Listas suspensas'!$A$24,'Listas suspensas'!$B$22,IF(X98='Listas suspensas'!$A$30,'Listas suspensas'!$B$21,""))))))))</f>
        <v>6.5</v>
      </c>
      <c r="Z98" s="8" t="s">
        <v>80</v>
      </c>
      <c r="AA98" s="8">
        <v>2</v>
      </c>
      <c r="AB98" s="8" t="str">
        <f>IF(AA98='Listas suspensas'!$A$2,'Listas suspensas'!$B$2,IF(AA98='Listas suspensas'!$A$3,'Listas suspensas'!$B$3,IF(AA98='Listas suspensas'!$A$4,'Listas suspensas'!$B$4,IF(AA98='Listas suspensas'!$A$5,'Listas suspensas'!$B$5,IF(AA98='Listas suspensas'!$A$6,'Listas suspensas'!$B$6,"")))))</f>
        <v>Profunda e irregular</v>
      </c>
      <c r="AC98" s="8" t="str">
        <f>IF(AA98='Listas suspensas'!$A$2,'Listas suspensas'!$C$2,IF(AA98='Listas suspensas'!$A$3,'Listas suspensas'!$C$3,IF(AA98='Listas suspensas'!$A$4,'Listas suspensas'!$C$4,IF(AA98='Listas suspensas'!$A$5,'Listas suspensas'!$C$5,IF(AA98='Listas suspensas'!$A$6,'Listas suspensas'!$C$6,"")))))</f>
        <v>Indica a penetração profunda, mas desuniforme em toda a extensão do alburno.</v>
      </c>
      <c r="AK98" s="8">
        <v>11.97</v>
      </c>
      <c r="AL98" s="8">
        <v>11.95</v>
      </c>
      <c r="AM98" s="8">
        <v>11.96</v>
      </c>
      <c r="AN98" s="8">
        <v>11.89</v>
      </c>
      <c r="AO98" s="8">
        <v>11.93</v>
      </c>
      <c r="AP98" s="8">
        <f t="shared" si="22"/>
        <v>1.1940000000000002</v>
      </c>
      <c r="AQ98" s="8">
        <v>17.05</v>
      </c>
      <c r="AR98" s="8">
        <v>18.73</v>
      </c>
      <c r="AS98" s="8">
        <v>18.809999999999999</v>
      </c>
      <c r="AT98" s="8">
        <v>17.88</v>
      </c>
      <c r="AU98" s="8">
        <v>19.649999999999999</v>
      </c>
      <c r="AV98" s="8">
        <f t="shared" si="23"/>
        <v>1.8424</v>
      </c>
      <c r="AW98" s="20">
        <v>1.7258</v>
      </c>
      <c r="AX98" s="20">
        <v>1.9134</v>
      </c>
      <c r="AY98" s="20">
        <v>1.9669000000000001</v>
      </c>
      <c r="AZ98" s="20">
        <v>1.8531</v>
      </c>
      <c r="BA98" s="20">
        <v>2.0714000000000001</v>
      </c>
      <c r="BB98" s="20">
        <f t="shared" si="24"/>
        <v>1.90612</v>
      </c>
      <c r="BC98" s="20">
        <f t="shared" ref="BC98:BC129" si="33">PI()*(AP98/2)^2*AV98</f>
        <v>2.0629203493254202</v>
      </c>
      <c r="BE98" s="18">
        <f t="shared" ref="BE98:BE119" si="34">(BB98/BC98)*1000</f>
        <v>923.99107925970372</v>
      </c>
      <c r="BF98" s="8">
        <v>0.24299999999999999</v>
      </c>
      <c r="BG98" s="8">
        <v>0.13500000000000001</v>
      </c>
      <c r="BH98" s="8">
        <v>0.28399999999999997</v>
      </c>
      <c r="BI98" s="13">
        <f t="shared" si="27"/>
        <v>0.66199999999999992</v>
      </c>
      <c r="BJ98" s="14">
        <v>36.700000000000003</v>
      </c>
      <c r="BK98" s="14">
        <v>20.399999999999999</v>
      </c>
      <c r="BL98" s="14">
        <v>42.9</v>
      </c>
      <c r="BM98" s="16">
        <f t="shared" si="28"/>
        <v>100</v>
      </c>
      <c r="BN98" s="21">
        <f t="shared" si="29"/>
        <v>2.25</v>
      </c>
      <c r="BO98" s="21">
        <f t="shared" si="30"/>
        <v>1.25</v>
      </c>
      <c r="BP98" s="21">
        <f t="shared" si="31"/>
        <v>2.62</v>
      </c>
      <c r="BQ98" s="14">
        <f t="shared" si="32"/>
        <v>6.12</v>
      </c>
      <c r="BR98" s="22" t="str">
        <f>IF(OR(AND(X98="Mourões", BQ98&gt;=6.5),AND(X98="Postes", BQ98&gt;=9.6),AND(X98="Dormentes", BQ98&gt;=9.6),AND(X98="Estacas", BQ98&gt;=6.5),AND(X98="Cruzetas", BQ98&gt;=6.5),AND(X98="Outros - Solo", BQ98&gt;=6.5),AND(X98="Outros - Suspenso",BQ98&gt;=4),AND(X98="Deck",BQ98&gt;=4)),'Listas suspensas'!$C$21,'Listas suspensas'!$C$22)</f>
        <v>Os resultados da análise química apresentaram uma retenção do produto inferior ao padrão mínimo exigido pela norma ABNT NBR 16143</v>
      </c>
    </row>
    <row r="99" spans="2:70" x14ac:dyDescent="0.25">
      <c r="B99" s="8" t="s">
        <v>322</v>
      </c>
      <c r="C99" s="8" t="s">
        <v>71</v>
      </c>
      <c r="F99" s="11">
        <v>45678</v>
      </c>
      <c r="G99" s="11">
        <v>45313</v>
      </c>
      <c r="H99" s="11">
        <v>45315</v>
      </c>
      <c r="I99" s="8" t="s">
        <v>187</v>
      </c>
      <c r="J99" s="8" t="s">
        <v>323</v>
      </c>
      <c r="K99" s="8" t="s">
        <v>109</v>
      </c>
      <c r="L99" s="8" t="s">
        <v>15</v>
      </c>
      <c r="M99" s="30" t="s">
        <v>324</v>
      </c>
      <c r="N99" s="8" t="s">
        <v>75</v>
      </c>
      <c r="O99" s="8" t="s">
        <v>94</v>
      </c>
      <c r="P99" s="28" t="s">
        <v>146</v>
      </c>
      <c r="Q99" s="16" t="s">
        <v>325</v>
      </c>
      <c r="X99" s="8" t="s">
        <v>98</v>
      </c>
      <c r="Y99" s="34">
        <f>IF(X99='Listas suspensas'!$A$21,'Listas suspensas'!$B$23,IF(X99='Listas suspensas'!$A$22,'Listas suspensas'!$B$23,IF(X99='Listas suspensas'!$A$23,'Listas suspensas'!$B$22,IF(X99='Listas suspensas'!$A$26,'Listas suspensas'!$B$22,IF(X99='Listas suspensas'!$A$32,'Listas suspensas'!$B$22,IF(X99='Listas suspensas'!$A$33,'Listas suspensas'!$B$21,IF(X99='Listas suspensas'!$A$24,'Listas suspensas'!$B$22,IF(X99='Listas suspensas'!$A$30,'Listas suspensas'!$B$21,""))))))))</f>
        <v>9.6</v>
      </c>
      <c r="Z99" s="8" t="s">
        <v>80</v>
      </c>
      <c r="AA99" s="8">
        <v>3</v>
      </c>
      <c r="AB99" s="8" t="str">
        <f>IF(AA99='Listas suspensas'!$A$2,'Listas suspensas'!$B$2,IF(AA99='Listas suspensas'!$A$3,'Listas suspensas'!$B$3,IF(AA99='Listas suspensas'!$A$4,'Listas suspensas'!$B$4,IF(AA99='Listas suspensas'!$A$5,'Listas suspensas'!$B$5,IF(AA99='Listas suspensas'!$A$6,'Listas suspensas'!$B$6,"")))))</f>
        <v xml:space="preserve"> Parcial e regular</v>
      </c>
      <c r="AC99" s="8" t="str">
        <f>IF(AA99='Listas suspensas'!$A$2,'Listas suspensas'!$C$2,IF(AA99='Listas suspensas'!$A$3,'Listas suspensas'!$C$3,IF(AA99='Listas suspensas'!$A$4,'Listas suspensas'!$C$4,IF(AA99='Listas suspensas'!$A$5,'Listas suspensas'!$C$5,IF(AA99='Listas suspensas'!$A$6,'Listas suspensas'!$C$6,"")))))</f>
        <v>Indica a penetração uniforme, mas não total pela extensão do alburno.</v>
      </c>
      <c r="AK99" s="8">
        <v>11.82</v>
      </c>
      <c r="AL99" s="8">
        <v>11.72</v>
      </c>
      <c r="AM99" s="8">
        <v>11.49</v>
      </c>
      <c r="AN99" s="8">
        <v>11.75</v>
      </c>
      <c r="AO99" s="8">
        <v>11.73</v>
      </c>
      <c r="AP99" s="8">
        <f t="shared" si="22"/>
        <v>1.1702000000000001</v>
      </c>
      <c r="AQ99" s="8">
        <v>14.96</v>
      </c>
      <c r="AR99" s="8">
        <v>12.55</v>
      </c>
      <c r="AS99" s="8">
        <v>13.78</v>
      </c>
      <c r="AT99" s="8">
        <v>10.88</v>
      </c>
      <c r="AU99" s="8">
        <v>13.1</v>
      </c>
      <c r="AV99" s="8">
        <f t="shared" si="23"/>
        <v>1.3053999999999999</v>
      </c>
      <c r="AW99" s="20">
        <v>1.3723000000000001</v>
      </c>
      <c r="AX99" s="20">
        <v>1.1356999999999999</v>
      </c>
      <c r="AY99" s="20">
        <v>1.1501999999999999</v>
      </c>
      <c r="AZ99" s="20">
        <v>0.96970000000000001</v>
      </c>
      <c r="BA99" s="20">
        <v>1.1677999999999999</v>
      </c>
      <c r="BB99" s="20">
        <f t="shared" si="24"/>
        <v>1.1591400000000001</v>
      </c>
      <c r="BC99" s="20">
        <f t="shared" si="33"/>
        <v>1.4039565820961211</v>
      </c>
      <c r="BE99" s="18">
        <f t="shared" si="34"/>
        <v>825.62382254684292</v>
      </c>
      <c r="BF99" s="8">
        <v>0.254</v>
      </c>
      <c r="BG99" s="8">
        <v>0.14599999999999999</v>
      </c>
      <c r="BH99" s="8">
        <v>0.20899999999999999</v>
      </c>
      <c r="BI99" s="13">
        <f t="shared" si="27"/>
        <v>0.60899999999999999</v>
      </c>
      <c r="BJ99" s="14">
        <v>41.8</v>
      </c>
      <c r="BK99" s="14">
        <v>24</v>
      </c>
      <c r="BL99" s="14">
        <v>34.200000000000003</v>
      </c>
      <c r="BM99" s="16">
        <f t="shared" si="28"/>
        <v>100</v>
      </c>
      <c r="BN99" s="21">
        <f t="shared" si="29"/>
        <v>2.1</v>
      </c>
      <c r="BO99" s="21">
        <f t="shared" si="30"/>
        <v>1.21</v>
      </c>
      <c r="BP99" s="21">
        <f t="shared" si="31"/>
        <v>1.73</v>
      </c>
      <c r="BQ99" s="14">
        <f t="shared" si="32"/>
        <v>5.04</v>
      </c>
      <c r="BR99" s="22" t="str">
        <f>IF(OR(AND(X99="Mourões", BQ99&gt;=6.5),AND(X99="Postes", BQ99&gt;=9.6),AND(X99="Dormentes", BQ99&gt;=9.6),AND(X99="Estacas", BQ99&gt;=6.5),AND(X99="Cruzetas", BQ99&gt;=6.5),AND(X99="Outros - Solo", BQ99&gt;=6.5),AND(X99="Outros - Suspenso",BQ99&gt;=4),AND(X99="Deck",BQ99&gt;=4)),'Listas suspensas'!$C$21,'Listas suspensas'!$C$22)</f>
        <v>Os resultados da análise química apresentaram uma retenção do produto inferior ao padrão mínimo exigido pela norma ABNT NBR 16143</v>
      </c>
    </row>
    <row r="100" spans="2:70" x14ac:dyDescent="0.25">
      <c r="B100" s="8" t="s">
        <v>326</v>
      </c>
      <c r="C100" s="8" t="s">
        <v>71</v>
      </c>
      <c r="F100" s="11">
        <v>45678</v>
      </c>
      <c r="G100" s="11">
        <v>45313</v>
      </c>
      <c r="H100" s="11">
        <v>45315</v>
      </c>
      <c r="I100" s="8" t="s">
        <v>187</v>
      </c>
      <c r="J100" s="8" t="s">
        <v>323</v>
      </c>
      <c r="K100" s="8" t="s">
        <v>109</v>
      </c>
      <c r="L100" s="8" t="s">
        <v>15</v>
      </c>
      <c r="M100" s="30" t="s">
        <v>324</v>
      </c>
      <c r="N100" s="8" t="s">
        <v>75</v>
      </c>
      <c r="O100" s="8" t="s">
        <v>94</v>
      </c>
      <c r="P100" s="28" t="s">
        <v>146</v>
      </c>
      <c r="Q100" s="16" t="s">
        <v>327</v>
      </c>
      <c r="X100" s="8" t="s">
        <v>98</v>
      </c>
      <c r="Y100" s="34">
        <f>IF(X100='Listas suspensas'!$A$21,'Listas suspensas'!$B$23,IF(X100='Listas suspensas'!$A$22,'Listas suspensas'!$B$23,IF(X100='Listas suspensas'!$A$23,'Listas suspensas'!$B$22,IF(X100='Listas suspensas'!$A$26,'Listas suspensas'!$B$22,IF(X100='Listas suspensas'!$A$32,'Listas suspensas'!$B$22,IF(X100='Listas suspensas'!$A$33,'Listas suspensas'!$B$21,IF(X100='Listas suspensas'!$A$24,'Listas suspensas'!$B$22,IF(X100='Listas suspensas'!$A$30,'Listas suspensas'!$B$21,""))))))))</f>
        <v>9.6</v>
      </c>
      <c r="Z100" s="8" t="s">
        <v>80</v>
      </c>
      <c r="AA100" s="8">
        <v>2</v>
      </c>
      <c r="AB100" s="8" t="str">
        <f>IF(AA100='Listas suspensas'!$A$2,'Listas suspensas'!$B$2,IF(AA100='Listas suspensas'!$A$3,'Listas suspensas'!$B$3,IF(AA100='Listas suspensas'!$A$4,'Listas suspensas'!$B$4,IF(AA100='Listas suspensas'!$A$5,'Listas suspensas'!$B$5,IF(AA100='Listas suspensas'!$A$6,'Listas suspensas'!$B$6,"")))))</f>
        <v>Profunda e irregular</v>
      </c>
      <c r="AC100" s="8" t="str">
        <f>IF(AA100='Listas suspensas'!$A$2,'Listas suspensas'!$C$2,IF(AA100='Listas suspensas'!$A$3,'Listas suspensas'!$C$3,IF(AA100='Listas suspensas'!$A$4,'Listas suspensas'!$C$4,IF(AA100='Listas suspensas'!$A$5,'Listas suspensas'!$C$5,IF(AA100='Listas suspensas'!$A$6,'Listas suspensas'!$C$6,"")))))</f>
        <v>Indica a penetração profunda, mas desuniforme em toda a extensão do alburno.</v>
      </c>
      <c r="AK100" s="8">
        <v>11.6</v>
      </c>
      <c r="AL100" s="8">
        <v>11.76</v>
      </c>
      <c r="AM100" s="8">
        <v>11.78</v>
      </c>
      <c r="AN100" s="8">
        <v>11.66</v>
      </c>
      <c r="AO100" s="8">
        <v>11.73</v>
      </c>
      <c r="AP100" s="8">
        <f t="shared" si="22"/>
        <v>1.1705999999999999</v>
      </c>
      <c r="AQ100" s="8">
        <v>6.7</v>
      </c>
      <c r="AR100" s="8">
        <v>6.93</v>
      </c>
      <c r="AS100" s="8">
        <v>7.23</v>
      </c>
      <c r="AT100" s="8">
        <v>7.53</v>
      </c>
      <c r="AU100" s="8">
        <v>6.22</v>
      </c>
      <c r="AV100" s="8">
        <f t="shared" si="23"/>
        <v>0.69219999999999993</v>
      </c>
      <c r="AW100" s="20">
        <v>0.56020000000000003</v>
      </c>
      <c r="AX100" s="20">
        <v>0.63649999999999995</v>
      </c>
      <c r="AY100" s="20">
        <v>0.60809999999999997</v>
      </c>
      <c r="AZ100" s="20">
        <v>0.61929999999999996</v>
      </c>
      <c r="BA100" s="20">
        <v>0.4451</v>
      </c>
      <c r="BB100" s="20">
        <f t="shared" si="24"/>
        <v>0.57383999999999991</v>
      </c>
      <c r="BC100" s="20">
        <f t="shared" si="33"/>
        <v>0.74496954003207261</v>
      </c>
      <c r="BE100" s="18">
        <f t="shared" si="34"/>
        <v>770.28652738646838</v>
      </c>
      <c r="BF100" s="8">
        <v>0.34200000000000003</v>
      </c>
      <c r="BG100" s="8">
        <v>0.154</v>
      </c>
      <c r="BH100" s="8">
        <v>0.23100000000000001</v>
      </c>
      <c r="BI100" s="13">
        <f t="shared" si="27"/>
        <v>0.72699999999999998</v>
      </c>
      <c r="BJ100" s="14">
        <v>47.1</v>
      </c>
      <c r="BK100" s="14">
        <v>21.1</v>
      </c>
      <c r="BL100" s="14">
        <v>31.8</v>
      </c>
      <c r="BM100" s="16">
        <f t="shared" si="28"/>
        <v>100</v>
      </c>
      <c r="BN100" s="21">
        <f t="shared" si="29"/>
        <v>2.63</v>
      </c>
      <c r="BO100" s="21">
        <f t="shared" si="30"/>
        <v>1.19</v>
      </c>
      <c r="BP100" s="21">
        <f t="shared" si="31"/>
        <v>1.78</v>
      </c>
      <c r="BQ100" s="14">
        <f t="shared" si="32"/>
        <v>5.6</v>
      </c>
      <c r="BR100" s="22" t="str">
        <f>IF(OR(AND(X100="Mourões", BQ100&gt;=6.5),AND(X100="Postes", BQ100&gt;=9.6),AND(X100="Dormentes", BQ100&gt;=9.6),AND(X100="Estacas", BQ100&gt;=6.5),AND(X100="Cruzetas", BQ100&gt;=6.5),AND(X100="Outros - Solo", BQ100&gt;=6.5),AND(X100="Outros - Suspenso",BQ100&gt;=4),AND(X100="Deck",BQ100&gt;=4)),'Listas suspensas'!$C$21,'Listas suspensas'!$C$22)</f>
        <v>Os resultados da análise química apresentaram uma retenção do produto inferior ao padrão mínimo exigido pela norma ABNT NBR 16143</v>
      </c>
    </row>
    <row r="101" spans="2:70" x14ac:dyDescent="0.25">
      <c r="B101" s="8" t="s">
        <v>328</v>
      </c>
      <c r="C101" s="8" t="s">
        <v>71</v>
      </c>
      <c r="D101" s="8" t="s">
        <v>240</v>
      </c>
      <c r="F101" s="11">
        <v>45692</v>
      </c>
      <c r="G101" s="11">
        <v>45692</v>
      </c>
      <c r="H101" s="11">
        <v>45695</v>
      </c>
      <c r="I101" s="8" t="s">
        <v>241</v>
      </c>
      <c r="J101" s="8" t="s">
        <v>242</v>
      </c>
      <c r="K101" s="8" t="s">
        <v>243</v>
      </c>
      <c r="L101" s="8" t="s">
        <v>15</v>
      </c>
      <c r="N101" s="8" t="s">
        <v>75</v>
      </c>
      <c r="O101" s="8" t="s">
        <v>94</v>
      </c>
      <c r="P101" s="28" t="s">
        <v>77</v>
      </c>
      <c r="Q101" s="16" t="s">
        <v>329</v>
      </c>
      <c r="X101" s="8" t="s">
        <v>79</v>
      </c>
      <c r="Y101" s="34">
        <f>IF(X101='Listas suspensas'!$A$21,'Listas suspensas'!$B$23,IF(X101='Listas suspensas'!$A$22,'Listas suspensas'!$B$23,IF(X101='Listas suspensas'!$A$23,'Listas suspensas'!$B$22,IF(X101='Listas suspensas'!$A$26,'Listas suspensas'!$B$22,IF(X101='Listas suspensas'!$A$32,'Listas suspensas'!$B$22,IF(X101='Listas suspensas'!$A$33,'Listas suspensas'!$B$21,IF(X101='Listas suspensas'!$A$24,'Listas suspensas'!$B$22,IF(X101='Listas suspensas'!$A$30,'Listas suspensas'!$B$21,""))))))))</f>
        <v>6.5</v>
      </c>
      <c r="Z101" s="8" t="s">
        <v>80</v>
      </c>
      <c r="AA101" s="8">
        <v>3</v>
      </c>
      <c r="AB101" s="8" t="str">
        <f>IF(AA101='Listas suspensas'!$A$2,'Listas suspensas'!$B$2,IF(AA101='Listas suspensas'!$A$3,'Listas suspensas'!$B$3,IF(AA101='Listas suspensas'!$A$4,'Listas suspensas'!$B$4,IF(AA101='Listas suspensas'!$A$5,'Listas suspensas'!$B$5,IF(AA101='Listas suspensas'!$A$6,'Listas suspensas'!$B$6,"")))))</f>
        <v xml:space="preserve"> Parcial e regular</v>
      </c>
      <c r="AC101" s="8" t="str">
        <f>IF(AA101='Listas suspensas'!$A$2,'Listas suspensas'!$C$2,IF(AA101='Listas suspensas'!$A$3,'Listas suspensas'!$C$3,IF(AA101='Listas suspensas'!$A$4,'Listas suspensas'!$C$4,IF(AA101='Listas suspensas'!$A$5,'Listas suspensas'!$C$5,IF(AA101='Listas suspensas'!$A$6,'Listas suspensas'!$C$6,"")))))</f>
        <v>Indica a penetração uniforme, mas não total pela extensão do alburno.</v>
      </c>
      <c r="AK101" s="8">
        <v>11.18</v>
      </c>
      <c r="AL101" s="8">
        <v>11.16</v>
      </c>
      <c r="AM101" s="8">
        <v>11.15</v>
      </c>
      <c r="AN101" s="8">
        <v>11.19</v>
      </c>
      <c r="AO101" s="8">
        <v>11.23</v>
      </c>
      <c r="AP101" s="8">
        <f t="shared" si="22"/>
        <v>1.1181999999999999</v>
      </c>
      <c r="AQ101" s="8">
        <v>11.65</v>
      </c>
      <c r="AR101" s="8">
        <v>11.96</v>
      </c>
      <c r="AS101" s="8">
        <v>12.82</v>
      </c>
      <c r="AT101" s="8">
        <v>9.51</v>
      </c>
      <c r="AU101" s="8">
        <v>12.24</v>
      </c>
      <c r="AV101" s="8">
        <f t="shared" si="23"/>
        <v>1.1636</v>
      </c>
      <c r="AW101" s="20">
        <v>0.87519999999999998</v>
      </c>
      <c r="AX101" s="20">
        <v>0.90110000000000001</v>
      </c>
      <c r="AY101" s="20">
        <v>0.96209999999999996</v>
      </c>
      <c r="AZ101" s="20">
        <v>0.70279999999999998</v>
      </c>
      <c r="BA101" s="20">
        <v>0.92449999999999999</v>
      </c>
      <c r="BB101" s="20">
        <f t="shared" si="24"/>
        <v>0.87313999999999992</v>
      </c>
      <c r="BC101" s="20">
        <f t="shared" si="33"/>
        <v>1.1427009009264077</v>
      </c>
      <c r="BE101" s="18">
        <f t="shared" si="34"/>
        <v>764.10196167004847</v>
      </c>
      <c r="BF101" s="8">
        <v>0.33</v>
      </c>
      <c r="BG101" s="8">
        <v>0.16600000000000001</v>
      </c>
      <c r="BH101" s="8">
        <v>0.28999999999999998</v>
      </c>
      <c r="BI101" s="13">
        <f t="shared" si="27"/>
        <v>0.78600000000000003</v>
      </c>
      <c r="BJ101" s="14">
        <v>42</v>
      </c>
      <c r="BK101" s="14">
        <v>21.1</v>
      </c>
      <c r="BL101" s="14">
        <v>36.9</v>
      </c>
      <c r="BM101" s="16">
        <f t="shared" si="28"/>
        <v>100</v>
      </c>
      <c r="BN101" s="21">
        <f t="shared" si="29"/>
        <v>2.52</v>
      </c>
      <c r="BO101" s="21">
        <f t="shared" si="30"/>
        <v>1.27</v>
      </c>
      <c r="BP101" s="21">
        <f t="shared" si="31"/>
        <v>2.2200000000000002</v>
      </c>
      <c r="BQ101" s="14">
        <f t="shared" si="32"/>
        <v>6.01</v>
      </c>
      <c r="BR101" s="22" t="str">
        <f>IF(OR(AND(X101="Mourões", BQ101&gt;=6.5),AND(X101="Postes", BQ101&gt;=9.6),AND(X101="Dormentes", BQ101&gt;=9.6),AND(X101="Estacas", BQ101&gt;=6.5),AND(X101="Cruzetas", BQ101&gt;=6.5),AND(X101="Outros - Solo", BQ101&gt;=6.5),AND(X101="Outros - Suspenso",BQ101&gt;=4),AND(X101="Deck",BQ101&gt;=4)),'Listas suspensas'!$C$21,'Listas suspensas'!$C$22)</f>
        <v>Os resultados da análise química apresentaram uma retenção do produto inferior ao padrão mínimo exigido pela norma ABNT NBR 16143</v>
      </c>
    </row>
    <row r="102" spans="2:70" x14ac:dyDescent="0.25">
      <c r="B102" s="8" t="s">
        <v>330</v>
      </c>
      <c r="C102" s="8" t="s">
        <v>71</v>
      </c>
      <c r="D102" s="8" t="s">
        <v>240</v>
      </c>
      <c r="F102" s="11">
        <v>45692</v>
      </c>
      <c r="G102" s="11">
        <v>45692</v>
      </c>
      <c r="H102" s="11">
        <v>45695</v>
      </c>
      <c r="I102" s="8" t="s">
        <v>241</v>
      </c>
      <c r="J102" s="8" t="s">
        <v>242</v>
      </c>
      <c r="K102" s="8" t="s">
        <v>243</v>
      </c>
      <c r="L102" s="8" t="s">
        <v>15</v>
      </c>
      <c r="N102" s="8" t="s">
        <v>75</v>
      </c>
      <c r="O102" s="8" t="s">
        <v>94</v>
      </c>
      <c r="P102" s="28" t="s">
        <v>77</v>
      </c>
      <c r="Q102" s="16" t="s">
        <v>331</v>
      </c>
      <c r="X102" s="8" t="s">
        <v>79</v>
      </c>
      <c r="Y102" s="34">
        <f>IF(X102='Listas suspensas'!$A$21,'Listas suspensas'!$B$23,IF(X102='Listas suspensas'!$A$22,'Listas suspensas'!$B$23,IF(X102='Listas suspensas'!$A$23,'Listas suspensas'!$B$22,IF(X102='Listas suspensas'!$A$26,'Listas suspensas'!$B$22,IF(X102='Listas suspensas'!$A$32,'Listas suspensas'!$B$22,IF(X102='Listas suspensas'!$A$33,'Listas suspensas'!$B$21,IF(X102='Listas suspensas'!$A$24,'Listas suspensas'!$B$22,IF(X102='Listas suspensas'!$A$30,'Listas suspensas'!$B$21,""))))))))</f>
        <v>6.5</v>
      </c>
      <c r="Z102" s="8" t="s">
        <v>80</v>
      </c>
      <c r="AA102" s="8">
        <v>3</v>
      </c>
      <c r="AB102" s="8" t="str">
        <f>IF(AA102='Listas suspensas'!$A$2,'Listas suspensas'!$B$2,IF(AA102='Listas suspensas'!$A$3,'Listas suspensas'!$B$3,IF(AA102='Listas suspensas'!$A$4,'Listas suspensas'!$B$4,IF(AA102='Listas suspensas'!$A$5,'Listas suspensas'!$B$5,IF(AA102='Listas suspensas'!$A$6,'Listas suspensas'!$B$6,"")))))</f>
        <v xml:space="preserve"> Parcial e regular</v>
      </c>
      <c r="AC102" s="8" t="str">
        <f>IF(AA102='Listas suspensas'!$A$2,'Listas suspensas'!$C$2,IF(AA102='Listas suspensas'!$A$3,'Listas suspensas'!$C$3,IF(AA102='Listas suspensas'!$A$4,'Listas suspensas'!$C$4,IF(AA102='Listas suspensas'!$A$5,'Listas suspensas'!$C$5,IF(AA102='Listas suspensas'!$A$6,'Listas suspensas'!$C$6,"")))))</f>
        <v>Indica a penetração uniforme, mas não total pela extensão do alburno.</v>
      </c>
      <c r="AK102" s="8">
        <v>11.17</v>
      </c>
      <c r="AL102" s="8">
        <v>11.52</v>
      </c>
      <c r="AM102" s="8">
        <v>11.88</v>
      </c>
      <c r="AN102" s="8">
        <v>11.06</v>
      </c>
      <c r="AO102" s="8">
        <v>11.74</v>
      </c>
      <c r="AP102" s="8">
        <f t="shared" si="22"/>
        <v>1.1474</v>
      </c>
      <c r="AQ102" s="8">
        <v>13.95</v>
      </c>
      <c r="AR102" s="8">
        <v>13.1</v>
      </c>
      <c r="AS102" s="8">
        <v>13.39</v>
      </c>
      <c r="AT102" s="8">
        <v>10.29</v>
      </c>
      <c r="AU102" s="8">
        <v>12.11</v>
      </c>
      <c r="AV102" s="8">
        <f t="shared" si="23"/>
        <v>1.2567999999999999</v>
      </c>
      <c r="AW102" s="20">
        <v>1.0025999999999999</v>
      </c>
      <c r="AX102" s="20">
        <v>0.94579999999999997</v>
      </c>
      <c r="AY102" s="20">
        <v>0.97450000000000003</v>
      </c>
      <c r="AZ102" s="20">
        <v>0.76390000000000002</v>
      </c>
      <c r="BA102" s="20">
        <v>0.84719999999999995</v>
      </c>
      <c r="BB102" s="20">
        <f t="shared" si="24"/>
        <v>0.90679999999999994</v>
      </c>
      <c r="BC102" s="20">
        <f t="shared" si="33"/>
        <v>1.2995283085651907</v>
      </c>
      <c r="BE102" s="18">
        <f t="shared" si="34"/>
        <v>697.79164795663269</v>
      </c>
      <c r="BF102" s="8">
        <v>0.373</v>
      </c>
      <c r="BG102" s="8">
        <v>0.161</v>
      </c>
      <c r="BH102" s="8">
        <v>0.27</v>
      </c>
      <c r="BI102" s="13">
        <f t="shared" si="27"/>
        <v>0.80400000000000005</v>
      </c>
      <c r="BJ102" s="14">
        <v>46.4</v>
      </c>
      <c r="BK102" s="14">
        <v>20</v>
      </c>
      <c r="BL102" s="14">
        <v>33.6</v>
      </c>
      <c r="BM102" s="16">
        <f t="shared" si="28"/>
        <v>100</v>
      </c>
      <c r="BN102" s="21">
        <f t="shared" si="29"/>
        <v>2.6</v>
      </c>
      <c r="BO102" s="21">
        <f t="shared" si="30"/>
        <v>1.1200000000000001</v>
      </c>
      <c r="BP102" s="21">
        <f t="shared" si="31"/>
        <v>1.88</v>
      </c>
      <c r="BQ102" s="14">
        <f t="shared" si="32"/>
        <v>5.6</v>
      </c>
      <c r="BR102" s="22" t="str">
        <f>IF(OR(AND(X102="Mourões", BQ102&gt;=6.5),AND(X102="Postes", BQ102&gt;=9.6),AND(X102="Dormentes", BQ102&gt;=9.6),AND(X102="Estacas", BQ102&gt;=6.5),AND(X102="Cruzetas", BQ102&gt;=6.5),AND(X102="Outros - Solo", BQ102&gt;=6.5),AND(X102="Outros - Suspenso",BQ102&gt;=4),AND(X102="Deck",BQ102&gt;=4)),'Listas suspensas'!$C$21,'Listas suspensas'!$C$22)</f>
        <v>Os resultados da análise química apresentaram uma retenção do produto inferior ao padrão mínimo exigido pela norma ABNT NBR 16143</v>
      </c>
    </row>
    <row r="103" spans="2:70" x14ac:dyDescent="0.25">
      <c r="B103" s="8" t="s">
        <v>332</v>
      </c>
      <c r="C103" s="8" t="s">
        <v>71</v>
      </c>
      <c r="D103" s="8" t="s">
        <v>240</v>
      </c>
      <c r="F103" s="11">
        <v>45692</v>
      </c>
      <c r="G103" s="11">
        <v>45692</v>
      </c>
      <c r="H103" s="11">
        <v>45695</v>
      </c>
      <c r="I103" s="8" t="s">
        <v>241</v>
      </c>
      <c r="J103" s="8" t="s">
        <v>242</v>
      </c>
      <c r="K103" s="8" t="s">
        <v>243</v>
      </c>
      <c r="L103" s="8" t="s">
        <v>15</v>
      </c>
      <c r="N103" s="8" t="s">
        <v>75</v>
      </c>
      <c r="O103" s="8" t="s">
        <v>94</v>
      </c>
      <c r="P103" s="28" t="s">
        <v>77</v>
      </c>
      <c r="Q103" s="16" t="s">
        <v>333</v>
      </c>
      <c r="X103" s="8" t="s">
        <v>79</v>
      </c>
      <c r="Y103" s="34">
        <f>IF(X103='Listas suspensas'!$A$21,'Listas suspensas'!$B$23,IF(X103='Listas suspensas'!$A$22,'Listas suspensas'!$B$23,IF(X103='Listas suspensas'!$A$23,'Listas suspensas'!$B$22,IF(X103='Listas suspensas'!$A$26,'Listas suspensas'!$B$22,IF(X103='Listas suspensas'!$A$32,'Listas suspensas'!$B$22,IF(X103='Listas suspensas'!$A$33,'Listas suspensas'!$B$21,IF(X103='Listas suspensas'!$A$24,'Listas suspensas'!$B$22,IF(X103='Listas suspensas'!$A$30,'Listas suspensas'!$B$21,""))))))))</f>
        <v>6.5</v>
      </c>
      <c r="Z103" s="8" t="s">
        <v>80</v>
      </c>
      <c r="AA103" s="8">
        <v>3</v>
      </c>
      <c r="AB103" s="8" t="str">
        <f>IF(AA103='Listas suspensas'!$A$2,'Listas suspensas'!$B$2,IF(AA103='Listas suspensas'!$A$3,'Listas suspensas'!$B$3,IF(AA103='Listas suspensas'!$A$4,'Listas suspensas'!$B$4,IF(AA103='Listas suspensas'!$A$5,'Listas suspensas'!$B$5,IF(AA103='Listas suspensas'!$A$6,'Listas suspensas'!$B$6,"")))))</f>
        <v xml:space="preserve"> Parcial e regular</v>
      </c>
      <c r="AC103" s="8" t="str">
        <f>IF(AA103='Listas suspensas'!$A$2,'Listas suspensas'!$C$2,IF(AA103='Listas suspensas'!$A$3,'Listas suspensas'!$C$3,IF(AA103='Listas suspensas'!$A$4,'Listas suspensas'!$C$4,IF(AA103='Listas suspensas'!$A$5,'Listas suspensas'!$C$5,IF(AA103='Listas suspensas'!$A$6,'Listas suspensas'!$C$6,"")))))</f>
        <v>Indica a penetração uniforme, mas não total pela extensão do alburno.</v>
      </c>
      <c r="AK103" s="8">
        <v>10.56</v>
      </c>
      <c r="AL103" s="8">
        <v>10.59</v>
      </c>
      <c r="AM103" s="8">
        <v>10.69</v>
      </c>
      <c r="AN103" s="8">
        <v>11.04</v>
      </c>
      <c r="AO103" s="8">
        <v>10.69</v>
      </c>
      <c r="AP103" s="8">
        <f t="shared" si="22"/>
        <v>1.0713999999999999</v>
      </c>
      <c r="AQ103" s="8">
        <v>12.74</v>
      </c>
      <c r="AR103" s="8">
        <v>13.66</v>
      </c>
      <c r="AS103" s="8">
        <v>14.94</v>
      </c>
      <c r="AT103" s="8">
        <v>9.94</v>
      </c>
      <c r="AU103" s="8">
        <v>11.73</v>
      </c>
      <c r="AV103" s="8">
        <f t="shared" si="23"/>
        <v>1.2601999999999998</v>
      </c>
      <c r="AW103" s="20">
        <v>1.1671</v>
      </c>
      <c r="AX103" s="20">
        <v>1.1899</v>
      </c>
      <c r="AY103" s="20">
        <v>1.2817000000000001</v>
      </c>
      <c r="AZ103" s="20">
        <v>0.89710000000000001</v>
      </c>
      <c r="BA103" s="20">
        <v>1.0481</v>
      </c>
      <c r="BB103" s="20">
        <f t="shared" si="24"/>
        <v>1.1167799999999999</v>
      </c>
      <c r="BC103" s="20">
        <f t="shared" si="33"/>
        <v>1.1361420678250236</v>
      </c>
      <c r="BE103" s="18">
        <f t="shared" si="34"/>
        <v>982.95805747067402</v>
      </c>
      <c r="BF103" s="8">
        <v>0.32500000000000001</v>
      </c>
      <c r="BG103" s="8">
        <v>0.182</v>
      </c>
      <c r="BH103" s="8">
        <v>0.32</v>
      </c>
      <c r="BI103" s="13">
        <f t="shared" si="27"/>
        <v>0.82699999999999996</v>
      </c>
      <c r="BJ103" s="14">
        <v>39.299999999999997</v>
      </c>
      <c r="BK103" s="14">
        <v>22</v>
      </c>
      <c r="BL103" s="14">
        <v>38.700000000000003</v>
      </c>
      <c r="BM103" s="16">
        <f t="shared" si="28"/>
        <v>100</v>
      </c>
      <c r="BN103" s="21">
        <f t="shared" si="29"/>
        <v>3.19</v>
      </c>
      <c r="BO103" s="21">
        <f t="shared" si="30"/>
        <v>1.79</v>
      </c>
      <c r="BP103" s="21">
        <f t="shared" si="31"/>
        <v>3.15</v>
      </c>
      <c r="BQ103" s="14">
        <f t="shared" si="32"/>
        <v>8.1300000000000008</v>
      </c>
      <c r="BR103" s="22" t="str">
        <f>IF(OR(AND(X103="Mourões", BQ103&gt;=6.5),AND(X103="Postes", BQ103&gt;=9.6),AND(X103="Dormentes", BQ103&gt;=9.6),AND(X103="Estacas", BQ103&gt;=6.5),AND(X103="Cruzetas", BQ103&gt;=6.5),AND(X103="Outros - Solo", BQ103&gt;=6.5),AND(X103="Outros - Suspenso",BQ103&gt;=4),AND(X103="Deck",BQ103&gt;=4)),'Listas suspensas'!$C$21,'Listas suspensas'!$C$22)</f>
        <v>Os resultados da análise química apresentaram uma retenção do produto de acordo com o padrão mínimo exigido pela norma ABNT NBR 16143</v>
      </c>
    </row>
    <row r="104" spans="2:70" x14ac:dyDescent="0.25">
      <c r="B104" s="8" t="s">
        <v>334</v>
      </c>
      <c r="C104" s="8" t="s">
        <v>71</v>
      </c>
      <c r="D104" s="8" t="s">
        <v>240</v>
      </c>
      <c r="F104" s="11">
        <v>45692</v>
      </c>
      <c r="G104" s="11">
        <v>45692</v>
      </c>
      <c r="H104" s="11">
        <v>45695</v>
      </c>
      <c r="I104" s="8" t="s">
        <v>241</v>
      </c>
      <c r="J104" s="8" t="s">
        <v>242</v>
      </c>
      <c r="K104" s="8" t="s">
        <v>243</v>
      </c>
      <c r="L104" s="8" t="s">
        <v>15</v>
      </c>
      <c r="N104" s="8" t="s">
        <v>75</v>
      </c>
      <c r="O104" s="8" t="s">
        <v>94</v>
      </c>
      <c r="P104" s="28" t="s">
        <v>77</v>
      </c>
      <c r="Q104" s="16" t="s">
        <v>335</v>
      </c>
      <c r="X104" s="8" t="s">
        <v>79</v>
      </c>
      <c r="Y104" s="34">
        <f>IF(X104='Listas suspensas'!$A$21,'Listas suspensas'!$B$23,IF(X104='Listas suspensas'!$A$22,'Listas suspensas'!$B$23,IF(X104='Listas suspensas'!$A$23,'Listas suspensas'!$B$22,IF(X104='Listas suspensas'!$A$26,'Listas suspensas'!$B$22,IF(X104='Listas suspensas'!$A$32,'Listas suspensas'!$B$22,IF(X104='Listas suspensas'!$A$33,'Listas suspensas'!$B$21,IF(X104='Listas suspensas'!$A$24,'Listas suspensas'!$B$22,IF(X104='Listas suspensas'!$A$30,'Listas suspensas'!$B$21,""))))))))</f>
        <v>6.5</v>
      </c>
      <c r="Z104" s="8" t="s">
        <v>80</v>
      </c>
      <c r="AA104" s="8">
        <v>3</v>
      </c>
      <c r="AB104" s="8" t="str">
        <f>IF(AA104='Listas suspensas'!$A$2,'Listas suspensas'!$B$2,IF(AA104='Listas suspensas'!$A$3,'Listas suspensas'!$B$3,IF(AA104='Listas suspensas'!$A$4,'Listas suspensas'!$B$4,IF(AA104='Listas suspensas'!$A$5,'Listas suspensas'!$B$5,IF(AA104='Listas suspensas'!$A$6,'Listas suspensas'!$B$6,"")))))</f>
        <v xml:space="preserve"> Parcial e regular</v>
      </c>
      <c r="AC104" s="8" t="str">
        <f>IF(AA104='Listas suspensas'!$A$2,'Listas suspensas'!$C$2,IF(AA104='Listas suspensas'!$A$3,'Listas suspensas'!$C$3,IF(AA104='Listas suspensas'!$A$4,'Listas suspensas'!$C$4,IF(AA104='Listas suspensas'!$A$5,'Listas suspensas'!$C$5,IF(AA104='Listas suspensas'!$A$6,'Listas suspensas'!$C$6,"")))))</f>
        <v>Indica a penetração uniforme, mas não total pela extensão do alburno.</v>
      </c>
      <c r="AK104" s="8">
        <v>11.48</v>
      </c>
      <c r="AL104" s="8">
        <v>11.32</v>
      </c>
      <c r="AM104" s="8">
        <v>10.86</v>
      </c>
      <c r="AN104" s="8">
        <v>10.81</v>
      </c>
      <c r="AO104" s="8">
        <v>11.6</v>
      </c>
      <c r="AP104" s="8">
        <f t="shared" si="22"/>
        <v>1.1214</v>
      </c>
      <c r="AQ104" s="8">
        <v>11.62</v>
      </c>
      <c r="AR104" s="8">
        <v>13.25</v>
      </c>
      <c r="AS104" s="8">
        <v>10.11</v>
      </c>
      <c r="AT104" s="8">
        <v>13.02</v>
      </c>
      <c r="AU104" s="8">
        <v>14.06</v>
      </c>
      <c r="AV104" s="8">
        <f t="shared" si="23"/>
        <v>1.2412000000000001</v>
      </c>
      <c r="AW104" s="20">
        <v>1.0512999999999999</v>
      </c>
      <c r="AX104" s="20">
        <v>1.1536999999999999</v>
      </c>
      <c r="AY104" s="20">
        <v>0.94279999999999997</v>
      </c>
      <c r="AZ104" s="20">
        <v>1.1598999999999999</v>
      </c>
      <c r="BA104" s="20">
        <v>1.2567999999999999</v>
      </c>
      <c r="BB104" s="20">
        <f t="shared" ref="BB104:BB167" si="35">AVERAGE(AW104:BA104)</f>
        <v>1.1129000000000002</v>
      </c>
      <c r="BC104" s="20">
        <f t="shared" si="33"/>
        <v>1.2258935267963753</v>
      </c>
      <c r="BE104" s="18">
        <f t="shared" si="34"/>
        <v>907.82761771190621</v>
      </c>
      <c r="BF104" s="8">
        <v>0.307</v>
      </c>
      <c r="BG104" s="8">
        <v>0.17199999999999999</v>
      </c>
      <c r="BH104" s="8">
        <v>0.32800000000000001</v>
      </c>
      <c r="BI104" s="13">
        <f t="shared" si="27"/>
        <v>0.80699999999999994</v>
      </c>
      <c r="BJ104" s="14">
        <v>38</v>
      </c>
      <c r="BK104" s="14">
        <v>21.4</v>
      </c>
      <c r="BL104" s="14">
        <v>40.6</v>
      </c>
      <c r="BM104" s="16">
        <f t="shared" ref="BM104:BM167" si="36">ROUND(SUM(BJ104:BL104),2)</f>
        <v>100</v>
      </c>
      <c r="BN104" s="21">
        <f t="shared" ref="BN104:BN167" si="37">ROUND((BF104/100)*BE104,2)</f>
        <v>2.79</v>
      </c>
      <c r="BO104" s="21">
        <f t="shared" ref="BO104:BO167" si="38">ROUND((BG104/100)*BE104,2)</f>
        <v>1.56</v>
      </c>
      <c r="BP104" s="21">
        <f t="shared" ref="BP104:BP167" si="39">ROUND((BH104/100)*BE104,2)</f>
        <v>2.98</v>
      </c>
      <c r="BQ104" s="14">
        <f t="shared" ref="BQ104:BQ167" si="40">ROUND(SUM(BN104:BP104),2)</f>
        <v>7.33</v>
      </c>
      <c r="BR104" s="22" t="str">
        <f>IF(OR(AND(X104="Mourões", BQ104&gt;=6.5),AND(X104="Postes", BQ104&gt;=9.6),AND(X104="Dormentes", BQ104&gt;=9.6),AND(X104="Estacas", BQ104&gt;=6.5),AND(X104="Cruzetas", BQ104&gt;=6.5),AND(X104="Outros - Solo", BQ104&gt;=6.5),AND(X104="Outros - Suspenso",BQ104&gt;=4),AND(X104="Deck",BQ104&gt;=4)),'Listas suspensas'!$C$21,'Listas suspensas'!$C$22)</f>
        <v>Os resultados da análise química apresentaram uma retenção do produto de acordo com o padrão mínimo exigido pela norma ABNT NBR 16143</v>
      </c>
    </row>
    <row r="105" spans="2:70" x14ac:dyDescent="0.25">
      <c r="B105" s="8" t="s">
        <v>336</v>
      </c>
      <c r="C105" s="8" t="s">
        <v>71</v>
      </c>
      <c r="D105" s="8" t="s">
        <v>240</v>
      </c>
      <c r="F105" s="11">
        <v>45692</v>
      </c>
      <c r="G105" s="11">
        <v>45692</v>
      </c>
      <c r="H105" s="11">
        <v>45695</v>
      </c>
      <c r="I105" s="8" t="s">
        <v>241</v>
      </c>
      <c r="J105" s="8" t="s">
        <v>242</v>
      </c>
      <c r="K105" s="8" t="s">
        <v>243</v>
      </c>
      <c r="L105" s="8" t="s">
        <v>15</v>
      </c>
      <c r="N105" s="8" t="s">
        <v>75</v>
      </c>
      <c r="O105" s="8" t="s">
        <v>94</v>
      </c>
      <c r="P105" s="28" t="s">
        <v>77</v>
      </c>
      <c r="Q105" s="16" t="s">
        <v>337</v>
      </c>
      <c r="X105" s="8" t="s">
        <v>79</v>
      </c>
      <c r="Y105" s="34">
        <f>IF(X105='Listas suspensas'!$A$21,'Listas suspensas'!$B$23,IF(X105='Listas suspensas'!$A$22,'Listas suspensas'!$B$23,IF(X105='Listas suspensas'!$A$23,'Listas suspensas'!$B$22,IF(X105='Listas suspensas'!$A$26,'Listas suspensas'!$B$22,IF(X105='Listas suspensas'!$A$32,'Listas suspensas'!$B$22,IF(X105='Listas suspensas'!$A$33,'Listas suspensas'!$B$21,IF(X105='Listas suspensas'!$A$24,'Listas suspensas'!$B$22,IF(X105='Listas suspensas'!$A$30,'Listas suspensas'!$B$21,""))))))))</f>
        <v>6.5</v>
      </c>
      <c r="Z105" s="8" t="s">
        <v>80</v>
      </c>
      <c r="AA105" s="8">
        <v>2</v>
      </c>
      <c r="AB105" s="8" t="str">
        <f>IF(AA105='Listas suspensas'!$A$2,'Listas suspensas'!$B$2,IF(AA105='Listas suspensas'!$A$3,'Listas suspensas'!$B$3,IF(AA105='Listas suspensas'!$A$4,'Listas suspensas'!$B$4,IF(AA105='Listas suspensas'!$A$5,'Listas suspensas'!$B$5,IF(AA105='Listas suspensas'!$A$6,'Listas suspensas'!$B$6,"")))))</f>
        <v>Profunda e irregular</v>
      </c>
      <c r="AC105" s="8" t="str">
        <f>IF(AA105='Listas suspensas'!$A$2,'Listas suspensas'!$C$2,IF(AA105='Listas suspensas'!$A$3,'Listas suspensas'!$C$3,IF(AA105='Listas suspensas'!$A$4,'Listas suspensas'!$C$4,IF(AA105='Listas suspensas'!$A$5,'Listas suspensas'!$C$5,IF(AA105='Listas suspensas'!$A$6,'Listas suspensas'!$C$6,"")))))</f>
        <v>Indica a penetração profunda, mas desuniforme em toda a extensão do alburno.</v>
      </c>
      <c r="AK105" s="8">
        <v>11.02</v>
      </c>
      <c r="AL105" s="8">
        <v>11.59</v>
      </c>
      <c r="AM105" s="8">
        <v>11.16</v>
      </c>
      <c r="AN105" s="8">
        <v>10.95</v>
      </c>
      <c r="AO105" s="8">
        <v>11.7</v>
      </c>
      <c r="AP105" s="8">
        <f t="shared" si="22"/>
        <v>1.1284000000000001</v>
      </c>
      <c r="AQ105" s="8">
        <v>13.3</v>
      </c>
      <c r="AR105" s="8">
        <v>13.69</v>
      </c>
      <c r="AS105" s="8">
        <v>13.47</v>
      </c>
      <c r="AT105" s="8">
        <v>11.5</v>
      </c>
      <c r="AU105" s="8">
        <v>15.73</v>
      </c>
      <c r="AV105" s="8">
        <f t="shared" si="23"/>
        <v>1.3538000000000001</v>
      </c>
      <c r="AW105" s="20">
        <v>1.0224</v>
      </c>
      <c r="AX105" s="20">
        <v>1.0515000000000001</v>
      </c>
      <c r="AY105" s="20">
        <v>1.0279</v>
      </c>
      <c r="AZ105" s="20">
        <v>0.93500000000000005</v>
      </c>
      <c r="BA105" s="20">
        <v>1.1636</v>
      </c>
      <c r="BB105" s="20">
        <f t="shared" si="35"/>
        <v>1.0400799999999999</v>
      </c>
      <c r="BC105" s="20">
        <f t="shared" si="33"/>
        <v>1.3538499900162544</v>
      </c>
      <c r="BE105" s="18">
        <f t="shared" si="34"/>
        <v>768.23873225977763</v>
      </c>
      <c r="BF105" s="8">
        <v>0.28999999999999998</v>
      </c>
      <c r="BG105" s="8">
        <v>0.14299999999999999</v>
      </c>
      <c r="BH105" s="8">
        <v>0.23599999999999999</v>
      </c>
      <c r="BI105" s="13">
        <f t="shared" si="27"/>
        <v>0.66899999999999993</v>
      </c>
      <c r="BJ105" s="14">
        <v>43.4</v>
      </c>
      <c r="BK105" s="14">
        <v>21.3</v>
      </c>
      <c r="BL105" s="14">
        <v>35.299999999999997</v>
      </c>
      <c r="BM105" s="16">
        <f t="shared" si="36"/>
        <v>100</v>
      </c>
      <c r="BN105" s="21">
        <f t="shared" si="37"/>
        <v>2.23</v>
      </c>
      <c r="BO105" s="21">
        <f t="shared" si="38"/>
        <v>1.1000000000000001</v>
      </c>
      <c r="BP105" s="21">
        <f t="shared" si="39"/>
        <v>1.81</v>
      </c>
      <c r="BQ105" s="14">
        <f t="shared" si="40"/>
        <v>5.14</v>
      </c>
      <c r="BR105" s="22" t="str">
        <f>IF(OR(AND(X105="Mourões", BQ105&gt;=6.5),AND(X105="Postes", BQ105&gt;=9.6),AND(X105="Dormentes", BQ105&gt;=9.6),AND(X105="Estacas", BQ105&gt;=6.5),AND(X105="Cruzetas", BQ105&gt;=6.5),AND(X105="Outros - Solo", BQ105&gt;=6.5),AND(X105="Outros - Suspenso",BQ105&gt;=4),AND(X105="Deck",BQ105&gt;=4)),'Listas suspensas'!$C$21,'Listas suspensas'!$C$22)</f>
        <v>Os resultados da análise química apresentaram uma retenção do produto inferior ao padrão mínimo exigido pela norma ABNT NBR 16143</v>
      </c>
    </row>
    <row r="106" spans="2:70" x14ac:dyDescent="0.25">
      <c r="B106" s="8" t="s">
        <v>338</v>
      </c>
      <c r="C106" s="8" t="s">
        <v>71</v>
      </c>
      <c r="D106" s="8" t="s">
        <v>240</v>
      </c>
      <c r="F106" s="11">
        <v>45692</v>
      </c>
      <c r="G106" s="11">
        <v>45692</v>
      </c>
      <c r="H106" s="11">
        <v>45695</v>
      </c>
      <c r="I106" s="8" t="s">
        <v>241</v>
      </c>
      <c r="J106" s="8" t="s">
        <v>242</v>
      </c>
      <c r="K106" s="8" t="s">
        <v>243</v>
      </c>
      <c r="L106" s="8" t="s">
        <v>15</v>
      </c>
      <c r="N106" s="8" t="s">
        <v>75</v>
      </c>
      <c r="O106" s="8" t="s">
        <v>94</v>
      </c>
      <c r="P106" s="28" t="s">
        <v>77</v>
      </c>
      <c r="Q106" s="16" t="s">
        <v>339</v>
      </c>
      <c r="X106" s="8" t="s">
        <v>79</v>
      </c>
      <c r="Y106" s="34">
        <f>IF(X106='Listas suspensas'!$A$21,'Listas suspensas'!$B$23,IF(X106='Listas suspensas'!$A$22,'Listas suspensas'!$B$23,IF(X106='Listas suspensas'!$A$23,'Listas suspensas'!$B$22,IF(X106='Listas suspensas'!$A$26,'Listas suspensas'!$B$22,IF(X106='Listas suspensas'!$A$32,'Listas suspensas'!$B$22,IF(X106='Listas suspensas'!$A$33,'Listas suspensas'!$B$21,IF(X106='Listas suspensas'!$A$24,'Listas suspensas'!$B$22,IF(X106='Listas suspensas'!$A$30,'Listas suspensas'!$B$21,""))))))))</f>
        <v>6.5</v>
      </c>
      <c r="Z106" s="8" t="s">
        <v>80</v>
      </c>
      <c r="AA106" s="8">
        <v>3</v>
      </c>
      <c r="AB106" s="8" t="str">
        <f>IF(AA106='Listas suspensas'!$A$2,'Listas suspensas'!$B$2,IF(AA106='Listas suspensas'!$A$3,'Listas suspensas'!$B$3,IF(AA106='Listas suspensas'!$A$4,'Listas suspensas'!$B$4,IF(AA106='Listas suspensas'!$A$5,'Listas suspensas'!$B$5,IF(AA106='Listas suspensas'!$A$6,'Listas suspensas'!$B$6,"")))))</f>
        <v xml:space="preserve"> Parcial e regular</v>
      </c>
      <c r="AC106" s="8" t="str">
        <f>IF(AA106='Listas suspensas'!$A$2,'Listas suspensas'!$C$2,IF(AA106='Listas suspensas'!$A$3,'Listas suspensas'!$C$3,IF(AA106='Listas suspensas'!$A$4,'Listas suspensas'!$C$4,IF(AA106='Listas suspensas'!$A$5,'Listas suspensas'!$C$5,IF(AA106='Listas suspensas'!$A$6,'Listas suspensas'!$C$6,"")))))</f>
        <v>Indica a penetração uniforme, mas não total pela extensão do alburno.</v>
      </c>
      <c r="AK106" s="8">
        <v>11.24</v>
      </c>
      <c r="AL106" s="8">
        <v>11.94</v>
      </c>
      <c r="AM106" s="8">
        <v>11.86</v>
      </c>
      <c r="AN106" s="8">
        <v>11.88</v>
      </c>
      <c r="AO106" s="8">
        <v>11.83</v>
      </c>
      <c r="AP106" s="8">
        <f t="shared" si="22"/>
        <v>1.175</v>
      </c>
      <c r="AQ106" s="8">
        <v>16.46</v>
      </c>
      <c r="AR106" s="8">
        <v>14.11</v>
      </c>
      <c r="AS106" s="8">
        <v>14.78</v>
      </c>
      <c r="AT106" s="8">
        <v>14.83</v>
      </c>
      <c r="AU106" s="8">
        <v>17.53</v>
      </c>
      <c r="AV106" s="8">
        <f t="shared" si="23"/>
        <v>1.5542000000000002</v>
      </c>
      <c r="AW106" s="20">
        <v>1.4955000000000001</v>
      </c>
      <c r="AX106" s="20">
        <v>1.2925</v>
      </c>
      <c r="AY106" s="20">
        <v>1.3926000000000001</v>
      </c>
      <c r="AZ106" s="20">
        <v>1.3435999999999999</v>
      </c>
      <c r="BA106" s="20">
        <v>1.577</v>
      </c>
      <c r="BB106" s="20">
        <f t="shared" si="35"/>
        <v>1.4202400000000002</v>
      </c>
      <c r="BC106" s="20">
        <f t="shared" si="33"/>
        <v>1.6852817554031641</v>
      </c>
      <c r="BE106" s="18">
        <f t="shared" si="34"/>
        <v>842.731487151382</v>
      </c>
      <c r="BF106" s="8">
        <v>0.28299999999999997</v>
      </c>
      <c r="BG106" s="8">
        <v>0.17599999999999999</v>
      </c>
      <c r="BH106" s="8">
        <v>0.32300000000000001</v>
      </c>
      <c r="BI106" s="13">
        <f t="shared" si="27"/>
        <v>0.78200000000000003</v>
      </c>
      <c r="BJ106" s="14">
        <v>36.200000000000003</v>
      </c>
      <c r="BK106" s="14">
        <v>22.5</v>
      </c>
      <c r="BL106" s="14">
        <v>41.3</v>
      </c>
      <c r="BM106" s="16">
        <f t="shared" si="36"/>
        <v>100</v>
      </c>
      <c r="BN106" s="21">
        <f t="shared" si="37"/>
        <v>2.38</v>
      </c>
      <c r="BO106" s="21">
        <f t="shared" si="38"/>
        <v>1.48</v>
      </c>
      <c r="BP106" s="21">
        <f t="shared" si="39"/>
        <v>2.72</v>
      </c>
      <c r="BQ106" s="14">
        <f t="shared" si="40"/>
        <v>6.58</v>
      </c>
      <c r="BR106" s="22" t="str">
        <f>IF(OR(AND(X106="Mourões", BQ106&gt;=6.5),AND(X106="Postes", BQ106&gt;=9.6),AND(X106="Dormentes", BQ106&gt;=9.6),AND(X106="Estacas", BQ106&gt;=6.5),AND(X106="Cruzetas", BQ106&gt;=6.5),AND(X106="Outros - Solo", BQ106&gt;=6.5),AND(X106="Outros - Suspenso",BQ106&gt;=4),AND(X106="Deck",BQ106&gt;=4)),'Listas suspensas'!$C$21,'Listas suspensas'!$C$22)</f>
        <v>Os resultados da análise química apresentaram uma retenção do produto de acordo com o padrão mínimo exigido pela norma ABNT NBR 16143</v>
      </c>
    </row>
    <row r="107" spans="2:70" x14ac:dyDescent="0.25">
      <c r="B107" s="8" t="s">
        <v>340</v>
      </c>
      <c r="C107" s="8" t="s">
        <v>71</v>
      </c>
      <c r="D107" s="8" t="s">
        <v>240</v>
      </c>
      <c r="F107" s="11">
        <v>45692</v>
      </c>
      <c r="G107" s="11">
        <v>45692</v>
      </c>
      <c r="H107" s="11">
        <v>45695</v>
      </c>
      <c r="I107" s="8" t="s">
        <v>241</v>
      </c>
      <c r="J107" s="8" t="s">
        <v>242</v>
      </c>
      <c r="K107" s="8" t="s">
        <v>243</v>
      </c>
      <c r="L107" s="8" t="s">
        <v>15</v>
      </c>
      <c r="N107" s="8" t="s">
        <v>75</v>
      </c>
      <c r="O107" s="8" t="s">
        <v>94</v>
      </c>
      <c r="P107" s="28" t="s">
        <v>77</v>
      </c>
      <c r="Q107" s="16" t="s">
        <v>341</v>
      </c>
      <c r="X107" s="8" t="s">
        <v>79</v>
      </c>
      <c r="Y107" s="34">
        <f>IF(X107='Listas suspensas'!$A$21,'Listas suspensas'!$B$23,IF(X107='Listas suspensas'!$A$22,'Listas suspensas'!$B$23,IF(X107='Listas suspensas'!$A$23,'Listas suspensas'!$B$22,IF(X107='Listas suspensas'!$A$26,'Listas suspensas'!$B$22,IF(X107='Listas suspensas'!$A$32,'Listas suspensas'!$B$22,IF(X107='Listas suspensas'!$A$33,'Listas suspensas'!$B$21,IF(X107='Listas suspensas'!$A$24,'Listas suspensas'!$B$22,IF(X107='Listas suspensas'!$A$30,'Listas suspensas'!$B$21,""))))))))</f>
        <v>6.5</v>
      </c>
      <c r="Z107" s="8" t="s">
        <v>80</v>
      </c>
      <c r="AA107" s="8">
        <v>2</v>
      </c>
      <c r="AB107" s="8" t="str">
        <f>IF(AA107='Listas suspensas'!$A$2,'Listas suspensas'!$B$2,IF(AA107='Listas suspensas'!$A$3,'Listas suspensas'!$B$3,IF(AA107='Listas suspensas'!$A$4,'Listas suspensas'!$B$4,IF(AA107='Listas suspensas'!$A$5,'Listas suspensas'!$B$5,IF(AA107='Listas suspensas'!$A$6,'Listas suspensas'!$B$6,"")))))</f>
        <v>Profunda e irregular</v>
      </c>
      <c r="AC107" s="8" t="str">
        <f>IF(AA107='Listas suspensas'!$A$2,'Listas suspensas'!$C$2,IF(AA107='Listas suspensas'!$A$3,'Listas suspensas'!$C$3,IF(AA107='Listas suspensas'!$A$4,'Listas suspensas'!$C$4,IF(AA107='Listas suspensas'!$A$5,'Listas suspensas'!$C$5,IF(AA107='Listas suspensas'!$A$6,'Listas suspensas'!$C$6,"")))))</f>
        <v>Indica a penetração profunda, mas desuniforme em toda a extensão do alburno.</v>
      </c>
      <c r="AK107" s="8">
        <v>11.92</v>
      </c>
      <c r="AL107" s="8">
        <v>11.23</v>
      </c>
      <c r="AM107" s="8">
        <v>11.56</v>
      </c>
      <c r="AN107" s="8">
        <v>11.91</v>
      </c>
      <c r="AO107" s="8">
        <v>10.92</v>
      </c>
      <c r="AP107" s="8">
        <f t="shared" si="22"/>
        <v>1.1508</v>
      </c>
      <c r="AQ107" s="8">
        <v>7.6</v>
      </c>
      <c r="AR107" s="8">
        <v>10.31</v>
      </c>
      <c r="AS107" s="8">
        <v>10.56</v>
      </c>
      <c r="AT107" s="8">
        <v>10.34</v>
      </c>
      <c r="AU107" s="8">
        <v>9.36</v>
      </c>
      <c r="AV107" s="8">
        <f t="shared" si="23"/>
        <v>0.96340000000000003</v>
      </c>
      <c r="AW107" s="20">
        <v>0.59489999999999998</v>
      </c>
      <c r="AX107" s="20">
        <v>0.7349</v>
      </c>
      <c r="AY107" s="20">
        <v>0.80769999999999997</v>
      </c>
      <c r="AZ107" s="20">
        <v>0.70979999999999999</v>
      </c>
      <c r="BA107" s="20">
        <v>0.67979999999999996</v>
      </c>
      <c r="BB107" s="20">
        <f t="shared" si="35"/>
        <v>0.70541999999999994</v>
      </c>
      <c r="BC107" s="20">
        <f t="shared" si="33"/>
        <v>1.0020657761155105</v>
      </c>
      <c r="BE107" s="18">
        <f t="shared" si="34"/>
        <v>703.96576433789357</v>
      </c>
      <c r="BF107" s="8">
        <v>0.34599999999999997</v>
      </c>
      <c r="BG107" s="8">
        <v>0.16</v>
      </c>
      <c r="BH107" s="8">
        <v>0.23899999999999999</v>
      </c>
      <c r="BI107" s="13">
        <f t="shared" si="27"/>
        <v>0.745</v>
      </c>
      <c r="BJ107" s="14">
        <v>46.5</v>
      </c>
      <c r="BK107" s="14">
        <v>21.4</v>
      </c>
      <c r="BL107" s="14">
        <v>32.1</v>
      </c>
      <c r="BM107" s="16">
        <f t="shared" si="36"/>
        <v>100</v>
      </c>
      <c r="BN107" s="21">
        <f t="shared" si="37"/>
        <v>2.44</v>
      </c>
      <c r="BO107" s="21">
        <f t="shared" si="38"/>
        <v>1.1299999999999999</v>
      </c>
      <c r="BP107" s="21">
        <f t="shared" si="39"/>
        <v>1.68</v>
      </c>
      <c r="BQ107" s="14">
        <f t="shared" si="40"/>
        <v>5.25</v>
      </c>
      <c r="BR107" s="22" t="str">
        <f>IF(OR(AND(X107="Mourões", BQ107&gt;=6.5),AND(X107="Postes", BQ107&gt;=9.6),AND(X107="Dormentes", BQ107&gt;=9.6),AND(X107="Estacas", BQ107&gt;=6.5),AND(X107="Cruzetas", BQ107&gt;=6.5),AND(X107="Outros - Solo", BQ107&gt;=6.5),AND(X107="Outros - Suspenso",BQ107&gt;=4),AND(X107="Deck",BQ107&gt;=4)),'Listas suspensas'!$C$21,'Listas suspensas'!$C$22)</f>
        <v>Os resultados da análise química apresentaram uma retenção do produto inferior ao padrão mínimo exigido pela norma ABNT NBR 16143</v>
      </c>
    </row>
    <row r="108" spans="2:70" x14ac:dyDescent="0.25">
      <c r="B108" s="8" t="s">
        <v>342</v>
      </c>
      <c r="C108" s="8" t="s">
        <v>71</v>
      </c>
      <c r="D108" s="8" t="s">
        <v>240</v>
      </c>
      <c r="F108" s="11">
        <v>45692</v>
      </c>
      <c r="G108" s="11">
        <v>45692</v>
      </c>
      <c r="H108" s="11">
        <v>45695</v>
      </c>
      <c r="I108" s="8" t="s">
        <v>241</v>
      </c>
      <c r="J108" s="8" t="s">
        <v>242</v>
      </c>
      <c r="K108" s="8" t="s">
        <v>243</v>
      </c>
      <c r="L108" s="8" t="s">
        <v>15</v>
      </c>
      <c r="N108" s="8" t="s">
        <v>75</v>
      </c>
      <c r="O108" s="8" t="s">
        <v>94</v>
      </c>
      <c r="P108" s="28" t="s">
        <v>77</v>
      </c>
      <c r="Q108" s="16" t="s">
        <v>343</v>
      </c>
      <c r="X108" s="8" t="s">
        <v>79</v>
      </c>
      <c r="Y108" s="34">
        <f>IF(X108='Listas suspensas'!$A$21,'Listas suspensas'!$B$23,IF(X108='Listas suspensas'!$A$22,'Listas suspensas'!$B$23,IF(X108='Listas suspensas'!$A$23,'Listas suspensas'!$B$22,IF(X108='Listas suspensas'!$A$26,'Listas suspensas'!$B$22,IF(X108='Listas suspensas'!$A$32,'Listas suspensas'!$B$22,IF(X108='Listas suspensas'!$A$33,'Listas suspensas'!$B$21,IF(X108='Listas suspensas'!$A$24,'Listas suspensas'!$B$22,IF(X108='Listas suspensas'!$A$30,'Listas suspensas'!$B$21,""))))))))</f>
        <v>6.5</v>
      </c>
      <c r="Z108" s="8" t="s">
        <v>80</v>
      </c>
      <c r="AA108" s="8">
        <v>2</v>
      </c>
      <c r="AB108" s="8" t="str">
        <f>IF(AA108='Listas suspensas'!$A$2,'Listas suspensas'!$B$2,IF(AA108='Listas suspensas'!$A$3,'Listas suspensas'!$B$3,IF(AA108='Listas suspensas'!$A$4,'Listas suspensas'!$B$4,IF(AA108='Listas suspensas'!$A$5,'Listas suspensas'!$B$5,IF(AA108='Listas suspensas'!$A$6,'Listas suspensas'!$B$6,"")))))</f>
        <v>Profunda e irregular</v>
      </c>
      <c r="AC108" s="8" t="str">
        <f>IF(AA108='Listas suspensas'!$A$2,'Listas suspensas'!$C$2,IF(AA108='Listas suspensas'!$A$3,'Listas suspensas'!$C$3,IF(AA108='Listas suspensas'!$A$4,'Listas suspensas'!$C$4,IF(AA108='Listas suspensas'!$A$5,'Listas suspensas'!$C$5,IF(AA108='Listas suspensas'!$A$6,'Listas suspensas'!$C$6,"")))))</f>
        <v>Indica a penetração profunda, mas desuniforme em toda a extensão do alburno.</v>
      </c>
      <c r="AK108" s="8">
        <v>11.81</v>
      </c>
      <c r="AL108" s="8">
        <v>11.17</v>
      </c>
      <c r="AM108" s="8">
        <v>10.97</v>
      </c>
      <c r="AN108" s="8">
        <v>10.93</v>
      </c>
      <c r="AO108" s="8">
        <v>11.01</v>
      </c>
      <c r="AP108" s="8">
        <f t="shared" si="22"/>
        <v>1.1178000000000001</v>
      </c>
      <c r="AQ108" s="8">
        <v>12.59</v>
      </c>
      <c r="AR108" s="8">
        <v>10.25</v>
      </c>
      <c r="AS108" s="8">
        <v>8.25</v>
      </c>
      <c r="AT108" s="8">
        <v>9.64</v>
      </c>
      <c r="AU108" s="8">
        <v>9.7899999999999991</v>
      </c>
      <c r="AV108" s="8">
        <f t="shared" si="23"/>
        <v>1.0104000000000002</v>
      </c>
      <c r="AW108" s="20">
        <v>0.97219999999999995</v>
      </c>
      <c r="AX108" s="20">
        <v>0.74729999999999996</v>
      </c>
      <c r="AY108" s="20">
        <v>0.63670000000000004</v>
      </c>
      <c r="AZ108" s="20">
        <v>0.70920000000000005</v>
      </c>
      <c r="BA108" s="20">
        <v>0.72009999999999996</v>
      </c>
      <c r="BB108" s="20">
        <f t="shared" si="35"/>
        <v>0.75710000000000011</v>
      </c>
      <c r="BC108" s="20">
        <f t="shared" si="33"/>
        <v>0.99154271822322171</v>
      </c>
      <c r="BE108" s="18">
        <f t="shared" si="34"/>
        <v>763.55762196173725</v>
      </c>
      <c r="BF108" s="8">
        <v>0.35299999999999998</v>
      </c>
      <c r="BG108" s="8">
        <v>0.184</v>
      </c>
      <c r="BH108" s="8">
        <v>0.313</v>
      </c>
      <c r="BI108" s="13">
        <f t="shared" si="27"/>
        <v>0.84999999999999987</v>
      </c>
      <c r="BJ108" s="14">
        <v>41.5</v>
      </c>
      <c r="BK108" s="14">
        <v>21.7</v>
      </c>
      <c r="BL108" s="14">
        <v>36.799999999999997</v>
      </c>
      <c r="BM108" s="16">
        <f t="shared" si="36"/>
        <v>100</v>
      </c>
      <c r="BN108" s="21">
        <f t="shared" si="37"/>
        <v>2.7</v>
      </c>
      <c r="BO108" s="21">
        <f t="shared" si="38"/>
        <v>1.4</v>
      </c>
      <c r="BP108" s="21">
        <f t="shared" si="39"/>
        <v>2.39</v>
      </c>
      <c r="BQ108" s="14">
        <f t="shared" si="40"/>
        <v>6.49</v>
      </c>
      <c r="BR108" s="22" t="str">
        <f>IF(OR(AND(X108="Mourões", BQ108&gt;=6.5),AND(X108="Postes", BQ108&gt;=9.6),AND(X108="Dormentes", BQ108&gt;=9.6),AND(X108="Estacas", BQ108&gt;=6.5),AND(X108="Cruzetas", BQ108&gt;=6.5),AND(X108="Outros - Solo", BQ108&gt;=6.5),AND(X108="Outros - Suspenso",BQ108&gt;=4),AND(X108="Deck",BQ108&gt;=4)),'Listas suspensas'!$C$21,'Listas suspensas'!$C$22)</f>
        <v>Os resultados da análise química apresentaram uma retenção do produto inferior ao padrão mínimo exigido pela norma ABNT NBR 16143</v>
      </c>
    </row>
    <row r="109" spans="2:70" x14ac:dyDescent="0.25">
      <c r="B109" s="8" t="s">
        <v>344</v>
      </c>
      <c r="C109" s="8" t="s">
        <v>71</v>
      </c>
      <c r="D109" s="8" t="s">
        <v>240</v>
      </c>
      <c r="F109" s="11">
        <v>45702</v>
      </c>
      <c r="G109" s="11">
        <v>45705</v>
      </c>
      <c r="H109" s="11">
        <v>45708</v>
      </c>
      <c r="I109" s="8" t="s">
        <v>241</v>
      </c>
      <c r="J109" s="8" t="s">
        <v>242</v>
      </c>
      <c r="K109" s="8" t="s">
        <v>243</v>
      </c>
      <c r="L109" s="8" t="s">
        <v>15</v>
      </c>
      <c r="N109" s="8" t="s">
        <v>75</v>
      </c>
      <c r="O109" s="8" t="s">
        <v>94</v>
      </c>
      <c r="P109" s="28" t="s">
        <v>77</v>
      </c>
      <c r="Q109" s="16" t="s">
        <v>345</v>
      </c>
      <c r="X109" s="8" t="s">
        <v>79</v>
      </c>
      <c r="Y109" s="34">
        <f>IF(X109='Listas suspensas'!$A$21,'Listas suspensas'!$B$23,IF(X109='Listas suspensas'!$A$22,'Listas suspensas'!$B$23,IF(X109='Listas suspensas'!$A$23,'Listas suspensas'!$B$22,IF(X109='Listas suspensas'!$A$26,'Listas suspensas'!$B$22,IF(X109='Listas suspensas'!$A$32,'Listas suspensas'!$B$22,IF(X109='Listas suspensas'!$A$33,'Listas suspensas'!$B$21,IF(X109='Listas suspensas'!$A$24,'Listas suspensas'!$B$22,IF(X109='Listas suspensas'!$A$30,'Listas suspensas'!$B$21,""))))))))</f>
        <v>6.5</v>
      </c>
      <c r="Z109" s="8" t="s">
        <v>80</v>
      </c>
      <c r="AA109" s="8">
        <v>2</v>
      </c>
      <c r="AB109" s="8" t="str">
        <f>IF(AA109='Listas suspensas'!$A$2,'Listas suspensas'!$B$2,IF(AA109='Listas suspensas'!$A$3,'Listas suspensas'!$B$3,IF(AA109='Listas suspensas'!$A$4,'Listas suspensas'!$B$4,IF(AA109='Listas suspensas'!$A$5,'Listas suspensas'!$B$5,IF(AA109='Listas suspensas'!$A$6,'Listas suspensas'!$B$6,"")))))</f>
        <v>Profunda e irregular</v>
      </c>
      <c r="AC109" s="8" t="str">
        <f>IF(AA109='Listas suspensas'!$A$2,'Listas suspensas'!$C$2,IF(AA109='Listas suspensas'!$A$3,'Listas suspensas'!$C$3,IF(AA109='Listas suspensas'!$A$4,'Listas suspensas'!$C$4,IF(AA109='Listas suspensas'!$A$5,'Listas suspensas'!$C$5,IF(AA109='Listas suspensas'!$A$6,'Listas suspensas'!$C$6,"")))))</f>
        <v>Indica a penetração profunda, mas desuniforme em toda a extensão do alburno.</v>
      </c>
      <c r="AK109" s="8">
        <v>11.2</v>
      </c>
      <c r="AL109" s="8">
        <v>11.12</v>
      </c>
      <c r="AM109" s="8">
        <v>11.14</v>
      </c>
      <c r="AN109" s="8">
        <v>11.05</v>
      </c>
      <c r="AO109" s="8">
        <v>10.99</v>
      </c>
      <c r="AP109" s="8">
        <f t="shared" si="22"/>
        <v>1.1100000000000001</v>
      </c>
      <c r="AQ109" s="8">
        <v>11.77</v>
      </c>
      <c r="AR109" s="8">
        <v>12.4</v>
      </c>
      <c r="AS109" s="8">
        <v>11.15</v>
      </c>
      <c r="AT109" s="8">
        <v>12.02</v>
      </c>
      <c r="AU109" s="8">
        <v>10.79</v>
      </c>
      <c r="AV109" s="8">
        <f t="shared" si="23"/>
        <v>1.1626000000000001</v>
      </c>
      <c r="AW109" s="20">
        <v>1.0387</v>
      </c>
      <c r="AX109" s="20">
        <v>1.0246999999999999</v>
      </c>
      <c r="AY109" s="20">
        <v>0.91749999999999998</v>
      </c>
      <c r="AZ109" s="20">
        <v>0.92249999999999999</v>
      </c>
      <c r="BA109" s="20">
        <v>0.91590000000000005</v>
      </c>
      <c r="BB109" s="20">
        <f t="shared" si="35"/>
        <v>0.96385999999999983</v>
      </c>
      <c r="BC109" s="20">
        <f t="shared" si="33"/>
        <v>1.1250353210620327</v>
      </c>
      <c r="BE109" s="18">
        <f t="shared" si="34"/>
        <v>856.73754588444069</v>
      </c>
      <c r="BF109" s="8">
        <v>0.47499999999999998</v>
      </c>
      <c r="BG109" s="8">
        <v>0.23699999999999999</v>
      </c>
      <c r="BH109" s="8">
        <v>0.45200000000000001</v>
      </c>
      <c r="BI109" s="13">
        <f t="shared" si="27"/>
        <v>1.1639999999999999</v>
      </c>
      <c r="BJ109" s="14">
        <v>40.799999999999997</v>
      </c>
      <c r="BK109" s="14">
        <v>20.399999999999999</v>
      </c>
      <c r="BL109" s="14">
        <v>38.799999999999997</v>
      </c>
      <c r="BM109" s="16">
        <f t="shared" si="36"/>
        <v>100</v>
      </c>
      <c r="BN109" s="21">
        <f t="shared" si="37"/>
        <v>4.07</v>
      </c>
      <c r="BO109" s="21">
        <f t="shared" si="38"/>
        <v>2.0299999999999998</v>
      </c>
      <c r="BP109" s="21">
        <f t="shared" si="39"/>
        <v>3.87</v>
      </c>
      <c r="BQ109" s="14">
        <f t="shared" si="40"/>
        <v>9.9700000000000006</v>
      </c>
      <c r="BR109" s="22" t="str">
        <f>IF(OR(AND(X109="Mourões", BQ109&gt;=6.5),AND(X109="Postes", BQ109&gt;=9.6),AND(X109="Dormentes", BQ109&gt;=9.6),AND(X109="Estacas", BQ109&gt;=6.5),AND(X109="Cruzetas", BQ109&gt;=6.5),AND(X109="Outros - Solo", BQ109&gt;=6.5),AND(X109="Outros - Suspenso",BQ109&gt;=4),AND(X109="Deck",BQ109&gt;=4)),'Listas suspensas'!$C$21,'Listas suspensas'!$C$22)</f>
        <v>Os resultados da análise química apresentaram uma retenção do produto de acordo com o padrão mínimo exigido pela norma ABNT NBR 16143</v>
      </c>
    </row>
    <row r="110" spans="2:70" x14ac:dyDescent="0.25">
      <c r="B110" s="8" t="s">
        <v>346</v>
      </c>
      <c r="C110" s="8" t="s">
        <v>71</v>
      </c>
      <c r="D110" s="8" t="s">
        <v>240</v>
      </c>
      <c r="F110" s="11">
        <v>45702</v>
      </c>
      <c r="G110" s="11">
        <v>45705</v>
      </c>
      <c r="H110" s="11">
        <v>45708</v>
      </c>
      <c r="I110" s="8" t="s">
        <v>241</v>
      </c>
      <c r="J110" s="8" t="s">
        <v>242</v>
      </c>
      <c r="K110" s="8" t="s">
        <v>243</v>
      </c>
      <c r="L110" s="8" t="s">
        <v>15</v>
      </c>
      <c r="N110" s="8" t="s">
        <v>75</v>
      </c>
      <c r="O110" s="8" t="s">
        <v>94</v>
      </c>
      <c r="P110" s="28" t="s">
        <v>77</v>
      </c>
      <c r="Q110" s="16" t="s">
        <v>347</v>
      </c>
      <c r="X110" s="8" t="s">
        <v>79</v>
      </c>
      <c r="Y110" s="34">
        <f>IF(X110='Listas suspensas'!$A$21,'Listas suspensas'!$B$23,IF(X110='Listas suspensas'!$A$22,'Listas suspensas'!$B$23,IF(X110='Listas suspensas'!$A$23,'Listas suspensas'!$B$22,IF(X110='Listas suspensas'!$A$26,'Listas suspensas'!$B$22,IF(X110='Listas suspensas'!$A$32,'Listas suspensas'!$B$22,IF(X110='Listas suspensas'!$A$33,'Listas suspensas'!$B$21,IF(X110='Listas suspensas'!$A$24,'Listas suspensas'!$B$22,IF(X110='Listas suspensas'!$A$30,'Listas suspensas'!$B$21,""))))))))</f>
        <v>6.5</v>
      </c>
      <c r="Z110" s="8" t="s">
        <v>80</v>
      </c>
      <c r="AA110" s="8">
        <v>2</v>
      </c>
      <c r="AB110" s="8" t="str">
        <f>IF(AA110='Listas suspensas'!$A$2,'Listas suspensas'!$B$2,IF(AA110='Listas suspensas'!$A$3,'Listas suspensas'!$B$3,IF(AA110='Listas suspensas'!$A$4,'Listas suspensas'!$B$4,IF(AA110='Listas suspensas'!$A$5,'Listas suspensas'!$B$5,IF(AA110='Listas suspensas'!$A$6,'Listas suspensas'!$B$6,"")))))</f>
        <v>Profunda e irregular</v>
      </c>
      <c r="AC110" s="8" t="str">
        <f>IF(AA110='Listas suspensas'!$A$2,'Listas suspensas'!$C$2,IF(AA110='Listas suspensas'!$A$3,'Listas suspensas'!$C$3,IF(AA110='Listas suspensas'!$A$4,'Listas suspensas'!$C$4,IF(AA110='Listas suspensas'!$A$5,'Listas suspensas'!$C$5,IF(AA110='Listas suspensas'!$A$6,'Listas suspensas'!$C$6,"")))))</f>
        <v>Indica a penetração profunda, mas desuniforme em toda a extensão do alburno.</v>
      </c>
      <c r="AK110" s="8">
        <v>10.96</v>
      </c>
      <c r="AL110" s="8">
        <v>10.82</v>
      </c>
      <c r="AM110" s="8">
        <v>10.73</v>
      </c>
      <c r="AN110" s="8">
        <v>10.84</v>
      </c>
      <c r="AO110" s="8">
        <v>10.83</v>
      </c>
      <c r="AP110" s="8">
        <f t="shared" si="22"/>
        <v>1.0836000000000001</v>
      </c>
      <c r="AQ110" s="8">
        <v>16.010000000000002</v>
      </c>
      <c r="AR110" s="8">
        <v>16.48</v>
      </c>
      <c r="AS110" s="8">
        <v>19.55</v>
      </c>
      <c r="AT110" s="8">
        <v>17.88</v>
      </c>
      <c r="AU110" s="8">
        <v>17.29</v>
      </c>
      <c r="AV110" s="8">
        <f t="shared" si="23"/>
        <v>1.7442</v>
      </c>
      <c r="AW110" s="20">
        <v>1.4144000000000001</v>
      </c>
      <c r="AX110" s="20">
        <v>1.3945000000000001</v>
      </c>
      <c r="AY110" s="20">
        <v>1.6991000000000001</v>
      </c>
      <c r="AZ110" s="20">
        <v>1.4951000000000001</v>
      </c>
      <c r="BA110" s="20">
        <v>1.4246000000000001</v>
      </c>
      <c r="BB110" s="20">
        <f t="shared" si="35"/>
        <v>1.4855400000000001</v>
      </c>
      <c r="BC110" s="20">
        <f t="shared" si="33"/>
        <v>1.6085114482192697</v>
      </c>
      <c r="BE110" s="18">
        <f t="shared" si="34"/>
        <v>923.54953497197221</v>
      </c>
      <c r="BF110" s="8">
        <v>0.47799999999999998</v>
      </c>
      <c r="BG110" s="8">
        <v>0.253</v>
      </c>
      <c r="BH110" s="8">
        <v>0.498</v>
      </c>
      <c r="BI110" s="13">
        <f t="shared" si="27"/>
        <v>1.2290000000000001</v>
      </c>
      <c r="BJ110" s="14">
        <v>38.9</v>
      </c>
      <c r="BK110" s="14">
        <v>20.6</v>
      </c>
      <c r="BL110" s="14">
        <v>40.5</v>
      </c>
      <c r="BM110" s="16">
        <f t="shared" si="36"/>
        <v>100</v>
      </c>
      <c r="BN110" s="21">
        <f t="shared" si="37"/>
        <v>4.41</v>
      </c>
      <c r="BO110" s="21">
        <f t="shared" si="38"/>
        <v>2.34</v>
      </c>
      <c r="BP110" s="21">
        <f t="shared" si="39"/>
        <v>4.5999999999999996</v>
      </c>
      <c r="BQ110" s="14">
        <f t="shared" si="40"/>
        <v>11.35</v>
      </c>
      <c r="BR110" s="22" t="str">
        <f>IF(OR(AND(X110="Mourões", BQ110&gt;=6.5),AND(X110="Postes", BQ110&gt;=9.6),AND(X110="Dormentes", BQ110&gt;=9.6),AND(X110="Estacas", BQ110&gt;=6.5),AND(X110="Cruzetas", BQ110&gt;=6.5),AND(X110="Outros - Solo", BQ110&gt;=6.5),AND(X110="Outros - Suspenso",BQ110&gt;=4),AND(X110="Deck",BQ110&gt;=4)),'Listas suspensas'!$C$21,'Listas suspensas'!$C$22)</f>
        <v>Os resultados da análise química apresentaram uma retenção do produto de acordo com o padrão mínimo exigido pela norma ABNT NBR 16143</v>
      </c>
    </row>
    <row r="111" spans="2:70" x14ac:dyDescent="0.25">
      <c r="B111" s="8" t="s">
        <v>348</v>
      </c>
      <c r="C111" s="8" t="s">
        <v>71</v>
      </c>
      <c r="D111" s="8" t="s">
        <v>240</v>
      </c>
      <c r="F111" s="11">
        <v>45702</v>
      </c>
      <c r="G111" s="11">
        <v>45705</v>
      </c>
      <c r="H111" s="11">
        <v>45708</v>
      </c>
      <c r="I111" s="8" t="s">
        <v>241</v>
      </c>
      <c r="J111" s="8" t="s">
        <v>242</v>
      </c>
      <c r="K111" s="8" t="s">
        <v>243</v>
      </c>
      <c r="L111" s="8" t="s">
        <v>15</v>
      </c>
      <c r="N111" s="8" t="s">
        <v>75</v>
      </c>
      <c r="O111" s="8" t="s">
        <v>94</v>
      </c>
      <c r="P111" s="28" t="s">
        <v>77</v>
      </c>
      <c r="Q111" s="16" t="s">
        <v>349</v>
      </c>
      <c r="X111" s="8" t="s">
        <v>79</v>
      </c>
      <c r="Y111" s="34">
        <f>IF(X111='Listas suspensas'!$A$21,'Listas suspensas'!$B$23,IF(X111='Listas suspensas'!$A$22,'Listas suspensas'!$B$23,IF(X111='Listas suspensas'!$A$23,'Listas suspensas'!$B$22,IF(X111='Listas suspensas'!$A$26,'Listas suspensas'!$B$22,IF(X111='Listas suspensas'!$A$32,'Listas suspensas'!$B$22,IF(X111='Listas suspensas'!$A$33,'Listas suspensas'!$B$21,IF(X111='Listas suspensas'!$A$24,'Listas suspensas'!$B$22,IF(X111='Listas suspensas'!$A$30,'Listas suspensas'!$B$21,""))))))))</f>
        <v>6.5</v>
      </c>
      <c r="Z111" s="8" t="s">
        <v>80</v>
      </c>
      <c r="AA111" s="8">
        <v>3</v>
      </c>
      <c r="AB111" s="8" t="str">
        <f>IF(AA111='Listas suspensas'!$A$2,'Listas suspensas'!$B$2,IF(AA111='Listas suspensas'!$A$3,'Listas suspensas'!$B$3,IF(AA111='Listas suspensas'!$A$4,'Listas suspensas'!$B$4,IF(AA111='Listas suspensas'!$A$5,'Listas suspensas'!$B$5,IF(AA111='Listas suspensas'!$A$6,'Listas suspensas'!$B$6,"")))))</f>
        <v xml:space="preserve"> Parcial e regular</v>
      </c>
      <c r="AC111" s="8" t="str">
        <f>IF(AA111='Listas suspensas'!$A$2,'Listas suspensas'!$C$2,IF(AA111='Listas suspensas'!$A$3,'Listas suspensas'!$C$3,IF(AA111='Listas suspensas'!$A$4,'Listas suspensas'!$C$4,IF(AA111='Listas suspensas'!$A$5,'Listas suspensas'!$C$5,IF(AA111='Listas suspensas'!$A$6,'Listas suspensas'!$C$6,"")))))</f>
        <v>Indica a penetração uniforme, mas não total pela extensão do alburno.</v>
      </c>
      <c r="AK111" s="8">
        <v>10.79</v>
      </c>
      <c r="AL111" s="8">
        <v>10.85</v>
      </c>
      <c r="AM111" s="8">
        <v>10.75</v>
      </c>
      <c r="AN111" s="8">
        <v>10.78</v>
      </c>
      <c r="AO111" s="8">
        <v>10.79</v>
      </c>
      <c r="AP111" s="8">
        <f t="shared" si="22"/>
        <v>1.0791999999999999</v>
      </c>
      <c r="AQ111" s="8">
        <v>15.24</v>
      </c>
      <c r="AR111" s="8">
        <v>15.09</v>
      </c>
      <c r="AS111" s="8">
        <v>15.7</v>
      </c>
      <c r="AT111" s="8">
        <v>15.59</v>
      </c>
      <c r="AU111" s="8">
        <v>15.37</v>
      </c>
      <c r="AV111" s="8">
        <f t="shared" si="23"/>
        <v>1.5398000000000001</v>
      </c>
      <c r="AW111" s="20">
        <v>1.2646999999999999</v>
      </c>
      <c r="AX111" s="20">
        <v>1.2876000000000001</v>
      </c>
      <c r="AY111" s="20">
        <v>1.3460000000000001</v>
      </c>
      <c r="AZ111" s="20">
        <v>1.3333999999999999</v>
      </c>
      <c r="BA111" s="20">
        <v>1.3109</v>
      </c>
      <c r="BB111" s="20">
        <f t="shared" si="35"/>
        <v>1.3085200000000001</v>
      </c>
      <c r="BC111" s="20">
        <f t="shared" si="33"/>
        <v>1.4085039523690133</v>
      </c>
      <c r="BE111" s="18">
        <f t="shared" si="34"/>
        <v>929.01407752470527</v>
      </c>
      <c r="BF111" s="8">
        <v>0.32800000000000001</v>
      </c>
      <c r="BG111" s="8">
        <v>0.17599999999999999</v>
      </c>
      <c r="BH111" s="8">
        <v>0.32</v>
      </c>
      <c r="BI111" s="13">
        <f t="shared" si="27"/>
        <v>0.82400000000000007</v>
      </c>
      <c r="BJ111" s="14">
        <v>39.799999999999997</v>
      </c>
      <c r="BK111" s="14">
        <v>21.3</v>
      </c>
      <c r="BL111" s="14">
        <v>38.9</v>
      </c>
      <c r="BM111" s="16">
        <f t="shared" si="36"/>
        <v>100</v>
      </c>
      <c r="BN111" s="21">
        <f t="shared" si="37"/>
        <v>3.05</v>
      </c>
      <c r="BO111" s="21">
        <f t="shared" si="38"/>
        <v>1.64</v>
      </c>
      <c r="BP111" s="21">
        <f t="shared" si="39"/>
        <v>2.97</v>
      </c>
      <c r="BQ111" s="14">
        <f t="shared" si="40"/>
        <v>7.66</v>
      </c>
      <c r="BR111" s="22" t="str">
        <f>IF(OR(AND(X111="Mourões", BQ111&gt;=6.5),AND(X111="Postes", BQ111&gt;=9.6),AND(X111="Dormentes", BQ111&gt;=9.6),AND(X111="Estacas", BQ111&gt;=6.5),AND(X111="Cruzetas", BQ111&gt;=6.5),AND(X111="Outros - Solo", BQ111&gt;=6.5),AND(X111="Outros - Suspenso",BQ111&gt;=4),AND(X111="Deck",BQ111&gt;=4)),'Listas suspensas'!$C$21,'Listas suspensas'!$C$22)</f>
        <v>Os resultados da análise química apresentaram uma retenção do produto de acordo com o padrão mínimo exigido pela norma ABNT NBR 16143</v>
      </c>
    </row>
    <row r="112" spans="2:70" x14ac:dyDescent="0.25">
      <c r="B112" s="8" t="s">
        <v>350</v>
      </c>
      <c r="C112" s="8" t="s">
        <v>71</v>
      </c>
      <c r="D112" s="8" t="s">
        <v>240</v>
      </c>
      <c r="F112" s="11">
        <v>45702</v>
      </c>
      <c r="G112" s="11">
        <v>45705</v>
      </c>
      <c r="H112" s="11">
        <v>45708</v>
      </c>
      <c r="I112" s="8" t="s">
        <v>241</v>
      </c>
      <c r="J112" s="8" t="s">
        <v>242</v>
      </c>
      <c r="K112" s="8" t="s">
        <v>243</v>
      </c>
      <c r="L112" s="8" t="s">
        <v>15</v>
      </c>
      <c r="N112" s="8" t="s">
        <v>75</v>
      </c>
      <c r="O112" s="8" t="s">
        <v>94</v>
      </c>
      <c r="P112" s="28" t="s">
        <v>77</v>
      </c>
      <c r="Q112" s="16" t="s">
        <v>351</v>
      </c>
      <c r="X112" s="8" t="s">
        <v>79</v>
      </c>
      <c r="Y112" s="34">
        <f>IF(X112='Listas suspensas'!$A$21,'Listas suspensas'!$B$23,IF(X112='Listas suspensas'!$A$22,'Listas suspensas'!$B$23,IF(X112='Listas suspensas'!$A$23,'Listas suspensas'!$B$22,IF(X112='Listas suspensas'!$A$26,'Listas suspensas'!$B$22,IF(X112='Listas suspensas'!$A$32,'Listas suspensas'!$B$22,IF(X112='Listas suspensas'!$A$33,'Listas suspensas'!$B$21,IF(X112='Listas suspensas'!$A$24,'Listas suspensas'!$B$22,IF(X112='Listas suspensas'!$A$30,'Listas suspensas'!$B$21,""))))))))</f>
        <v>6.5</v>
      </c>
      <c r="Z112" s="8" t="s">
        <v>80</v>
      </c>
      <c r="AA112" s="8">
        <v>4</v>
      </c>
      <c r="AB112" s="8" t="str">
        <f>IF(AA112='Listas suspensas'!$A$2,'Listas suspensas'!$B$2,IF(AA112='Listas suspensas'!$A$3,'Listas suspensas'!$B$3,IF(AA112='Listas suspensas'!$A$4,'Listas suspensas'!$B$4,IF(AA112='Listas suspensas'!$A$5,'Listas suspensas'!$B$5,IF(AA112='Listas suspensas'!$A$6,'Listas suspensas'!$B$6,"")))))</f>
        <v>Parcial e irregular</v>
      </c>
      <c r="AC112" s="8" t="str">
        <f>IF(AA112='Listas suspensas'!$A$2,'Listas suspensas'!$C$2,IF(AA112='Listas suspensas'!$A$3,'Listas suspensas'!$C$3,IF(AA112='Listas suspensas'!$A$4,'Listas suspensas'!$C$4,IF(AA112='Listas suspensas'!$A$5,'Listas suspensas'!$C$5,IF(AA112='Listas suspensas'!$A$6,'Listas suspensas'!$C$6,"")))))</f>
        <v>Indica a penetração desuniforme e não total pela extensão do alburno.</v>
      </c>
      <c r="AK112" s="8">
        <v>11.24</v>
      </c>
      <c r="AL112" s="8">
        <v>11.29</v>
      </c>
      <c r="AM112" s="8">
        <v>11.36</v>
      </c>
      <c r="AN112" s="8">
        <v>11.41</v>
      </c>
      <c r="AO112" s="8">
        <v>11.35</v>
      </c>
      <c r="AP112" s="8">
        <f t="shared" si="22"/>
        <v>1.133</v>
      </c>
      <c r="AQ112" s="8">
        <v>13.91</v>
      </c>
      <c r="AR112" s="8">
        <v>13.97</v>
      </c>
      <c r="AS112" s="8">
        <v>14.07</v>
      </c>
      <c r="AT112" s="8">
        <v>12.65</v>
      </c>
      <c r="AU112" s="8">
        <v>10.5</v>
      </c>
      <c r="AV112" s="8">
        <f t="shared" si="23"/>
        <v>1.302</v>
      </c>
      <c r="AW112" s="20">
        <v>1.1581999999999999</v>
      </c>
      <c r="AX112" s="20">
        <v>1.2271000000000001</v>
      </c>
      <c r="AY112" s="20">
        <v>1.2303999999999999</v>
      </c>
      <c r="AZ112" s="20">
        <v>1.1494</v>
      </c>
      <c r="BA112" s="20">
        <v>0.98350000000000004</v>
      </c>
      <c r="BB112" s="20">
        <f t="shared" si="35"/>
        <v>1.1497200000000001</v>
      </c>
      <c r="BC112" s="20">
        <f t="shared" si="33"/>
        <v>1.3126854918315061</v>
      </c>
      <c r="BE112" s="18">
        <f t="shared" si="34"/>
        <v>875.85336103309055</v>
      </c>
      <c r="BF112" s="8">
        <v>0.188</v>
      </c>
      <c r="BG112" s="8">
        <v>6.9000000000000006E-2</v>
      </c>
      <c r="BH112" s="8">
        <v>0.156</v>
      </c>
      <c r="BI112" s="13">
        <f t="shared" si="27"/>
        <v>0.41300000000000003</v>
      </c>
      <c r="BJ112" s="14">
        <v>45.5</v>
      </c>
      <c r="BK112" s="14">
        <v>16.7</v>
      </c>
      <c r="BL112" s="14">
        <v>37.799999999999997</v>
      </c>
      <c r="BM112" s="16">
        <f t="shared" si="36"/>
        <v>100</v>
      </c>
      <c r="BN112" s="21">
        <f t="shared" si="37"/>
        <v>1.65</v>
      </c>
      <c r="BO112" s="21">
        <f t="shared" si="38"/>
        <v>0.6</v>
      </c>
      <c r="BP112" s="21">
        <f t="shared" si="39"/>
        <v>1.37</v>
      </c>
      <c r="BQ112" s="14">
        <f t="shared" si="40"/>
        <v>3.62</v>
      </c>
      <c r="BR112" s="22" t="str">
        <f>IF(OR(AND(X112="Mourões", BQ112&gt;=6.5),AND(X112="Postes", BQ112&gt;=9.6),AND(X112="Dormentes", BQ112&gt;=9.6),AND(X112="Estacas", BQ112&gt;=6.5),AND(X112="Cruzetas", BQ112&gt;=6.5),AND(X112="Outros - Solo", BQ112&gt;=6.5),AND(X112="Outros - Suspenso",BQ112&gt;=4),AND(X112="Deck",BQ112&gt;=4)),'Listas suspensas'!$C$21,'Listas suspensas'!$C$22)</f>
        <v>Os resultados da análise química apresentaram uma retenção do produto inferior ao padrão mínimo exigido pela norma ABNT NBR 16143</v>
      </c>
    </row>
    <row r="113" spans="2:70" x14ac:dyDescent="0.25">
      <c r="B113" s="8" t="s">
        <v>352</v>
      </c>
      <c r="C113" s="8" t="s">
        <v>71</v>
      </c>
      <c r="D113" s="8" t="s">
        <v>240</v>
      </c>
      <c r="F113" s="11">
        <v>45702</v>
      </c>
      <c r="G113" s="11">
        <v>45705</v>
      </c>
      <c r="H113" s="11">
        <v>45708</v>
      </c>
      <c r="I113" s="8" t="s">
        <v>241</v>
      </c>
      <c r="J113" s="8" t="s">
        <v>242</v>
      </c>
      <c r="K113" s="8" t="s">
        <v>243</v>
      </c>
      <c r="L113" s="8" t="s">
        <v>15</v>
      </c>
      <c r="N113" s="8" t="s">
        <v>75</v>
      </c>
      <c r="O113" s="8" t="s">
        <v>94</v>
      </c>
      <c r="P113" s="28" t="s">
        <v>77</v>
      </c>
      <c r="Q113" s="16" t="s">
        <v>353</v>
      </c>
      <c r="X113" s="8" t="s">
        <v>79</v>
      </c>
      <c r="Y113" s="34">
        <f>IF(X113='Listas suspensas'!$A$21,'Listas suspensas'!$B$23,IF(X113='Listas suspensas'!$A$22,'Listas suspensas'!$B$23,IF(X113='Listas suspensas'!$A$23,'Listas suspensas'!$B$22,IF(X113='Listas suspensas'!$A$26,'Listas suspensas'!$B$22,IF(X113='Listas suspensas'!$A$32,'Listas suspensas'!$B$22,IF(X113='Listas suspensas'!$A$33,'Listas suspensas'!$B$21,IF(X113='Listas suspensas'!$A$24,'Listas suspensas'!$B$22,IF(X113='Listas suspensas'!$A$30,'Listas suspensas'!$B$21,""))))))))</f>
        <v>6.5</v>
      </c>
      <c r="Z113" s="8" t="s">
        <v>80</v>
      </c>
      <c r="AA113" s="8">
        <v>3</v>
      </c>
      <c r="AB113" s="8" t="str">
        <f>IF(AA113='Listas suspensas'!$A$2,'Listas suspensas'!$B$2,IF(AA113='Listas suspensas'!$A$3,'Listas suspensas'!$B$3,IF(AA113='Listas suspensas'!$A$4,'Listas suspensas'!$B$4,IF(AA113='Listas suspensas'!$A$5,'Listas suspensas'!$B$5,IF(AA113='Listas suspensas'!$A$6,'Listas suspensas'!$B$6,"")))))</f>
        <v xml:space="preserve"> Parcial e regular</v>
      </c>
      <c r="AC113" s="8" t="str">
        <f>IF(AA113='Listas suspensas'!$A$2,'Listas suspensas'!$C$2,IF(AA113='Listas suspensas'!$A$3,'Listas suspensas'!$C$3,IF(AA113='Listas suspensas'!$A$4,'Listas suspensas'!$C$4,IF(AA113='Listas suspensas'!$A$5,'Listas suspensas'!$C$5,IF(AA113='Listas suspensas'!$A$6,'Listas suspensas'!$C$6,"")))))</f>
        <v>Indica a penetração uniforme, mas não total pela extensão do alburno.</v>
      </c>
      <c r="AK113" s="8">
        <v>10.89</v>
      </c>
      <c r="AL113" s="8">
        <v>10.85</v>
      </c>
      <c r="AM113" s="8">
        <v>10.95</v>
      </c>
      <c r="AN113" s="8">
        <v>10.82</v>
      </c>
      <c r="AO113" s="8">
        <v>10.92</v>
      </c>
      <c r="AP113" s="8">
        <f t="shared" si="22"/>
        <v>1.0886</v>
      </c>
      <c r="AQ113" s="8">
        <v>14.82</v>
      </c>
      <c r="AR113" s="8">
        <v>13.31</v>
      </c>
      <c r="AS113" s="8">
        <v>15.8</v>
      </c>
      <c r="AT113" s="8">
        <v>13.77</v>
      </c>
      <c r="AU113" s="8">
        <v>9.44</v>
      </c>
      <c r="AV113" s="8">
        <f t="shared" si="23"/>
        <v>1.3428</v>
      </c>
      <c r="AW113" s="20">
        <v>1.3164</v>
      </c>
      <c r="AX113" s="20">
        <v>1.1379999999999999</v>
      </c>
      <c r="AY113" s="20">
        <v>1.4012</v>
      </c>
      <c r="AZ113" s="20">
        <v>1.2426999999999999</v>
      </c>
      <c r="BA113" s="20">
        <v>0.83830000000000005</v>
      </c>
      <c r="BB113" s="20">
        <f t="shared" si="35"/>
        <v>1.1873200000000002</v>
      </c>
      <c r="BC113" s="20">
        <f t="shared" si="33"/>
        <v>1.2497923842123451</v>
      </c>
      <c r="BE113" s="18">
        <f t="shared" si="34"/>
        <v>950.01379028908332</v>
      </c>
      <c r="BF113" s="8">
        <v>0.39400000000000002</v>
      </c>
      <c r="BG113" s="8">
        <v>0.20300000000000001</v>
      </c>
      <c r="BH113" s="8">
        <v>0.39</v>
      </c>
      <c r="BI113" s="13">
        <f t="shared" si="27"/>
        <v>0.98699999999999999</v>
      </c>
      <c r="BJ113" s="14">
        <v>39.9</v>
      </c>
      <c r="BK113" s="14">
        <v>20.6</v>
      </c>
      <c r="BL113" s="14">
        <v>39.5</v>
      </c>
      <c r="BM113" s="16">
        <f t="shared" si="36"/>
        <v>100</v>
      </c>
      <c r="BN113" s="21">
        <f t="shared" si="37"/>
        <v>3.74</v>
      </c>
      <c r="BO113" s="21">
        <f t="shared" si="38"/>
        <v>1.93</v>
      </c>
      <c r="BP113" s="21">
        <f t="shared" si="39"/>
        <v>3.71</v>
      </c>
      <c r="BQ113" s="14">
        <f t="shared" si="40"/>
        <v>9.3800000000000008</v>
      </c>
      <c r="BR113" s="22" t="str">
        <f>IF(OR(AND(X113="Mourões", BQ113&gt;=6.5),AND(X113="Postes", BQ113&gt;=9.6),AND(X113="Dormentes", BQ113&gt;=9.6),AND(X113="Estacas", BQ113&gt;=6.5),AND(X113="Cruzetas", BQ113&gt;=6.5),AND(X113="Outros - Solo", BQ113&gt;=6.5),AND(X113="Outros - Suspenso",BQ113&gt;=4),AND(X113="Deck",BQ113&gt;=4)),'Listas suspensas'!$C$21,'Listas suspensas'!$C$22)</f>
        <v>Os resultados da análise química apresentaram uma retenção do produto de acordo com o padrão mínimo exigido pela norma ABNT NBR 16143</v>
      </c>
    </row>
    <row r="114" spans="2:70" x14ac:dyDescent="0.25">
      <c r="B114" s="8" t="s">
        <v>354</v>
      </c>
      <c r="C114" s="8" t="s">
        <v>71</v>
      </c>
      <c r="D114" s="8" t="s">
        <v>240</v>
      </c>
      <c r="F114" s="11">
        <v>45702</v>
      </c>
      <c r="G114" s="11">
        <v>45705</v>
      </c>
      <c r="H114" s="11">
        <v>45708</v>
      </c>
      <c r="I114" s="8" t="s">
        <v>241</v>
      </c>
      <c r="J114" s="8" t="s">
        <v>242</v>
      </c>
      <c r="K114" s="8" t="s">
        <v>243</v>
      </c>
      <c r="L114" s="8" t="s">
        <v>15</v>
      </c>
      <c r="N114" s="8" t="s">
        <v>75</v>
      </c>
      <c r="O114" s="8" t="s">
        <v>94</v>
      </c>
      <c r="P114" s="28" t="s">
        <v>77</v>
      </c>
      <c r="Q114" s="16" t="s">
        <v>355</v>
      </c>
      <c r="X114" s="8" t="s">
        <v>79</v>
      </c>
      <c r="Y114" s="34">
        <f>IF(X114='Listas suspensas'!$A$21,'Listas suspensas'!$B$23,IF(X114='Listas suspensas'!$A$22,'Listas suspensas'!$B$23,IF(X114='Listas suspensas'!$A$23,'Listas suspensas'!$B$22,IF(X114='Listas suspensas'!$A$26,'Listas suspensas'!$B$22,IF(X114='Listas suspensas'!$A$32,'Listas suspensas'!$B$22,IF(X114='Listas suspensas'!$A$33,'Listas suspensas'!$B$21,IF(X114='Listas suspensas'!$A$24,'Listas suspensas'!$B$22,IF(X114='Listas suspensas'!$A$30,'Listas suspensas'!$B$21,""))))))))</f>
        <v>6.5</v>
      </c>
      <c r="Z114" s="8" t="s">
        <v>80</v>
      </c>
      <c r="AA114" s="8">
        <v>3</v>
      </c>
      <c r="AB114" s="8" t="str">
        <f>IF(AA114='Listas suspensas'!$A$2,'Listas suspensas'!$B$2,IF(AA114='Listas suspensas'!$A$3,'Listas suspensas'!$B$3,IF(AA114='Listas suspensas'!$A$4,'Listas suspensas'!$B$4,IF(AA114='Listas suspensas'!$A$5,'Listas suspensas'!$B$5,IF(AA114='Listas suspensas'!$A$6,'Listas suspensas'!$B$6,"")))))</f>
        <v xml:space="preserve"> Parcial e regular</v>
      </c>
      <c r="AC114" s="8" t="str">
        <f>IF(AA114='Listas suspensas'!$A$2,'Listas suspensas'!$C$2,IF(AA114='Listas suspensas'!$A$3,'Listas suspensas'!$C$3,IF(AA114='Listas suspensas'!$A$4,'Listas suspensas'!$C$4,IF(AA114='Listas suspensas'!$A$5,'Listas suspensas'!$C$5,IF(AA114='Listas suspensas'!$A$6,'Listas suspensas'!$C$6,"")))))</f>
        <v>Indica a penetração uniforme, mas não total pela extensão do alburno.</v>
      </c>
      <c r="AK114" s="8">
        <v>10.87</v>
      </c>
      <c r="AL114" s="8">
        <v>10.93</v>
      </c>
      <c r="AM114" s="8">
        <v>10.98</v>
      </c>
      <c r="AN114" s="8">
        <v>10.9</v>
      </c>
      <c r="AO114" s="8">
        <v>11.09</v>
      </c>
      <c r="AP114" s="8">
        <f t="shared" si="22"/>
        <v>1.0953999999999999</v>
      </c>
      <c r="AQ114" s="8">
        <v>12.48</v>
      </c>
      <c r="AR114" s="8">
        <v>11.6</v>
      </c>
      <c r="AS114" s="8">
        <v>12.33</v>
      </c>
      <c r="AT114" s="8">
        <v>12.99</v>
      </c>
      <c r="AU114" s="8">
        <v>13.82</v>
      </c>
      <c r="AV114" s="8">
        <f t="shared" si="23"/>
        <v>1.2644</v>
      </c>
      <c r="AW114" s="20">
        <v>0.9909</v>
      </c>
      <c r="AX114" s="20">
        <v>0.94779999999999998</v>
      </c>
      <c r="AY114" s="20">
        <v>1.0168999999999999</v>
      </c>
      <c r="AZ114" s="20">
        <v>1.0095000000000001</v>
      </c>
      <c r="BA114" s="20">
        <v>1.1129</v>
      </c>
      <c r="BB114" s="20">
        <f t="shared" si="35"/>
        <v>1.0155999999999998</v>
      </c>
      <c r="BC114" s="20">
        <f t="shared" si="33"/>
        <v>1.1915707715625279</v>
      </c>
      <c r="BE114" s="18">
        <f t="shared" si="34"/>
        <v>852.3203356760971</v>
      </c>
      <c r="BF114" s="8">
        <v>0.41899999999999998</v>
      </c>
      <c r="BG114" s="8">
        <v>0.23499999999999999</v>
      </c>
      <c r="BH114" s="8">
        <v>0.45600000000000002</v>
      </c>
      <c r="BI114" s="13">
        <f t="shared" si="27"/>
        <v>1.1099999999999999</v>
      </c>
      <c r="BJ114" s="14">
        <v>37.700000000000003</v>
      </c>
      <c r="BK114" s="14">
        <v>21.2</v>
      </c>
      <c r="BL114" s="14">
        <v>41.1</v>
      </c>
      <c r="BM114" s="16">
        <f t="shared" si="36"/>
        <v>100</v>
      </c>
      <c r="BN114" s="21">
        <f t="shared" si="37"/>
        <v>3.57</v>
      </c>
      <c r="BO114" s="21">
        <f t="shared" si="38"/>
        <v>2</v>
      </c>
      <c r="BP114" s="21">
        <f t="shared" si="39"/>
        <v>3.89</v>
      </c>
      <c r="BQ114" s="14">
        <f t="shared" si="40"/>
        <v>9.4600000000000009</v>
      </c>
      <c r="BR114" s="22" t="str">
        <f>IF(OR(AND(X114="Mourões", BQ114&gt;=6.5),AND(X114="Postes", BQ114&gt;=9.6),AND(X114="Dormentes", BQ114&gt;=9.6),AND(X114="Estacas", BQ114&gt;=6.5),AND(X114="Cruzetas", BQ114&gt;=6.5),AND(X114="Outros - Solo", BQ114&gt;=6.5),AND(X114="Outros - Suspenso",BQ114&gt;=4),AND(X114="Deck",BQ114&gt;=4)),'Listas suspensas'!$C$21,'Listas suspensas'!$C$22)</f>
        <v>Os resultados da análise química apresentaram uma retenção do produto de acordo com o padrão mínimo exigido pela norma ABNT NBR 16143</v>
      </c>
    </row>
    <row r="115" spans="2:70" x14ac:dyDescent="0.25">
      <c r="B115" s="8" t="s">
        <v>356</v>
      </c>
      <c r="C115" s="8" t="s">
        <v>71</v>
      </c>
      <c r="D115" s="8" t="s">
        <v>240</v>
      </c>
      <c r="F115" s="11">
        <v>45702</v>
      </c>
      <c r="G115" s="11">
        <v>45705</v>
      </c>
      <c r="H115" s="11">
        <v>45708</v>
      </c>
      <c r="I115" s="8" t="s">
        <v>241</v>
      </c>
      <c r="J115" s="8" t="s">
        <v>242</v>
      </c>
      <c r="K115" s="8" t="s">
        <v>243</v>
      </c>
      <c r="L115" s="8" t="s">
        <v>15</v>
      </c>
      <c r="N115" s="8" t="s">
        <v>75</v>
      </c>
      <c r="O115" s="8" t="s">
        <v>94</v>
      </c>
      <c r="P115" s="28" t="s">
        <v>77</v>
      </c>
      <c r="Q115" s="16" t="s">
        <v>357</v>
      </c>
      <c r="X115" s="8" t="s">
        <v>79</v>
      </c>
      <c r="Y115" s="34">
        <f>IF(X115='Listas suspensas'!$A$21,'Listas suspensas'!$B$23,IF(X115='Listas suspensas'!$A$22,'Listas suspensas'!$B$23,IF(X115='Listas suspensas'!$A$23,'Listas suspensas'!$B$22,IF(X115='Listas suspensas'!$A$26,'Listas suspensas'!$B$22,IF(X115='Listas suspensas'!$A$32,'Listas suspensas'!$B$22,IF(X115='Listas suspensas'!$A$33,'Listas suspensas'!$B$21,IF(X115='Listas suspensas'!$A$24,'Listas suspensas'!$B$22,IF(X115='Listas suspensas'!$A$30,'Listas suspensas'!$B$21,""))))))))</f>
        <v>6.5</v>
      </c>
      <c r="Z115" s="8" t="s">
        <v>80</v>
      </c>
      <c r="AA115" s="8">
        <v>2</v>
      </c>
      <c r="AB115" s="8" t="str">
        <f>IF(AA115='Listas suspensas'!$A$2,'Listas suspensas'!$B$2,IF(AA115='Listas suspensas'!$A$3,'Listas suspensas'!$B$3,IF(AA115='Listas suspensas'!$A$4,'Listas suspensas'!$B$4,IF(AA115='Listas suspensas'!$A$5,'Listas suspensas'!$B$5,IF(AA115='Listas suspensas'!$A$6,'Listas suspensas'!$B$6,"")))))</f>
        <v>Profunda e irregular</v>
      </c>
      <c r="AC115" s="8" t="str">
        <f>IF(AA115='Listas suspensas'!$A$2,'Listas suspensas'!$C$2,IF(AA115='Listas suspensas'!$A$3,'Listas suspensas'!$C$3,IF(AA115='Listas suspensas'!$A$4,'Listas suspensas'!$C$4,IF(AA115='Listas suspensas'!$A$5,'Listas suspensas'!$C$5,IF(AA115='Listas suspensas'!$A$6,'Listas suspensas'!$C$6,"")))))</f>
        <v>Indica a penetração profunda, mas desuniforme em toda a extensão do alburno.</v>
      </c>
      <c r="AK115" s="8">
        <v>10.92</v>
      </c>
      <c r="AL115" s="8">
        <v>11</v>
      </c>
      <c r="AM115" s="8">
        <v>10.98</v>
      </c>
      <c r="AN115" s="8">
        <v>11.01</v>
      </c>
      <c r="AO115" s="8">
        <v>10.94</v>
      </c>
      <c r="AP115" s="8">
        <f t="shared" si="22"/>
        <v>1.097</v>
      </c>
      <c r="AQ115" s="8">
        <v>13.47</v>
      </c>
      <c r="AR115" s="8">
        <v>13.28</v>
      </c>
      <c r="AS115" s="8">
        <v>14.06</v>
      </c>
      <c r="AT115" s="8">
        <v>12.94</v>
      </c>
      <c r="AU115" s="8">
        <v>15.8</v>
      </c>
      <c r="AV115" s="8">
        <f t="shared" si="23"/>
        <v>1.391</v>
      </c>
      <c r="AW115" s="20">
        <v>1.0596000000000001</v>
      </c>
      <c r="AX115" s="20">
        <v>0.99939999999999996</v>
      </c>
      <c r="AY115" s="20">
        <v>1.0926</v>
      </c>
      <c r="AZ115" s="20">
        <v>0.97389999999999999</v>
      </c>
      <c r="BA115" s="20">
        <v>1.1375</v>
      </c>
      <c r="BB115" s="20">
        <f t="shared" si="35"/>
        <v>1.0526000000000002</v>
      </c>
      <c r="BC115" s="20">
        <f t="shared" si="33"/>
        <v>1.3147109088166002</v>
      </c>
      <c r="BE115" s="14">
        <f t="shared" si="34"/>
        <v>800.63228573000004</v>
      </c>
      <c r="BF115" s="8">
        <v>0.51500000000000001</v>
      </c>
      <c r="BG115" s="8">
        <v>0.24</v>
      </c>
      <c r="BH115" s="8">
        <v>0.48199999999999998</v>
      </c>
      <c r="BI115" s="13">
        <f t="shared" si="27"/>
        <v>1.2370000000000001</v>
      </c>
      <c r="BJ115" s="14">
        <v>41.7</v>
      </c>
      <c r="BK115" s="14">
        <v>19.3</v>
      </c>
      <c r="BL115" s="14">
        <v>39</v>
      </c>
      <c r="BM115" s="16">
        <f t="shared" si="36"/>
        <v>100</v>
      </c>
      <c r="BN115" s="21">
        <f t="shared" si="37"/>
        <v>4.12</v>
      </c>
      <c r="BO115" s="21">
        <f t="shared" si="38"/>
        <v>1.92</v>
      </c>
      <c r="BP115" s="21">
        <f t="shared" si="39"/>
        <v>3.86</v>
      </c>
      <c r="BQ115" s="14">
        <f t="shared" si="40"/>
        <v>9.9</v>
      </c>
      <c r="BR115" s="22" t="str">
        <f>IF(OR(AND(X115="Mourões", BQ115&gt;=6.5),AND(X115="Postes", BQ115&gt;=9.6),AND(X115="Dormentes", BQ115&gt;=9.6),AND(X115="Estacas", BQ115&gt;=6.5),AND(X115="Cruzetas", BQ115&gt;=6.5),AND(X115="Outros - Solo", BQ115&gt;=6.5),AND(X115="Outros - Suspenso",BQ115&gt;=4),AND(X115="Deck",BQ115&gt;=4)),'Listas suspensas'!$C$21,'Listas suspensas'!$C$22)</f>
        <v>Os resultados da análise química apresentaram uma retenção do produto de acordo com o padrão mínimo exigido pela norma ABNT NBR 16143</v>
      </c>
    </row>
    <row r="116" spans="2:70" x14ac:dyDescent="0.25">
      <c r="B116" s="8" t="s">
        <v>358</v>
      </c>
      <c r="C116" s="8" t="s">
        <v>71</v>
      </c>
      <c r="D116" s="8" t="s">
        <v>240</v>
      </c>
      <c r="F116" s="11">
        <v>45702</v>
      </c>
      <c r="G116" s="11">
        <v>45705</v>
      </c>
      <c r="H116" s="11">
        <v>45708</v>
      </c>
      <c r="I116" s="8" t="s">
        <v>241</v>
      </c>
      <c r="J116" s="8" t="s">
        <v>242</v>
      </c>
      <c r="K116" s="8" t="s">
        <v>243</v>
      </c>
      <c r="L116" s="8" t="s">
        <v>15</v>
      </c>
      <c r="N116" s="8" t="s">
        <v>75</v>
      </c>
      <c r="O116" s="8" t="s">
        <v>94</v>
      </c>
      <c r="P116" s="28" t="s">
        <v>77</v>
      </c>
      <c r="Q116" s="16" t="s">
        <v>359</v>
      </c>
      <c r="X116" s="8" t="s">
        <v>79</v>
      </c>
      <c r="Y116" s="34">
        <f>IF(X116='Listas suspensas'!$A$21,'Listas suspensas'!$B$23,IF(X116='Listas suspensas'!$A$22,'Listas suspensas'!$B$23,IF(X116='Listas suspensas'!$A$23,'Listas suspensas'!$B$22,IF(X116='Listas suspensas'!$A$26,'Listas suspensas'!$B$22,IF(X116='Listas suspensas'!$A$32,'Listas suspensas'!$B$22,IF(X116='Listas suspensas'!$A$33,'Listas suspensas'!$B$21,IF(X116='Listas suspensas'!$A$24,'Listas suspensas'!$B$22,IF(X116='Listas suspensas'!$A$30,'Listas suspensas'!$B$21,""))))))))</f>
        <v>6.5</v>
      </c>
      <c r="Z116" s="8" t="s">
        <v>80</v>
      </c>
      <c r="AA116" s="8">
        <v>2</v>
      </c>
      <c r="AB116" s="8" t="str">
        <f>IF(AA116='Listas suspensas'!$A$2,'Listas suspensas'!$B$2,IF(AA116='Listas suspensas'!$A$3,'Listas suspensas'!$B$3,IF(AA116='Listas suspensas'!$A$4,'Listas suspensas'!$B$4,IF(AA116='Listas suspensas'!$A$5,'Listas suspensas'!$B$5,IF(AA116='Listas suspensas'!$A$6,'Listas suspensas'!$B$6,"")))))</f>
        <v>Profunda e irregular</v>
      </c>
      <c r="AC116" s="8" t="str">
        <f>IF(AA116='Listas suspensas'!$A$2,'Listas suspensas'!$C$2,IF(AA116='Listas suspensas'!$A$3,'Listas suspensas'!$C$3,IF(AA116='Listas suspensas'!$A$4,'Listas suspensas'!$C$4,IF(AA116='Listas suspensas'!$A$5,'Listas suspensas'!$C$5,IF(AA116='Listas suspensas'!$A$6,'Listas suspensas'!$C$6,"")))))</f>
        <v>Indica a penetração profunda, mas desuniforme em toda a extensão do alburno.</v>
      </c>
      <c r="AK116" s="8">
        <v>11.29</v>
      </c>
      <c r="AL116" s="8">
        <v>11.21</v>
      </c>
      <c r="AM116" s="8">
        <v>11.07</v>
      </c>
      <c r="AN116" s="8">
        <v>11.03</v>
      </c>
      <c r="AO116" s="8">
        <v>11.05</v>
      </c>
      <c r="AP116" s="8">
        <f t="shared" si="22"/>
        <v>1.113</v>
      </c>
      <c r="AQ116" s="8">
        <v>17.25</v>
      </c>
      <c r="AR116" s="8">
        <v>17.13</v>
      </c>
      <c r="AS116" s="8">
        <v>14.53</v>
      </c>
      <c r="AT116" s="8">
        <v>15.93</v>
      </c>
      <c r="AU116" s="8">
        <v>15.36</v>
      </c>
      <c r="AV116" s="8">
        <f t="shared" si="23"/>
        <v>1.6039999999999999</v>
      </c>
      <c r="AW116" s="20">
        <v>1.2636000000000001</v>
      </c>
      <c r="AX116" s="20">
        <v>1.2233000000000001</v>
      </c>
      <c r="AY116" s="20">
        <v>1.0627</v>
      </c>
      <c r="AZ116" s="20">
        <v>1.1869000000000001</v>
      </c>
      <c r="BA116" s="20">
        <v>1.1186</v>
      </c>
      <c r="BB116" s="20">
        <f t="shared" si="35"/>
        <v>1.1710199999999999</v>
      </c>
      <c r="BC116" s="20">
        <f t="shared" si="33"/>
        <v>1.5605747435478046</v>
      </c>
      <c r="BE116" s="14">
        <f t="shared" si="34"/>
        <v>750.3773881011349</v>
      </c>
      <c r="BF116" s="8">
        <v>0.438</v>
      </c>
      <c r="BG116" s="8">
        <v>0.22900000000000001</v>
      </c>
      <c r="BH116" s="8">
        <v>0.38300000000000001</v>
      </c>
      <c r="BI116" s="13">
        <f t="shared" si="27"/>
        <v>1.05</v>
      </c>
      <c r="BJ116" s="14">
        <v>41.7</v>
      </c>
      <c r="BK116" s="14">
        <v>21.8</v>
      </c>
      <c r="BL116" s="14">
        <v>36.5</v>
      </c>
      <c r="BM116" s="16">
        <f t="shared" si="36"/>
        <v>100</v>
      </c>
      <c r="BN116" s="21">
        <f t="shared" si="37"/>
        <v>3.29</v>
      </c>
      <c r="BO116" s="21">
        <f t="shared" si="38"/>
        <v>1.72</v>
      </c>
      <c r="BP116" s="21">
        <f t="shared" si="39"/>
        <v>2.87</v>
      </c>
      <c r="BQ116" s="14">
        <f t="shared" si="40"/>
        <v>7.88</v>
      </c>
      <c r="BR116" s="22" t="str">
        <f>IF(OR(AND(X116="Mourões", BQ116&gt;=6.5),AND(X116="Postes", BQ116&gt;=9.6),AND(X116="Dormentes", BQ116&gt;=9.6),AND(X116="Estacas", BQ116&gt;=6.5),AND(X116="Cruzetas", BQ116&gt;=6.5),AND(X116="Outros - Solo", BQ116&gt;=6.5),AND(X116="Outros - Suspenso",BQ116&gt;=4),AND(X116="Deck",BQ116&gt;=4)),'Listas suspensas'!$C$21,'Listas suspensas'!$C$22)</f>
        <v>Os resultados da análise química apresentaram uma retenção do produto de acordo com o padrão mínimo exigido pela norma ABNT NBR 16143</v>
      </c>
    </row>
    <row r="117" spans="2:70" x14ac:dyDescent="0.25">
      <c r="B117" s="8" t="s">
        <v>360</v>
      </c>
      <c r="C117" s="8" t="s">
        <v>71</v>
      </c>
      <c r="D117" s="8" t="s">
        <v>240</v>
      </c>
      <c r="F117" s="11">
        <v>45716</v>
      </c>
      <c r="G117" s="11">
        <v>45716</v>
      </c>
      <c r="H117" s="11">
        <v>45727</v>
      </c>
      <c r="I117" s="8" t="s">
        <v>241</v>
      </c>
      <c r="J117" s="8" t="s">
        <v>242</v>
      </c>
      <c r="K117" s="8" t="s">
        <v>243</v>
      </c>
      <c r="L117" s="8" t="s">
        <v>15</v>
      </c>
      <c r="M117" s="30" t="s">
        <v>361</v>
      </c>
      <c r="N117" s="8" t="s">
        <v>75</v>
      </c>
      <c r="O117" s="8" t="s">
        <v>94</v>
      </c>
      <c r="P117" s="28" t="s">
        <v>77</v>
      </c>
      <c r="Q117" s="16" t="s">
        <v>362</v>
      </c>
      <c r="X117" s="8" t="s">
        <v>180</v>
      </c>
      <c r="Y117" s="34">
        <f>IF(X117='Listas suspensas'!$A$21,'Listas suspensas'!$B$23,IF(X117='Listas suspensas'!$A$22,'Listas suspensas'!$B$23,IF(X117='Listas suspensas'!$A$23,'Listas suspensas'!$B$22,IF(X117='Listas suspensas'!$A$26,'Listas suspensas'!$B$22,IF(X117='Listas suspensas'!$A$32,'Listas suspensas'!$B$22,IF(X117='Listas suspensas'!$A$33,'Listas suspensas'!$B$21,IF(X117='Listas suspensas'!$A$24,'Listas suspensas'!$B$22,IF(X117='Listas suspensas'!$A$30,'Listas suspensas'!$B$21,""))))))))</f>
        <v>6.5</v>
      </c>
      <c r="Z117" s="8" t="s">
        <v>80</v>
      </c>
      <c r="AA117" s="8">
        <v>3</v>
      </c>
      <c r="AB117" s="8" t="str">
        <f>IF(AA117='Listas suspensas'!$A$2,'Listas suspensas'!$B$2,IF(AA117='Listas suspensas'!$A$3,'Listas suspensas'!$B$3,IF(AA117='Listas suspensas'!$A$4,'Listas suspensas'!$B$4,IF(AA117='Listas suspensas'!$A$5,'Listas suspensas'!$B$5,IF(AA117='Listas suspensas'!$A$6,'Listas suspensas'!$B$6,"")))))</f>
        <v xml:space="preserve"> Parcial e regular</v>
      </c>
      <c r="AC117" s="8" t="str">
        <f>IF(AA117='Listas suspensas'!$A$2,'Listas suspensas'!$C$2,IF(AA117='Listas suspensas'!$A$3,'Listas suspensas'!$C$3,IF(AA117='Listas suspensas'!$A$4,'Listas suspensas'!$C$4,IF(AA117='Listas suspensas'!$A$5,'Listas suspensas'!$C$5,IF(AA117='Listas suspensas'!$A$6,'Listas suspensas'!$C$6,"")))))</f>
        <v>Indica a penetração uniforme, mas não total pela extensão do alburno.</v>
      </c>
      <c r="AK117" s="8">
        <v>11.7</v>
      </c>
      <c r="AL117" s="8">
        <v>11.99</v>
      </c>
      <c r="AM117" s="8">
        <v>11.89</v>
      </c>
      <c r="AN117" s="8">
        <v>11.97</v>
      </c>
      <c r="AO117" s="8">
        <v>11.93</v>
      </c>
      <c r="AP117" s="8">
        <f t="shared" si="22"/>
        <v>1.1896</v>
      </c>
      <c r="AQ117" s="8">
        <v>15.22</v>
      </c>
      <c r="AR117" s="8">
        <v>14.89</v>
      </c>
      <c r="AS117" s="8">
        <v>15.11</v>
      </c>
      <c r="AT117" s="8">
        <v>16.8</v>
      </c>
      <c r="AU117" s="8">
        <v>14.48</v>
      </c>
      <c r="AV117" s="8">
        <f t="shared" si="23"/>
        <v>1.53</v>
      </c>
      <c r="AW117" s="20">
        <v>1.2482</v>
      </c>
      <c r="AX117" s="20">
        <v>1.3815</v>
      </c>
      <c r="AY117" s="20">
        <v>1.4415</v>
      </c>
      <c r="AZ117" s="20">
        <v>1.5481</v>
      </c>
      <c r="BA117" s="20">
        <v>1.3526</v>
      </c>
      <c r="BB117" s="20">
        <f t="shared" si="35"/>
        <v>1.3943799999999997</v>
      </c>
      <c r="BC117" s="20">
        <f t="shared" si="33"/>
        <v>1.700525791672896</v>
      </c>
      <c r="BE117" s="18">
        <f t="shared" si="34"/>
        <v>819.96992155483599</v>
      </c>
      <c r="BF117" s="8">
        <v>0.32600000000000001</v>
      </c>
      <c r="BG117" s="8">
        <v>0.17100000000000001</v>
      </c>
      <c r="BH117" s="8">
        <v>0.34</v>
      </c>
      <c r="BI117" s="13">
        <f t="shared" si="27"/>
        <v>0.83699999999999997</v>
      </c>
      <c r="BJ117" s="14">
        <v>38.9</v>
      </c>
      <c r="BK117" s="14">
        <v>20.399999999999999</v>
      </c>
      <c r="BL117" s="14">
        <v>40.700000000000003</v>
      </c>
      <c r="BM117" s="16">
        <f t="shared" si="36"/>
        <v>100</v>
      </c>
      <c r="BN117" s="21">
        <f t="shared" si="37"/>
        <v>2.67</v>
      </c>
      <c r="BO117" s="21">
        <f t="shared" si="38"/>
        <v>1.4</v>
      </c>
      <c r="BP117" s="21">
        <f t="shared" si="39"/>
        <v>2.79</v>
      </c>
      <c r="BQ117" s="14">
        <f t="shared" si="40"/>
        <v>6.86</v>
      </c>
      <c r="BR117" s="22" t="str">
        <f>IF(OR(AND(X117="Mourões", BQ117&gt;=6.5),AND(X117="Postes", BQ117&gt;=9.6),AND(X117="Dormentes", BQ117&gt;=9.6),AND(X117="Estacas", BQ117&gt;=6.5),AND(X117="Cruzetas", BQ117&gt;=6.5),AND(X117="Outros - Solo", BQ117&gt;=6.5),AND(X117="Outros - Suspenso",BQ117&gt;=4),AND(X117="Deck",BQ117&gt;=4)),'Listas suspensas'!$C$21,'Listas suspensas'!$C$22)</f>
        <v>Os resultados da análise química apresentaram uma retenção do produto inferior ao padrão mínimo exigido pela norma ABNT NBR 16143</v>
      </c>
    </row>
    <row r="118" spans="2:70" x14ac:dyDescent="0.25">
      <c r="B118" s="8" t="s">
        <v>363</v>
      </c>
      <c r="C118" s="8" t="s">
        <v>71</v>
      </c>
      <c r="D118" s="8" t="s">
        <v>240</v>
      </c>
      <c r="F118" s="11">
        <v>45716</v>
      </c>
      <c r="G118" s="11">
        <v>45716</v>
      </c>
      <c r="H118" s="11">
        <v>45727</v>
      </c>
      <c r="I118" s="8" t="s">
        <v>241</v>
      </c>
      <c r="J118" s="8" t="s">
        <v>242</v>
      </c>
      <c r="K118" s="8" t="s">
        <v>243</v>
      </c>
      <c r="L118" s="8" t="s">
        <v>15</v>
      </c>
      <c r="M118" s="30" t="s">
        <v>361</v>
      </c>
      <c r="N118" s="8" t="s">
        <v>75</v>
      </c>
      <c r="O118" s="8" t="s">
        <v>94</v>
      </c>
      <c r="P118" s="28" t="s">
        <v>77</v>
      </c>
      <c r="Q118" s="16" t="s">
        <v>364</v>
      </c>
      <c r="X118" s="8" t="s">
        <v>180</v>
      </c>
      <c r="Y118" s="34">
        <f>IF(X118='Listas suspensas'!$A$21,'Listas suspensas'!$B$23,IF(X118='Listas suspensas'!$A$22,'Listas suspensas'!$B$23,IF(X118='Listas suspensas'!$A$23,'Listas suspensas'!$B$22,IF(X118='Listas suspensas'!$A$26,'Listas suspensas'!$B$22,IF(X118='Listas suspensas'!$A$32,'Listas suspensas'!$B$22,IF(X118='Listas suspensas'!$A$33,'Listas suspensas'!$B$21,IF(X118='Listas suspensas'!$A$24,'Listas suspensas'!$B$22,IF(X118='Listas suspensas'!$A$30,'Listas suspensas'!$B$21,""))))))))</f>
        <v>6.5</v>
      </c>
      <c r="Z118" s="8" t="s">
        <v>80</v>
      </c>
      <c r="AA118" s="8">
        <v>4</v>
      </c>
      <c r="AB118" s="8" t="str">
        <f>IF(AA118='Listas suspensas'!$A$2,'Listas suspensas'!$B$2,IF(AA118='Listas suspensas'!$A$3,'Listas suspensas'!$B$3,IF(AA118='Listas suspensas'!$A$4,'Listas suspensas'!$B$4,IF(AA118='Listas suspensas'!$A$5,'Listas suspensas'!$B$5,IF(AA118='Listas suspensas'!$A$6,'Listas suspensas'!$B$6,"")))))</f>
        <v>Parcial e irregular</v>
      </c>
      <c r="AC118" s="8" t="str">
        <f>IF(AA118='Listas suspensas'!$A$2,'Listas suspensas'!$C$2,IF(AA118='Listas suspensas'!$A$3,'Listas suspensas'!$C$3,IF(AA118='Listas suspensas'!$A$4,'Listas suspensas'!$C$4,IF(AA118='Listas suspensas'!$A$5,'Listas suspensas'!$C$5,IF(AA118='Listas suspensas'!$A$6,'Listas suspensas'!$C$6,"")))))</f>
        <v>Indica a penetração desuniforme e não total pela extensão do alburno.</v>
      </c>
      <c r="AK118" s="8">
        <v>11.99</v>
      </c>
      <c r="AL118" s="8">
        <v>11.93</v>
      </c>
      <c r="AM118" s="8">
        <v>11.96</v>
      </c>
      <c r="AN118" s="8">
        <v>11.93</v>
      </c>
      <c r="AO118" s="8">
        <v>11.96</v>
      </c>
      <c r="AP118" s="8">
        <f t="shared" si="22"/>
        <v>1.1954</v>
      </c>
      <c r="AQ118" s="8">
        <v>10.75</v>
      </c>
      <c r="AR118" s="8">
        <v>11.23</v>
      </c>
      <c r="AS118" s="8">
        <v>9.85</v>
      </c>
      <c r="AT118" s="8">
        <v>9.73</v>
      </c>
      <c r="AU118" s="8">
        <v>9.8800000000000008</v>
      </c>
      <c r="AV118" s="8">
        <f t="shared" si="23"/>
        <v>1.0287999999999999</v>
      </c>
      <c r="AW118" s="20">
        <v>0.98380000000000001</v>
      </c>
      <c r="AX118" s="20">
        <v>1.0325</v>
      </c>
      <c r="AY118" s="20">
        <v>0.91100000000000003</v>
      </c>
      <c r="AZ118" s="20">
        <v>0.88349999999999995</v>
      </c>
      <c r="BA118" s="20">
        <v>0.91520000000000001</v>
      </c>
      <c r="BB118" s="20">
        <f t="shared" si="35"/>
        <v>0.94520000000000015</v>
      </c>
      <c r="BC118" s="20">
        <f t="shared" si="33"/>
        <v>1.1546419709370495</v>
      </c>
      <c r="BE118" s="18">
        <f t="shared" si="34"/>
        <v>818.60873222278872</v>
      </c>
      <c r="BF118" s="8">
        <v>0.34</v>
      </c>
      <c r="BG118" s="8">
        <v>0.17399999999999999</v>
      </c>
      <c r="BH118" s="8">
        <v>0.32700000000000001</v>
      </c>
      <c r="BI118" s="13">
        <f t="shared" si="27"/>
        <v>0.84099999999999997</v>
      </c>
      <c r="BJ118" s="14">
        <v>40.5</v>
      </c>
      <c r="BK118" s="14">
        <v>20.7</v>
      </c>
      <c r="BL118" s="14">
        <v>38.799999999999997</v>
      </c>
      <c r="BM118" s="16">
        <f t="shared" si="36"/>
        <v>100</v>
      </c>
      <c r="BN118" s="21">
        <f t="shared" si="37"/>
        <v>2.78</v>
      </c>
      <c r="BO118" s="21">
        <f t="shared" si="38"/>
        <v>1.42</v>
      </c>
      <c r="BP118" s="21">
        <f t="shared" si="39"/>
        <v>2.68</v>
      </c>
      <c r="BQ118" s="14">
        <f t="shared" si="40"/>
        <v>6.88</v>
      </c>
      <c r="BR118" s="22" t="str">
        <f>IF(OR(AND(X118="Mourões", BQ118&gt;=6.5),AND(X118="Postes", BQ118&gt;=9.6),AND(X118="Dormentes", BQ118&gt;=9.6),AND(X118="Estacas", BQ118&gt;=6.5),AND(X118="Cruzetas", BQ118&gt;=6.5),AND(X118="Outros - Solo", BQ118&gt;=6.5),AND(X118="Outros - Suspenso",BQ118&gt;=4),AND(X118="Deck",BQ118&gt;=4)),'Listas suspensas'!$C$21,'Listas suspensas'!$C$22)</f>
        <v>Os resultados da análise química apresentaram uma retenção do produto inferior ao padrão mínimo exigido pela norma ABNT NBR 16143</v>
      </c>
    </row>
    <row r="119" spans="2:70" x14ac:dyDescent="0.25">
      <c r="B119" s="8" t="s">
        <v>365</v>
      </c>
      <c r="C119" s="8" t="s">
        <v>71</v>
      </c>
      <c r="D119" s="8" t="s">
        <v>240</v>
      </c>
      <c r="F119" s="11">
        <v>45716</v>
      </c>
      <c r="G119" s="11">
        <v>45716</v>
      </c>
      <c r="H119" s="11">
        <v>45727</v>
      </c>
      <c r="I119" s="8" t="s">
        <v>241</v>
      </c>
      <c r="J119" s="8" t="s">
        <v>242</v>
      </c>
      <c r="K119" s="8" t="s">
        <v>243</v>
      </c>
      <c r="L119" s="8" t="s">
        <v>15</v>
      </c>
      <c r="M119" s="30" t="s">
        <v>361</v>
      </c>
      <c r="N119" s="8" t="s">
        <v>75</v>
      </c>
      <c r="O119" s="8" t="s">
        <v>94</v>
      </c>
      <c r="P119" s="28" t="s">
        <v>77</v>
      </c>
      <c r="Q119" s="16" t="s">
        <v>366</v>
      </c>
      <c r="X119" s="8" t="s">
        <v>180</v>
      </c>
      <c r="Y119" s="34">
        <f>IF(X119='Listas suspensas'!$A$21,'Listas suspensas'!$B$23,IF(X119='Listas suspensas'!$A$22,'Listas suspensas'!$B$23,IF(X119='Listas suspensas'!$A$23,'Listas suspensas'!$B$22,IF(X119='Listas suspensas'!$A$26,'Listas suspensas'!$B$22,IF(X119='Listas suspensas'!$A$32,'Listas suspensas'!$B$22,IF(X119='Listas suspensas'!$A$33,'Listas suspensas'!$B$21,IF(X119='Listas suspensas'!$A$24,'Listas suspensas'!$B$22,IF(X119='Listas suspensas'!$A$30,'Listas suspensas'!$B$21,""))))))))</f>
        <v>6.5</v>
      </c>
      <c r="Z119" s="8" t="s">
        <v>80</v>
      </c>
      <c r="AA119" s="8">
        <v>4</v>
      </c>
      <c r="AB119" s="8" t="str">
        <f>IF(AA119='Listas suspensas'!$A$2,'Listas suspensas'!$B$2,IF(AA119='Listas suspensas'!$A$3,'Listas suspensas'!$B$3,IF(AA119='Listas suspensas'!$A$4,'Listas suspensas'!$B$4,IF(AA119='Listas suspensas'!$A$5,'Listas suspensas'!$B$5,IF(AA119='Listas suspensas'!$A$6,'Listas suspensas'!$B$6,"")))))</f>
        <v>Parcial e irregular</v>
      </c>
      <c r="AC119" s="8" t="str">
        <f>IF(AA119='Listas suspensas'!$A$2,'Listas suspensas'!$C$2,IF(AA119='Listas suspensas'!$A$3,'Listas suspensas'!$C$3,IF(AA119='Listas suspensas'!$A$4,'Listas suspensas'!$C$4,IF(AA119='Listas suspensas'!$A$5,'Listas suspensas'!$C$5,IF(AA119='Listas suspensas'!$A$6,'Listas suspensas'!$C$6,"")))))</f>
        <v>Indica a penetração desuniforme e não total pela extensão do alburno.</v>
      </c>
      <c r="AK119" s="8">
        <v>11.95</v>
      </c>
      <c r="AL119" s="8">
        <v>11.9</v>
      </c>
      <c r="AM119" s="8">
        <v>11.96</v>
      </c>
      <c r="AN119" s="8">
        <v>11.85</v>
      </c>
      <c r="AO119" s="8">
        <v>11.94</v>
      </c>
      <c r="AP119" s="8">
        <f t="shared" si="22"/>
        <v>1.1919999999999999</v>
      </c>
      <c r="AQ119" s="8">
        <v>10.45</v>
      </c>
      <c r="AR119" s="8">
        <v>12.19</v>
      </c>
      <c r="AS119" s="8">
        <v>11.54</v>
      </c>
      <c r="AT119" s="8">
        <v>12.3</v>
      </c>
      <c r="AU119" s="8">
        <v>10.38</v>
      </c>
      <c r="AV119" s="8">
        <f t="shared" si="23"/>
        <v>1.1372000000000002</v>
      </c>
      <c r="AW119" s="20">
        <v>0.90890000000000004</v>
      </c>
      <c r="AX119" s="20">
        <v>1.0904</v>
      </c>
      <c r="AY119" s="20">
        <v>1.0208999999999999</v>
      </c>
      <c r="AZ119" s="20">
        <v>1.0681</v>
      </c>
      <c r="BA119" s="20">
        <v>0.94259999999999999</v>
      </c>
      <c r="BB119" s="20">
        <f t="shared" si="35"/>
        <v>1.0061800000000001</v>
      </c>
      <c r="BC119" s="20">
        <f t="shared" si="33"/>
        <v>1.2690514895499041</v>
      </c>
      <c r="BE119" s="18">
        <f t="shared" si="34"/>
        <v>792.85987076604988</v>
      </c>
      <c r="BF119" s="8">
        <v>0.34100000000000003</v>
      </c>
      <c r="BG119" s="8">
        <v>0.14799999999999999</v>
      </c>
      <c r="BH119" s="8">
        <v>0.32200000000000001</v>
      </c>
      <c r="BI119" s="13">
        <f t="shared" si="27"/>
        <v>0.81099999999999994</v>
      </c>
      <c r="BJ119" s="14">
        <v>42.1</v>
      </c>
      <c r="BK119" s="14">
        <v>18.3</v>
      </c>
      <c r="BL119" s="14">
        <v>39.6</v>
      </c>
      <c r="BM119" s="16">
        <f t="shared" si="36"/>
        <v>100</v>
      </c>
      <c r="BN119" s="21">
        <f t="shared" si="37"/>
        <v>2.7</v>
      </c>
      <c r="BO119" s="21">
        <f t="shared" si="38"/>
        <v>1.17</v>
      </c>
      <c r="BP119" s="21">
        <f t="shared" si="39"/>
        <v>2.5499999999999998</v>
      </c>
      <c r="BQ119" s="14">
        <f t="shared" si="40"/>
        <v>6.42</v>
      </c>
      <c r="BR119" s="22" t="str">
        <f>IF(OR(AND(X119="Mourões", BQ119&gt;=6.5),AND(X119="Postes", BQ119&gt;=9.6),AND(X119="Dormentes", BQ119&gt;=9.6),AND(X119="Estacas", BQ119&gt;=6.5),AND(X119="Cruzetas", BQ119&gt;=6.5),AND(X119="Outros - Solo", BQ119&gt;=6.5),AND(X119="Outros - Suspenso",BQ119&gt;=4),AND(X119="Deck",BQ119&gt;=4)),'Listas suspensas'!$C$21,'Listas suspensas'!$C$22)</f>
        <v>Os resultados da análise química apresentaram uma retenção do produto inferior ao padrão mínimo exigido pela norma ABNT NBR 16143</v>
      </c>
    </row>
    <row r="120" spans="2:70" x14ac:dyDescent="0.25">
      <c r="B120" s="8" t="s">
        <v>367</v>
      </c>
      <c r="C120" s="8" t="s">
        <v>71</v>
      </c>
      <c r="D120" s="8" t="s">
        <v>240</v>
      </c>
      <c r="F120" s="11">
        <v>45743</v>
      </c>
      <c r="G120" s="11">
        <v>45743</v>
      </c>
      <c r="H120" s="11">
        <v>45747</v>
      </c>
      <c r="I120" s="8" t="s">
        <v>241</v>
      </c>
      <c r="J120" s="8" t="s">
        <v>242</v>
      </c>
      <c r="K120" s="8" t="s">
        <v>243</v>
      </c>
      <c r="L120" s="8" t="s">
        <v>15</v>
      </c>
      <c r="M120" s="30" t="s">
        <v>361</v>
      </c>
      <c r="N120" s="8" t="s">
        <v>75</v>
      </c>
      <c r="O120" s="8" t="s">
        <v>94</v>
      </c>
      <c r="P120" s="28" t="s">
        <v>77</v>
      </c>
      <c r="Q120" s="16" t="s">
        <v>368</v>
      </c>
      <c r="X120" s="8" t="s">
        <v>180</v>
      </c>
      <c r="Y120" s="34">
        <f>IF(X120='Listas suspensas'!$A$21,'Listas suspensas'!$B$23,IF(X120='Listas suspensas'!$A$22,'Listas suspensas'!$B$23,IF(X120='Listas suspensas'!$A$23,'Listas suspensas'!$B$22,IF(X120='Listas suspensas'!$A$26,'Listas suspensas'!$B$22,IF(X120='Listas suspensas'!$A$32,'Listas suspensas'!$B$22,IF(X120='Listas suspensas'!$A$33,'Listas suspensas'!$B$21,IF(X120='Listas suspensas'!$A$24,'Listas suspensas'!$B$22,IF(X120='Listas suspensas'!$A$30,'Listas suspensas'!$B$21,""))))))))</f>
        <v>6.5</v>
      </c>
      <c r="Z120" s="8" t="s">
        <v>80</v>
      </c>
      <c r="AA120" s="8">
        <v>3</v>
      </c>
      <c r="AB120" s="8" t="str">
        <f>IF(AA120='Listas suspensas'!$A$2,'Listas suspensas'!$B$2,IF(AA120='Listas suspensas'!$A$3,'Listas suspensas'!$B$3,IF(AA120='Listas suspensas'!$A$4,'Listas suspensas'!$B$4,IF(AA120='Listas suspensas'!$A$5,'Listas suspensas'!$B$5,IF(AA120='Listas suspensas'!$A$6,'Listas suspensas'!$B$6,"")))))</f>
        <v xml:space="preserve"> Parcial e regular</v>
      </c>
      <c r="AC120" s="8" t="str">
        <f>IF(AA120='Listas suspensas'!$A$2,'Listas suspensas'!$C$2,IF(AA120='Listas suspensas'!$A$3,'Listas suspensas'!$C$3,IF(AA120='Listas suspensas'!$A$4,'Listas suspensas'!$C$4,IF(AA120='Listas suspensas'!$A$5,'Listas suspensas'!$C$5,IF(AA120='Listas suspensas'!$A$6,'Listas suspensas'!$C$6,"")))))</f>
        <v>Indica a penetração uniforme, mas não total pela extensão do alburno.</v>
      </c>
      <c r="AP120" s="8" t="e">
        <f t="shared" si="22"/>
        <v>#DIV/0!</v>
      </c>
      <c r="AV120" s="8" t="e">
        <f t="shared" si="23"/>
        <v>#DIV/0!</v>
      </c>
      <c r="BB120" s="20" t="e">
        <f t="shared" si="35"/>
        <v>#DIV/0!</v>
      </c>
      <c r="BC120" s="20" t="e">
        <f t="shared" si="33"/>
        <v>#DIV/0!</v>
      </c>
      <c r="BD120" s="13">
        <v>0.94</v>
      </c>
      <c r="BE120" s="18">
        <f>BD120*1000</f>
        <v>940</v>
      </c>
      <c r="BF120" s="8">
        <v>0.23300000000000001</v>
      </c>
      <c r="BG120" s="8">
        <v>0.10100000000000001</v>
      </c>
      <c r="BH120" s="8">
        <v>0.187</v>
      </c>
      <c r="BI120" s="13">
        <f t="shared" si="27"/>
        <v>0.52100000000000002</v>
      </c>
      <c r="BJ120" s="14">
        <v>44.8</v>
      </c>
      <c r="BK120" s="14">
        <v>19.3</v>
      </c>
      <c r="BL120" s="14">
        <v>35.9</v>
      </c>
      <c r="BM120" s="16">
        <f t="shared" si="36"/>
        <v>100</v>
      </c>
      <c r="BN120" s="21">
        <f t="shared" si="37"/>
        <v>2.19</v>
      </c>
      <c r="BO120" s="21">
        <f t="shared" si="38"/>
        <v>0.95</v>
      </c>
      <c r="BP120" s="21">
        <f t="shared" si="39"/>
        <v>1.76</v>
      </c>
      <c r="BQ120" s="14">
        <f t="shared" si="40"/>
        <v>4.9000000000000004</v>
      </c>
      <c r="BR120" s="22" t="str">
        <f>IF(OR(AND(X120="Mourões", BQ120&gt;=6.5),AND(X120="Postes", BQ120&gt;=9.6),AND(X120="Dormentes", BQ120&gt;=9.6),AND(X120="Estacas", BQ120&gt;=6.5),AND(X120="Cruzetas", BQ120&gt;=6.5),AND(X120="Outros - Solo", BQ120&gt;=6.5),AND(X120="Outros - Suspenso",BQ120&gt;=4),AND(X120="Deck",BQ120&gt;=4)),'Listas suspensas'!$C$21,'Listas suspensas'!$C$22)</f>
        <v>Os resultados da análise química apresentaram uma retenção do produto inferior ao padrão mínimo exigido pela norma ABNT NBR 16143</v>
      </c>
    </row>
    <row r="121" spans="2:70" x14ac:dyDescent="0.25">
      <c r="B121" s="8" t="s">
        <v>369</v>
      </c>
      <c r="C121" s="8" t="s">
        <v>71</v>
      </c>
      <c r="D121" s="8" t="s">
        <v>240</v>
      </c>
      <c r="F121" s="11">
        <v>45743</v>
      </c>
      <c r="G121" s="11">
        <v>45743</v>
      </c>
      <c r="H121" s="11">
        <v>45747</v>
      </c>
      <c r="I121" s="8" t="s">
        <v>241</v>
      </c>
      <c r="J121" s="8" t="s">
        <v>242</v>
      </c>
      <c r="K121" s="8" t="s">
        <v>243</v>
      </c>
      <c r="L121" s="8" t="s">
        <v>15</v>
      </c>
      <c r="M121" s="30" t="s">
        <v>361</v>
      </c>
      <c r="N121" s="8" t="s">
        <v>75</v>
      </c>
      <c r="O121" s="8" t="s">
        <v>94</v>
      </c>
      <c r="P121" s="28" t="s">
        <v>77</v>
      </c>
      <c r="Q121" s="16" t="s">
        <v>370</v>
      </c>
      <c r="X121" s="8" t="s">
        <v>180</v>
      </c>
      <c r="Y121" s="34">
        <f>IF(X121='Listas suspensas'!$A$21,'Listas suspensas'!$B$23,IF(X121='Listas suspensas'!$A$22,'Listas suspensas'!$B$23,IF(X121='Listas suspensas'!$A$23,'Listas suspensas'!$B$22,IF(X121='Listas suspensas'!$A$26,'Listas suspensas'!$B$22,IF(X121='Listas suspensas'!$A$32,'Listas suspensas'!$B$22,IF(X121='Listas suspensas'!$A$33,'Listas suspensas'!$B$21,IF(X121='Listas suspensas'!$A$24,'Listas suspensas'!$B$22,IF(X121='Listas suspensas'!$A$30,'Listas suspensas'!$B$21,""))))))))</f>
        <v>6.5</v>
      </c>
      <c r="Z121" s="8" t="s">
        <v>80</v>
      </c>
      <c r="AA121" s="8">
        <v>3</v>
      </c>
      <c r="AB121" s="8" t="str">
        <f>IF(AA121='Listas suspensas'!$A$2,'Listas suspensas'!$B$2,IF(AA121='Listas suspensas'!$A$3,'Listas suspensas'!$B$3,IF(AA121='Listas suspensas'!$A$4,'Listas suspensas'!$B$4,IF(AA121='Listas suspensas'!$A$5,'Listas suspensas'!$B$5,IF(AA121='Listas suspensas'!$A$6,'Listas suspensas'!$B$6,"")))))</f>
        <v xml:space="preserve"> Parcial e regular</v>
      </c>
      <c r="AC121" s="8" t="str">
        <f>IF(AA121='Listas suspensas'!$A$2,'Listas suspensas'!$C$2,IF(AA121='Listas suspensas'!$A$3,'Listas suspensas'!$C$3,IF(AA121='Listas suspensas'!$A$4,'Listas suspensas'!$C$4,IF(AA121='Listas suspensas'!$A$5,'Listas suspensas'!$C$5,IF(AA121='Listas suspensas'!$A$6,'Listas suspensas'!$C$6,"")))))</f>
        <v>Indica a penetração uniforme, mas não total pela extensão do alburno.</v>
      </c>
      <c r="AP121" s="8" t="e">
        <f t="shared" si="22"/>
        <v>#DIV/0!</v>
      </c>
      <c r="AV121" s="8" t="e">
        <f t="shared" si="23"/>
        <v>#DIV/0!</v>
      </c>
      <c r="BB121" s="20" t="e">
        <f t="shared" si="35"/>
        <v>#DIV/0!</v>
      </c>
      <c r="BC121" s="20" t="e">
        <f t="shared" si="33"/>
        <v>#DIV/0!</v>
      </c>
      <c r="BD121" s="13">
        <v>0.71299999999999997</v>
      </c>
      <c r="BE121" s="18">
        <f t="shared" ref="BE121:BE184" si="41">BD121*1000</f>
        <v>713</v>
      </c>
      <c r="BF121" s="8">
        <v>0.28599999999999998</v>
      </c>
      <c r="BG121" s="8">
        <v>0.161</v>
      </c>
      <c r="BH121" s="8">
        <v>0.29699999999999999</v>
      </c>
      <c r="BI121" s="13">
        <f t="shared" si="27"/>
        <v>0.74399999999999999</v>
      </c>
      <c r="BJ121" s="14">
        <v>38.4</v>
      </c>
      <c r="BK121" s="14">
        <v>21.7</v>
      </c>
      <c r="BL121" s="14">
        <v>39.9</v>
      </c>
      <c r="BM121" s="16">
        <f t="shared" si="36"/>
        <v>100</v>
      </c>
      <c r="BN121" s="21">
        <f t="shared" si="37"/>
        <v>2.04</v>
      </c>
      <c r="BO121" s="21">
        <f t="shared" si="38"/>
        <v>1.1499999999999999</v>
      </c>
      <c r="BP121" s="21">
        <f t="shared" si="39"/>
        <v>2.12</v>
      </c>
      <c r="BQ121" s="14">
        <f t="shared" si="40"/>
        <v>5.31</v>
      </c>
      <c r="BR121" s="22" t="str">
        <f>IF(OR(AND(X121="Mourões", BQ121&gt;=6.5),AND(X121="Postes", BQ121&gt;=9.6),AND(X121="Dormentes", BQ121&gt;=9.6),AND(X121="Estacas", BQ121&gt;=6.5),AND(X121="Cruzetas", BQ121&gt;=6.5),AND(X121="Outros - Solo", BQ121&gt;=6.5),AND(X121="Outros - Suspenso",BQ121&gt;=4),AND(X121="Deck",BQ121&gt;=4)),'Listas suspensas'!$C$21,'Listas suspensas'!$C$22)</f>
        <v>Os resultados da análise química apresentaram uma retenção do produto inferior ao padrão mínimo exigido pela norma ABNT NBR 16143</v>
      </c>
    </row>
    <row r="122" spans="2:70" x14ac:dyDescent="0.25">
      <c r="B122" s="8" t="s">
        <v>371</v>
      </c>
      <c r="C122" s="8" t="s">
        <v>71</v>
      </c>
      <c r="D122" s="8" t="s">
        <v>240</v>
      </c>
      <c r="F122" s="11">
        <v>45743</v>
      </c>
      <c r="G122" s="11">
        <v>45743</v>
      </c>
      <c r="H122" s="11">
        <v>45747</v>
      </c>
      <c r="I122" s="8" t="s">
        <v>241</v>
      </c>
      <c r="J122" s="8" t="s">
        <v>242</v>
      </c>
      <c r="K122" s="8" t="s">
        <v>243</v>
      </c>
      <c r="L122" s="8" t="s">
        <v>15</v>
      </c>
      <c r="M122" s="30" t="s">
        <v>361</v>
      </c>
      <c r="N122" s="8" t="s">
        <v>75</v>
      </c>
      <c r="O122" s="8" t="s">
        <v>94</v>
      </c>
      <c r="P122" s="28" t="s">
        <v>77</v>
      </c>
      <c r="Q122" s="16" t="s">
        <v>372</v>
      </c>
      <c r="X122" s="8" t="s">
        <v>180</v>
      </c>
      <c r="Y122" s="34">
        <f>IF(X122='Listas suspensas'!$A$21,'Listas suspensas'!$B$23,IF(X122='Listas suspensas'!$A$22,'Listas suspensas'!$B$23,IF(X122='Listas suspensas'!$A$23,'Listas suspensas'!$B$22,IF(X122='Listas suspensas'!$A$26,'Listas suspensas'!$B$22,IF(X122='Listas suspensas'!$A$32,'Listas suspensas'!$B$22,IF(X122='Listas suspensas'!$A$33,'Listas suspensas'!$B$21,IF(X122='Listas suspensas'!$A$24,'Listas suspensas'!$B$22,IF(X122='Listas suspensas'!$A$30,'Listas suspensas'!$B$21,""))))))))</f>
        <v>6.5</v>
      </c>
      <c r="Z122" s="8" t="s">
        <v>80</v>
      </c>
      <c r="AA122" s="8">
        <v>2</v>
      </c>
      <c r="AB122" s="8" t="str">
        <f>IF(AA122='Listas suspensas'!$A$2,'Listas suspensas'!$B$2,IF(AA122='Listas suspensas'!$A$3,'Listas suspensas'!$B$3,IF(AA122='Listas suspensas'!$A$4,'Listas suspensas'!$B$4,IF(AA122='Listas suspensas'!$A$5,'Listas suspensas'!$B$5,IF(AA122='Listas suspensas'!$A$6,'Listas suspensas'!$B$6,"")))))</f>
        <v>Profunda e irregular</v>
      </c>
      <c r="AC122" s="8" t="str">
        <f>IF(AA122='Listas suspensas'!$A$2,'Listas suspensas'!$C$2,IF(AA122='Listas suspensas'!$A$3,'Listas suspensas'!$C$3,IF(AA122='Listas suspensas'!$A$4,'Listas suspensas'!$C$4,IF(AA122='Listas suspensas'!$A$5,'Listas suspensas'!$C$5,IF(AA122='Listas suspensas'!$A$6,'Listas suspensas'!$C$6,"")))))</f>
        <v>Indica a penetração profunda, mas desuniforme em toda a extensão do alburno.</v>
      </c>
      <c r="AP122" s="8" t="e">
        <f t="shared" si="22"/>
        <v>#DIV/0!</v>
      </c>
      <c r="AV122" s="8" t="e">
        <f t="shared" si="23"/>
        <v>#DIV/0!</v>
      </c>
      <c r="BB122" s="20" t="e">
        <f t="shared" si="35"/>
        <v>#DIV/0!</v>
      </c>
      <c r="BC122" s="20" t="e">
        <f t="shared" si="33"/>
        <v>#DIV/0!</v>
      </c>
      <c r="BD122" s="13">
        <v>0.92600000000000005</v>
      </c>
      <c r="BE122" s="18">
        <f t="shared" si="41"/>
        <v>926</v>
      </c>
      <c r="BF122" s="8">
        <v>0.375</v>
      </c>
      <c r="BG122" s="8">
        <v>0.17199999999999999</v>
      </c>
      <c r="BH122" s="8">
        <v>0.31900000000000001</v>
      </c>
      <c r="BI122" s="13">
        <f t="shared" si="27"/>
        <v>0.86599999999999988</v>
      </c>
      <c r="BJ122" s="14">
        <v>43.3</v>
      </c>
      <c r="BK122" s="14">
        <v>19.899999999999999</v>
      </c>
      <c r="BL122" s="14">
        <v>36.799999999999997</v>
      </c>
      <c r="BM122" s="16">
        <f t="shared" si="36"/>
        <v>100</v>
      </c>
      <c r="BN122" s="21">
        <f t="shared" si="37"/>
        <v>3.47</v>
      </c>
      <c r="BO122" s="21">
        <f t="shared" si="38"/>
        <v>1.59</v>
      </c>
      <c r="BP122" s="21">
        <f t="shared" si="39"/>
        <v>2.95</v>
      </c>
      <c r="BQ122" s="14">
        <f t="shared" si="40"/>
        <v>8.01</v>
      </c>
      <c r="BR122" s="22" t="str">
        <f>IF(OR(AND(X122="Mourões", BQ122&gt;=6.5),AND(X122="Postes", BQ122&gt;=9.6),AND(X122="Dormentes", BQ122&gt;=9.6),AND(X122="Estacas", BQ122&gt;=6.5),AND(X122="Cruzetas", BQ122&gt;=6.5),AND(X122="Outros - Solo", BQ122&gt;=6.5),AND(X122="Outros - Suspenso",BQ122&gt;=4),AND(X122="Deck",BQ122&gt;=4)),'Listas suspensas'!$C$21,'Listas suspensas'!$C$22)</f>
        <v>Os resultados da análise química apresentaram uma retenção do produto inferior ao padrão mínimo exigido pela norma ABNT NBR 16143</v>
      </c>
    </row>
    <row r="123" spans="2:70" x14ac:dyDescent="0.25">
      <c r="B123" s="8" t="s">
        <v>373</v>
      </c>
      <c r="C123" s="8" t="s">
        <v>71</v>
      </c>
      <c r="D123" s="8" t="s">
        <v>240</v>
      </c>
      <c r="F123" s="11">
        <v>45743</v>
      </c>
      <c r="G123" s="11">
        <v>45743</v>
      </c>
      <c r="H123" s="11">
        <v>45747</v>
      </c>
      <c r="I123" s="8" t="s">
        <v>241</v>
      </c>
      <c r="J123" s="8" t="s">
        <v>242</v>
      </c>
      <c r="K123" s="8" t="s">
        <v>243</v>
      </c>
      <c r="L123" s="8" t="s">
        <v>15</v>
      </c>
      <c r="M123" s="30" t="s">
        <v>361</v>
      </c>
      <c r="N123" s="8" t="s">
        <v>75</v>
      </c>
      <c r="O123" s="8" t="s">
        <v>94</v>
      </c>
      <c r="P123" s="28" t="s">
        <v>77</v>
      </c>
      <c r="Q123" s="16" t="s">
        <v>374</v>
      </c>
      <c r="X123" s="8" t="s">
        <v>180</v>
      </c>
      <c r="Y123" s="34">
        <f>IF(X123='Listas suspensas'!$A$21,'Listas suspensas'!$B$23,IF(X123='Listas suspensas'!$A$22,'Listas suspensas'!$B$23,IF(X123='Listas suspensas'!$A$23,'Listas suspensas'!$B$22,IF(X123='Listas suspensas'!$A$26,'Listas suspensas'!$B$22,IF(X123='Listas suspensas'!$A$32,'Listas suspensas'!$B$22,IF(X123='Listas suspensas'!$A$33,'Listas suspensas'!$B$21,IF(X123='Listas suspensas'!$A$24,'Listas suspensas'!$B$22,IF(X123='Listas suspensas'!$A$30,'Listas suspensas'!$B$21,""))))))))</f>
        <v>6.5</v>
      </c>
      <c r="Z123" s="8" t="s">
        <v>80</v>
      </c>
      <c r="AA123" s="8">
        <v>2</v>
      </c>
      <c r="AB123" s="8" t="str">
        <f>IF(AA123='Listas suspensas'!$A$2,'Listas suspensas'!$B$2,IF(AA123='Listas suspensas'!$A$3,'Listas suspensas'!$B$3,IF(AA123='Listas suspensas'!$A$4,'Listas suspensas'!$B$4,IF(AA123='Listas suspensas'!$A$5,'Listas suspensas'!$B$5,IF(AA123='Listas suspensas'!$A$6,'Listas suspensas'!$B$6,"")))))</f>
        <v>Profunda e irregular</v>
      </c>
      <c r="AC123" s="8" t="str">
        <f>IF(AA123='Listas suspensas'!$A$2,'Listas suspensas'!$C$2,IF(AA123='Listas suspensas'!$A$3,'Listas suspensas'!$C$3,IF(AA123='Listas suspensas'!$A$4,'Listas suspensas'!$C$4,IF(AA123='Listas suspensas'!$A$5,'Listas suspensas'!$C$5,IF(AA123='Listas suspensas'!$A$6,'Listas suspensas'!$C$6,"")))))</f>
        <v>Indica a penetração profunda, mas desuniforme em toda a extensão do alburno.</v>
      </c>
      <c r="AP123" s="8" t="e">
        <f t="shared" si="22"/>
        <v>#DIV/0!</v>
      </c>
      <c r="AV123" s="8" t="e">
        <f t="shared" si="23"/>
        <v>#DIV/0!</v>
      </c>
      <c r="BB123" s="20" t="e">
        <f t="shared" si="35"/>
        <v>#DIV/0!</v>
      </c>
      <c r="BC123" s="20" t="e">
        <f t="shared" si="33"/>
        <v>#DIV/0!</v>
      </c>
      <c r="BD123" s="13">
        <v>0.77500000000000002</v>
      </c>
      <c r="BE123" s="18">
        <f t="shared" si="41"/>
        <v>775</v>
      </c>
      <c r="BF123" s="8">
        <v>0.29499999999999998</v>
      </c>
      <c r="BG123" s="8">
        <v>0.124</v>
      </c>
      <c r="BH123" s="8">
        <v>0.22900000000000001</v>
      </c>
      <c r="BI123" s="13">
        <f t="shared" si="27"/>
        <v>0.64800000000000002</v>
      </c>
      <c r="BJ123" s="14">
        <v>45.5</v>
      </c>
      <c r="BK123" s="14">
        <v>19.2</v>
      </c>
      <c r="BL123" s="14">
        <v>35.299999999999997</v>
      </c>
      <c r="BM123" s="16">
        <f t="shared" si="36"/>
        <v>100</v>
      </c>
      <c r="BN123" s="21">
        <f t="shared" si="37"/>
        <v>2.29</v>
      </c>
      <c r="BO123" s="21">
        <f t="shared" si="38"/>
        <v>0.96</v>
      </c>
      <c r="BP123" s="21">
        <f t="shared" si="39"/>
        <v>1.77</v>
      </c>
      <c r="BQ123" s="14">
        <f t="shared" si="40"/>
        <v>5.0199999999999996</v>
      </c>
      <c r="BR123" s="22" t="str">
        <f>IF(OR(AND(X123="Mourões", BQ123&gt;=6.5),AND(X123="Postes", BQ123&gt;=9.6),AND(X123="Dormentes", BQ123&gt;=9.6),AND(X123="Estacas", BQ123&gt;=6.5),AND(X123="Cruzetas", BQ123&gt;=6.5),AND(X123="Outros - Solo", BQ123&gt;=6.5),AND(X123="Outros - Suspenso",BQ123&gt;=4),AND(X123="Deck",BQ123&gt;=4)),'Listas suspensas'!$C$21,'Listas suspensas'!$C$22)</f>
        <v>Os resultados da análise química apresentaram uma retenção do produto inferior ao padrão mínimo exigido pela norma ABNT NBR 16143</v>
      </c>
    </row>
    <row r="124" spans="2:70" x14ac:dyDescent="0.25">
      <c r="B124" s="8" t="s">
        <v>375</v>
      </c>
      <c r="C124" s="8" t="s">
        <v>71</v>
      </c>
      <c r="D124" s="8" t="s">
        <v>240</v>
      </c>
      <c r="F124" s="11">
        <v>45743</v>
      </c>
      <c r="G124" s="11">
        <v>45743</v>
      </c>
      <c r="H124" s="11">
        <v>45747</v>
      </c>
      <c r="I124" s="8" t="s">
        <v>241</v>
      </c>
      <c r="J124" s="8" t="s">
        <v>242</v>
      </c>
      <c r="K124" s="8" t="s">
        <v>243</v>
      </c>
      <c r="L124" s="8" t="s">
        <v>15</v>
      </c>
      <c r="M124" s="30" t="s">
        <v>361</v>
      </c>
      <c r="N124" s="8" t="s">
        <v>75</v>
      </c>
      <c r="O124" s="8" t="s">
        <v>94</v>
      </c>
      <c r="P124" s="28" t="s">
        <v>77</v>
      </c>
      <c r="Q124" s="16" t="s">
        <v>376</v>
      </c>
      <c r="X124" s="8" t="s">
        <v>180</v>
      </c>
      <c r="Y124" s="34">
        <f>IF(X124='Listas suspensas'!$A$21,'Listas suspensas'!$B$23,IF(X124='Listas suspensas'!$A$22,'Listas suspensas'!$B$23,IF(X124='Listas suspensas'!$A$23,'Listas suspensas'!$B$22,IF(X124='Listas suspensas'!$A$26,'Listas suspensas'!$B$22,IF(X124='Listas suspensas'!$A$32,'Listas suspensas'!$B$22,IF(X124='Listas suspensas'!$A$33,'Listas suspensas'!$B$21,IF(X124='Listas suspensas'!$A$24,'Listas suspensas'!$B$22,IF(X124='Listas suspensas'!$A$30,'Listas suspensas'!$B$21,""))))))))</f>
        <v>6.5</v>
      </c>
      <c r="Z124" s="8" t="s">
        <v>80</v>
      </c>
      <c r="AA124" s="8">
        <v>3</v>
      </c>
      <c r="AB124" s="8" t="str">
        <f>IF(AA124='Listas suspensas'!$A$2,'Listas suspensas'!$B$2,IF(AA124='Listas suspensas'!$A$3,'Listas suspensas'!$B$3,IF(AA124='Listas suspensas'!$A$4,'Listas suspensas'!$B$4,IF(AA124='Listas suspensas'!$A$5,'Listas suspensas'!$B$5,IF(AA124='Listas suspensas'!$A$6,'Listas suspensas'!$B$6,"")))))</f>
        <v xml:space="preserve"> Parcial e regular</v>
      </c>
      <c r="AC124" s="8" t="str">
        <f>IF(AA124='Listas suspensas'!$A$2,'Listas suspensas'!$C$2,IF(AA124='Listas suspensas'!$A$3,'Listas suspensas'!$C$3,IF(AA124='Listas suspensas'!$A$4,'Listas suspensas'!$C$4,IF(AA124='Listas suspensas'!$A$5,'Listas suspensas'!$C$5,IF(AA124='Listas suspensas'!$A$6,'Listas suspensas'!$C$6,"")))))</f>
        <v>Indica a penetração uniforme, mas não total pela extensão do alburno.</v>
      </c>
      <c r="AP124" s="8" t="e">
        <f t="shared" si="22"/>
        <v>#DIV/0!</v>
      </c>
      <c r="AV124" s="8" t="e">
        <f t="shared" si="23"/>
        <v>#DIV/0!</v>
      </c>
      <c r="BB124" s="20" t="e">
        <f t="shared" si="35"/>
        <v>#DIV/0!</v>
      </c>
      <c r="BC124" s="20" t="e">
        <f t="shared" si="33"/>
        <v>#DIV/0!</v>
      </c>
      <c r="BD124" s="13">
        <v>0.82699999999999996</v>
      </c>
      <c r="BE124" s="18">
        <f t="shared" si="41"/>
        <v>827</v>
      </c>
      <c r="BF124" s="8">
        <v>0.42</v>
      </c>
      <c r="BG124" s="8">
        <v>0.19400000000000001</v>
      </c>
      <c r="BH124" s="8">
        <v>0.32900000000000001</v>
      </c>
      <c r="BI124" s="13">
        <f t="shared" si="27"/>
        <v>0.94300000000000006</v>
      </c>
      <c r="BJ124" s="14">
        <v>44.5</v>
      </c>
      <c r="BK124" s="14">
        <v>20.6</v>
      </c>
      <c r="BL124" s="14">
        <v>34.9</v>
      </c>
      <c r="BM124" s="16">
        <f t="shared" si="36"/>
        <v>100</v>
      </c>
      <c r="BN124" s="21">
        <f t="shared" si="37"/>
        <v>3.47</v>
      </c>
      <c r="BO124" s="21">
        <f t="shared" si="38"/>
        <v>1.6</v>
      </c>
      <c r="BP124" s="21">
        <f t="shared" si="39"/>
        <v>2.72</v>
      </c>
      <c r="BQ124" s="14">
        <f t="shared" si="40"/>
        <v>7.79</v>
      </c>
      <c r="BR124" s="22" t="str">
        <f>IF(OR(AND(X124="Mourões", BQ124&gt;=6.5),AND(X124="Postes", BQ124&gt;=9.6),AND(X124="Dormentes", BQ124&gt;=9.6),AND(X124="Estacas", BQ124&gt;=6.5),AND(X124="Cruzetas", BQ124&gt;=6.5),AND(X124="Outros - Solo", BQ124&gt;=6.5),AND(X124="Outros - Suspenso",BQ124&gt;=4),AND(X124="Deck",BQ124&gt;=4)),'Listas suspensas'!$C$21,'Listas suspensas'!$C$22)</f>
        <v>Os resultados da análise química apresentaram uma retenção do produto inferior ao padrão mínimo exigido pela norma ABNT NBR 16143</v>
      </c>
    </row>
    <row r="125" spans="2:70" x14ac:dyDescent="0.25">
      <c r="B125" s="8" t="s">
        <v>377</v>
      </c>
      <c r="C125" s="8" t="s">
        <v>71</v>
      </c>
      <c r="D125" s="8" t="s">
        <v>240</v>
      </c>
      <c r="F125" s="11">
        <v>45743</v>
      </c>
      <c r="G125" s="11">
        <v>45743</v>
      </c>
      <c r="H125" s="11">
        <v>45747</v>
      </c>
      <c r="I125" s="8" t="s">
        <v>241</v>
      </c>
      <c r="J125" s="8" t="s">
        <v>242</v>
      </c>
      <c r="K125" s="8" t="s">
        <v>243</v>
      </c>
      <c r="L125" s="8" t="s">
        <v>15</v>
      </c>
      <c r="M125" s="30" t="s">
        <v>361</v>
      </c>
      <c r="N125" s="8" t="s">
        <v>75</v>
      </c>
      <c r="O125" s="8" t="s">
        <v>94</v>
      </c>
      <c r="P125" s="28" t="s">
        <v>77</v>
      </c>
      <c r="Q125" s="16" t="s">
        <v>378</v>
      </c>
      <c r="X125" s="8" t="s">
        <v>180</v>
      </c>
      <c r="Y125" s="34">
        <f>IF(X125='Listas suspensas'!$A$21,'Listas suspensas'!$B$23,IF(X125='Listas suspensas'!$A$22,'Listas suspensas'!$B$23,IF(X125='Listas suspensas'!$A$23,'Listas suspensas'!$B$22,IF(X125='Listas suspensas'!$A$26,'Listas suspensas'!$B$22,IF(X125='Listas suspensas'!$A$32,'Listas suspensas'!$B$22,IF(X125='Listas suspensas'!$A$33,'Listas suspensas'!$B$21,IF(X125='Listas suspensas'!$A$24,'Listas suspensas'!$B$22,IF(X125='Listas suspensas'!$A$30,'Listas suspensas'!$B$21,""))))))))</f>
        <v>6.5</v>
      </c>
      <c r="Z125" s="8" t="s">
        <v>80</v>
      </c>
      <c r="AA125" s="8">
        <v>3</v>
      </c>
      <c r="AB125" s="8" t="str">
        <f>IF(AA125='Listas suspensas'!$A$2,'Listas suspensas'!$B$2,IF(AA125='Listas suspensas'!$A$3,'Listas suspensas'!$B$3,IF(AA125='Listas suspensas'!$A$4,'Listas suspensas'!$B$4,IF(AA125='Listas suspensas'!$A$5,'Listas suspensas'!$B$5,IF(AA125='Listas suspensas'!$A$6,'Listas suspensas'!$B$6,"")))))</f>
        <v xml:space="preserve"> Parcial e regular</v>
      </c>
      <c r="AC125" s="8" t="str">
        <f>IF(AA125='Listas suspensas'!$A$2,'Listas suspensas'!$C$2,IF(AA125='Listas suspensas'!$A$3,'Listas suspensas'!$C$3,IF(AA125='Listas suspensas'!$A$4,'Listas suspensas'!$C$4,IF(AA125='Listas suspensas'!$A$5,'Listas suspensas'!$C$5,IF(AA125='Listas suspensas'!$A$6,'Listas suspensas'!$C$6,"")))))</f>
        <v>Indica a penetração uniforme, mas não total pela extensão do alburno.</v>
      </c>
      <c r="AP125" s="8" t="e">
        <f t="shared" si="22"/>
        <v>#DIV/0!</v>
      </c>
      <c r="AV125" s="8" t="e">
        <f t="shared" si="23"/>
        <v>#DIV/0!</v>
      </c>
      <c r="BB125" s="20" t="e">
        <f t="shared" si="35"/>
        <v>#DIV/0!</v>
      </c>
      <c r="BC125" s="20" t="e">
        <f t="shared" si="33"/>
        <v>#DIV/0!</v>
      </c>
      <c r="BD125" s="13">
        <v>0.86599999999999999</v>
      </c>
      <c r="BE125" s="18">
        <f t="shared" si="41"/>
        <v>866</v>
      </c>
      <c r="BF125" s="8">
        <v>0.26100000000000001</v>
      </c>
      <c r="BG125" s="8">
        <v>0.121</v>
      </c>
      <c r="BH125" s="8">
        <v>0.23100000000000001</v>
      </c>
      <c r="BI125" s="13">
        <f t="shared" si="27"/>
        <v>0.61299999999999999</v>
      </c>
      <c r="BJ125" s="14">
        <v>42.5</v>
      </c>
      <c r="BK125" s="14">
        <v>19.7</v>
      </c>
      <c r="BL125" s="14">
        <v>37.799999999999997</v>
      </c>
      <c r="BM125" s="16">
        <f t="shared" si="36"/>
        <v>100</v>
      </c>
      <c r="BN125" s="21">
        <f t="shared" si="37"/>
        <v>2.2599999999999998</v>
      </c>
      <c r="BO125" s="21">
        <f t="shared" si="38"/>
        <v>1.05</v>
      </c>
      <c r="BP125" s="21">
        <f t="shared" si="39"/>
        <v>2</v>
      </c>
      <c r="BQ125" s="14">
        <f t="shared" si="40"/>
        <v>5.31</v>
      </c>
      <c r="BR125" s="22" t="str">
        <f>IF(OR(AND(X125="Mourões", BQ125&gt;=6.5),AND(X125="Postes", BQ125&gt;=9.6),AND(X125="Dormentes", BQ125&gt;=9.6),AND(X125="Estacas", BQ125&gt;=6.5),AND(X125="Cruzetas", BQ125&gt;=6.5),AND(X125="Outros - Solo", BQ125&gt;=6.5),AND(X125="Outros - Suspenso",BQ125&gt;=4),AND(X125="Deck",BQ125&gt;=4)),'Listas suspensas'!$C$21,'Listas suspensas'!$C$22)</f>
        <v>Os resultados da análise química apresentaram uma retenção do produto inferior ao padrão mínimo exigido pela norma ABNT NBR 16143</v>
      </c>
    </row>
    <row r="126" spans="2:70" x14ac:dyDescent="0.25">
      <c r="B126" s="8" t="s">
        <v>379</v>
      </c>
      <c r="C126" s="8" t="s">
        <v>71</v>
      </c>
      <c r="D126" s="8" t="s">
        <v>240</v>
      </c>
      <c r="F126" s="11">
        <v>45761</v>
      </c>
      <c r="G126" s="11">
        <v>45761</v>
      </c>
      <c r="H126" s="11">
        <v>45770</v>
      </c>
      <c r="I126" s="8" t="s">
        <v>241</v>
      </c>
      <c r="J126" s="8" t="s">
        <v>242</v>
      </c>
      <c r="K126" s="8" t="s">
        <v>243</v>
      </c>
      <c r="L126" s="8" t="s">
        <v>15</v>
      </c>
      <c r="M126" s="30" t="s">
        <v>361</v>
      </c>
      <c r="N126" s="8" t="s">
        <v>75</v>
      </c>
      <c r="O126" s="8" t="s">
        <v>94</v>
      </c>
      <c r="P126" s="28" t="s">
        <v>77</v>
      </c>
      <c r="Q126" s="16" t="s">
        <v>380</v>
      </c>
      <c r="X126" s="8" t="s">
        <v>180</v>
      </c>
      <c r="Y126" s="34">
        <f>IF(X126='Listas suspensas'!$A$21,'Listas suspensas'!$B$23,IF(X126='Listas suspensas'!$A$22,'Listas suspensas'!$B$23,IF(X126='Listas suspensas'!$A$23,'Listas suspensas'!$B$22,IF(X126='Listas suspensas'!$A$26,'Listas suspensas'!$B$22,IF(X126='Listas suspensas'!$A$32,'Listas suspensas'!$B$22,IF(X126='Listas suspensas'!$A$33,'Listas suspensas'!$B$21,IF(X126='Listas suspensas'!$A$24,'Listas suspensas'!$B$22,IF(X126='Listas suspensas'!$A$30,'Listas suspensas'!$B$21,""))))))))</f>
        <v>6.5</v>
      </c>
      <c r="Z126" s="8" t="s">
        <v>80</v>
      </c>
      <c r="AA126" s="8">
        <v>1</v>
      </c>
      <c r="AB126" s="8" t="str">
        <f>IF(AA126='Listas suspensas'!$A$2,'Listas suspensas'!$B$2,IF(AA126='Listas suspensas'!$A$3,'Listas suspensas'!$B$3,IF(AA126='Listas suspensas'!$A$4,'Listas suspensas'!$B$4,IF(AA126='Listas suspensas'!$A$5,'Listas suspensas'!$B$5,IF(AA126='Listas suspensas'!$A$6,'Listas suspensas'!$B$6,"")))))</f>
        <v>Profunda e regular</v>
      </c>
      <c r="AC126" s="8" t="str">
        <f>IF(AA126='Listas suspensas'!$A$2,'Listas suspensas'!$C$2,IF(AA126='Listas suspensas'!$A$3,'Listas suspensas'!$C$3,IF(AA126='Listas suspensas'!$A$4,'Listas suspensas'!$C$4,IF(AA126='Listas suspensas'!$A$5,'Listas suspensas'!$C$5,IF(AA126='Listas suspensas'!$A$6,'Listas suspensas'!$C$6,"")))))</f>
        <v>Indica a penetração profunda e uniforme em toda a extensão do alburno.</v>
      </c>
      <c r="AP126" s="8" t="e">
        <f t="shared" si="22"/>
        <v>#DIV/0!</v>
      </c>
      <c r="AV126" s="8" t="e">
        <f t="shared" si="23"/>
        <v>#DIV/0!</v>
      </c>
      <c r="BB126" s="20" t="e">
        <f t="shared" si="35"/>
        <v>#DIV/0!</v>
      </c>
      <c r="BC126" s="20" t="e">
        <f t="shared" si="33"/>
        <v>#DIV/0!</v>
      </c>
      <c r="BD126" s="13">
        <v>0.80300000000000005</v>
      </c>
      <c r="BE126" s="18">
        <f t="shared" si="41"/>
        <v>803</v>
      </c>
      <c r="BF126" s="8">
        <v>0.36499999999999999</v>
      </c>
      <c r="BG126" s="8">
        <v>0.20499999999999999</v>
      </c>
      <c r="BH126" s="8">
        <v>0.38100000000000001</v>
      </c>
      <c r="BI126" s="13">
        <f t="shared" si="27"/>
        <v>0.95099999999999996</v>
      </c>
      <c r="BJ126" s="14">
        <v>38.4</v>
      </c>
      <c r="BK126" s="14">
        <v>21.6</v>
      </c>
      <c r="BL126" s="14">
        <v>40</v>
      </c>
      <c r="BM126" s="16">
        <f t="shared" si="36"/>
        <v>100</v>
      </c>
      <c r="BN126" s="21">
        <f t="shared" si="37"/>
        <v>2.93</v>
      </c>
      <c r="BO126" s="21">
        <f t="shared" si="38"/>
        <v>1.65</v>
      </c>
      <c r="BP126" s="21">
        <f t="shared" si="39"/>
        <v>3.06</v>
      </c>
      <c r="BQ126" s="14">
        <f t="shared" si="40"/>
        <v>7.64</v>
      </c>
      <c r="BR126" s="22" t="str">
        <f>IF(OR(AND(X126="Mourões", BQ126&gt;=6.5),AND(X126="Postes", BQ126&gt;=9.6),AND(X126="Dormentes", BQ126&gt;=9.6),AND(X126="Estacas", BQ126&gt;=6.5),AND(X126="Cruzetas", BQ126&gt;=6.5),AND(X126="Outros - Solo", BQ126&gt;=6.5),AND(X126="Outros - Suspenso",BQ126&gt;=4),AND(X126="Deck",BQ126&gt;=4)),'Listas suspensas'!$C$21,'Listas suspensas'!$C$22)</f>
        <v>Os resultados da análise química apresentaram uma retenção do produto inferior ao padrão mínimo exigido pela norma ABNT NBR 16143</v>
      </c>
    </row>
    <row r="127" spans="2:70" x14ac:dyDescent="0.25">
      <c r="B127" s="8" t="s">
        <v>381</v>
      </c>
      <c r="C127" s="8" t="s">
        <v>71</v>
      </c>
      <c r="D127" s="8" t="s">
        <v>240</v>
      </c>
      <c r="F127" s="11">
        <v>45761</v>
      </c>
      <c r="G127" s="11">
        <v>45761</v>
      </c>
      <c r="H127" s="11">
        <v>45770</v>
      </c>
      <c r="I127" s="8" t="s">
        <v>241</v>
      </c>
      <c r="J127" s="8" t="s">
        <v>242</v>
      </c>
      <c r="K127" s="8" t="s">
        <v>243</v>
      </c>
      <c r="L127" s="8" t="s">
        <v>15</v>
      </c>
      <c r="M127" s="30" t="s">
        <v>361</v>
      </c>
      <c r="N127" s="8" t="s">
        <v>75</v>
      </c>
      <c r="O127" s="8" t="s">
        <v>94</v>
      </c>
      <c r="P127" s="28" t="s">
        <v>77</v>
      </c>
      <c r="Q127" s="16" t="s">
        <v>382</v>
      </c>
      <c r="X127" s="8" t="s">
        <v>180</v>
      </c>
      <c r="Y127" s="34">
        <f>IF(X127='Listas suspensas'!$A$21,'Listas suspensas'!$B$23,IF(X127='Listas suspensas'!$A$22,'Listas suspensas'!$B$23,IF(X127='Listas suspensas'!$A$23,'Listas suspensas'!$B$22,IF(X127='Listas suspensas'!$A$26,'Listas suspensas'!$B$22,IF(X127='Listas suspensas'!$A$32,'Listas suspensas'!$B$22,IF(X127='Listas suspensas'!$A$33,'Listas suspensas'!$B$21,IF(X127='Listas suspensas'!$A$24,'Listas suspensas'!$B$22,IF(X127='Listas suspensas'!$A$30,'Listas suspensas'!$B$21,""))))))))</f>
        <v>6.5</v>
      </c>
      <c r="Z127" s="8" t="s">
        <v>80</v>
      </c>
      <c r="AA127" s="8">
        <v>1</v>
      </c>
      <c r="AB127" s="8" t="str">
        <f>IF(AA127='Listas suspensas'!$A$2,'Listas suspensas'!$B$2,IF(AA127='Listas suspensas'!$A$3,'Listas suspensas'!$B$3,IF(AA127='Listas suspensas'!$A$4,'Listas suspensas'!$B$4,IF(AA127='Listas suspensas'!$A$5,'Listas suspensas'!$B$5,IF(AA127='Listas suspensas'!$A$6,'Listas suspensas'!$B$6,"")))))</f>
        <v>Profunda e regular</v>
      </c>
      <c r="AC127" s="8" t="str">
        <f>IF(AA127='Listas suspensas'!$A$2,'Listas suspensas'!$C$2,IF(AA127='Listas suspensas'!$A$3,'Listas suspensas'!$C$3,IF(AA127='Listas suspensas'!$A$4,'Listas suspensas'!$C$4,IF(AA127='Listas suspensas'!$A$5,'Listas suspensas'!$C$5,IF(AA127='Listas suspensas'!$A$6,'Listas suspensas'!$C$6,"")))))</f>
        <v>Indica a penetração profunda e uniforme em toda a extensão do alburno.</v>
      </c>
      <c r="AP127" s="8" t="e">
        <f t="shared" si="22"/>
        <v>#DIV/0!</v>
      </c>
      <c r="AV127" s="8" t="e">
        <f t="shared" si="23"/>
        <v>#DIV/0!</v>
      </c>
      <c r="BB127" s="20" t="e">
        <f t="shared" si="35"/>
        <v>#DIV/0!</v>
      </c>
      <c r="BC127" s="20" t="e">
        <f t="shared" si="33"/>
        <v>#DIV/0!</v>
      </c>
      <c r="BD127" s="13">
        <v>0.82</v>
      </c>
      <c r="BE127" s="18">
        <f t="shared" si="41"/>
        <v>820</v>
      </c>
      <c r="BF127" s="8">
        <v>0.51400000000000001</v>
      </c>
      <c r="BG127" s="8">
        <v>0.219</v>
      </c>
      <c r="BH127" s="8">
        <v>0.38400000000000001</v>
      </c>
      <c r="BI127" s="13">
        <f t="shared" si="27"/>
        <v>1.117</v>
      </c>
      <c r="BJ127" s="14">
        <v>46.1</v>
      </c>
      <c r="BK127" s="14">
        <v>19.600000000000001</v>
      </c>
      <c r="BL127" s="14">
        <v>34.299999999999997</v>
      </c>
      <c r="BM127" s="16">
        <f t="shared" si="36"/>
        <v>100</v>
      </c>
      <c r="BN127" s="21">
        <f t="shared" si="37"/>
        <v>4.21</v>
      </c>
      <c r="BO127" s="21">
        <f t="shared" si="38"/>
        <v>1.8</v>
      </c>
      <c r="BP127" s="21">
        <f t="shared" si="39"/>
        <v>3.15</v>
      </c>
      <c r="BQ127" s="14">
        <f t="shared" si="40"/>
        <v>9.16</v>
      </c>
      <c r="BR127" s="22" t="str">
        <f>IF(OR(AND(X127="Mourões", BQ127&gt;=6.5),AND(X127="Postes", BQ127&gt;=9.6),AND(X127="Dormentes", BQ127&gt;=9.6),AND(X127="Estacas", BQ127&gt;=6.5),AND(X127="Cruzetas", BQ127&gt;=6.5),AND(X127="Outros - Solo", BQ127&gt;=6.5),AND(X127="Outros - Suspenso",BQ127&gt;=4),AND(X127="Deck",BQ127&gt;=4)),'Listas suspensas'!$C$21,'Listas suspensas'!$C$22)</f>
        <v>Os resultados da análise química apresentaram uma retenção do produto inferior ao padrão mínimo exigido pela norma ABNT NBR 16143</v>
      </c>
    </row>
    <row r="128" spans="2:70" x14ac:dyDescent="0.25">
      <c r="B128" s="8" t="s">
        <v>383</v>
      </c>
      <c r="C128" s="8" t="s">
        <v>71</v>
      </c>
      <c r="D128" s="8" t="s">
        <v>240</v>
      </c>
      <c r="F128" s="11">
        <v>45761</v>
      </c>
      <c r="G128" s="11">
        <v>45761</v>
      </c>
      <c r="H128" s="11">
        <v>45770</v>
      </c>
      <c r="I128" s="8" t="s">
        <v>241</v>
      </c>
      <c r="J128" s="8" t="s">
        <v>242</v>
      </c>
      <c r="K128" s="8" t="s">
        <v>243</v>
      </c>
      <c r="L128" s="8" t="s">
        <v>15</v>
      </c>
      <c r="M128" s="30" t="s">
        <v>361</v>
      </c>
      <c r="N128" s="8" t="s">
        <v>75</v>
      </c>
      <c r="O128" s="8" t="s">
        <v>94</v>
      </c>
      <c r="P128" s="28" t="s">
        <v>77</v>
      </c>
      <c r="Q128" s="16" t="s">
        <v>384</v>
      </c>
      <c r="X128" s="8" t="s">
        <v>180</v>
      </c>
      <c r="Y128" s="34">
        <f>IF(X128='Listas suspensas'!$A$21,'Listas suspensas'!$B$23,IF(X128='Listas suspensas'!$A$22,'Listas suspensas'!$B$23,IF(X128='Listas suspensas'!$A$23,'Listas suspensas'!$B$22,IF(X128='Listas suspensas'!$A$26,'Listas suspensas'!$B$22,IF(X128='Listas suspensas'!$A$32,'Listas suspensas'!$B$22,IF(X128='Listas suspensas'!$A$33,'Listas suspensas'!$B$21,IF(X128='Listas suspensas'!$A$24,'Listas suspensas'!$B$22,IF(X128='Listas suspensas'!$A$30,'Listas suspensas'!$B$21,""))))))))</f>
        <v>6.5</v>
      </c>
      <c r="Z128" s="8" t="s">
        <v>80</v>
      </c>
      <c r="AA128" s="8">
        <v>2</v>
      </c>
      <c r="AB128" s="8" t="str">
        <f>IF(AA128='Listas suspensas'!$A$2,'Listas suspensas'!$B$2,IF(AA128='Listas suspensas'!$A$3,'Listas suspensas'!$B$3,IF(AA128='Listas suspensas'!$A$4,'Listas suspensas'!$B$4,IF(AA128='Listas suspensas'!$A$5,'Listas suspensas'!$B$5,IF(AA128='Listas suspensas'!$A$6,'Listas suspensas'!$B$6,"")))))</f>
        <v>Profunda e irregular</v>
      </c>
      <c r="AC128" s="8" t="str">
        <f>IF(AA128='Listas suspensas'!$A$2,'Listas suspensas'!$C$2,IF(AA128='Listas suspensas'!$A$3,'Listas suspensas'!$C$3,IF(AA128='Listas suspensas'!$A$4,'Listas suspensas'!$C$4,IF(AA128='Listas suspensas'!$A$5,'Listas suspensas'!$C$5,IF(AA128='Listas suspensas'!$A$6,'Listas suspensas'!$C$6,"")))))</f>
        <v>Indica a penetração profunda, mas desuniforme em toda a extensão do alburno.</v>
      </c>
      <c r="AP128" s="8" t="e">
        <f t="shared" si="22"/>
        <v>#DIV/0!</v>
      </c>
      <c r="AV128" s="8" t="e">
        <f t="shared" si="23"/>
        <v>#DIV/0!</v>
      </c>
      <c r="BB128" s="20" t="e">
        <f t="shared" si="35"/>
        <v>#DIV/0!</v>
      </c>
      <c r="BC128" s="20" t="e">
        <f t="shared" si="33"/>
        <v>#DIV/0!</v>
      </c>
      <c r="BD128" s="13">
        <v>0.82499999999999996</v>
      </c>
      <c r="BE128" s="18">
        <f t="shared" si="41"/>
        <v>825</v>
      </c>
      <c r="BF128" s="8">
        <v>0.307</v>
      </c>
      <c r="BG128" s="8">
        <v>0.124</v>
      </c>
      <c r="BH128" s="8">
        <v>0.214</v>
      </c>
      <c r="BI128" s="13">
        <f t="shared" si="27"/>
        <v>0.64500000000000002</v>
      </c>
      <c r="BJ128" s="14">
        <v>47.7</v>
      </c>
      <c r="BK128" s="14">
        <v>19.2</v>
      </c>
      <c r="BL128" s="14">
        <v>33.1</v>
      </c>
      <c r="BM128" s="16">
        <f t="shared" si="36"/>
        <v>100</v>
      </c>
      <c r="BN128" s="21">
        <f t="shared" si="37"/>
        <v>2.5299999999999998</v>
      </c>
      <c r="BO128" s="21">
        <f t="shared" si="38"/>
        <v>1.02</v>
      </c>
      <c r="BP128" s="21">
        <f t="shared" si="39"/>
        <v>1.77</v>
      </c>
      <c r="BQ128" s="14">
        <f t="shared" si="40"/>
        <v>5.32</v>
      </c>
      <c r="BR128" s="22" t="str">
        <f>IF(OR(AND(X128="Mourões", BQ128&gt;=6.5),AND(X128="Postes", BQ128&gt;=9.6),AND(X128="Dormentes", BQ128&gt;=9.6),AND(X128="Estacas", BQ128&gt;=6.5),AND(X128="Cruzetas", BQ128&gt;=6.5),AND(X128="Outros - Solo", BQ128&gt;=6.5),AND(X128="Outros - Suspenso",BQ128&gt;=4),AND(X128="Deck",BQ128&gt;=4)),'Listas suspensas'!$C$21,'Listas suspensas'!$C$22)</f>
        <v>Os resultados da análise química apresentaram uma retenção do produto inferior ao padrão mínimo exigido pela norma ABNT NBR 16143</v>
      </c>
    </row>
    <row r="129" spans="2:70" x14ac:dyDescent="0.25">
      <c r="B129" s="8" t="s">
        <v>385</v>
      </c>
      <c r="C129" s="8" t="s">
        <v>71</v>
      </c>
      <c r="D129" s="8" t="s">
        <v>240</v>
      </c>
      <c r="F129" s="11">
        <v>45761</v>
      </c>
      <c r="G129" s="11">
        <v>45761</v>
      </c>
      <c r="H129" s="11">
        <v>45770</v>
      </c>
      <c r="I129" s="8" t="s">
        <v>241</v>
      </c>
      <c r="J129" s="8" t="s">
        <v>242</v>
      </c>
      <c r="K129" s="8" t="s">
        <v>243</v>
      </c>
      <c r="L129" s="8" t="s">
        <v>15</v>
      </c>
      <c r="M129" s="30" t="s">
        <v>361</v>
      </c>
      <c r="N129" s="8" t="s">
        <v>75</v>
      </c>
      <c r="O129" s="8" t="s">
        <v>94</v>
      </c>
      <c r="P129" s="28" t="s">
        <v>77</v>
      </c>
      <c r="Q129" s="16" t="s">
        <v>386</v>
      </c>
      <c r="X129" s="8" t="s">
        <v>180</v>
      </c>
      <c r="Y129" s="34">
        <f>IF(X129='Listas suspensas'!$A$21,'Listas suspensas'!$B$23,IF(X129='Listas suspensas'!$A$22,'Listas suspensas'!$B$23,IF(X129='Listas suspensas'!$A$23,'Listas suspensas'!$B$22,IF(X129='Listas suspensas'!$A$26,'Listas suspensas'!$B$22,IF(X129='Listas suspensas'!$A$32,'Listas suspensas'!$B$22,IF(X129='Listas suspensas'!$A$33,'Listas suspensas'!$B$21,IF(X129='Listas suspensas'!$A$24,'Listas suspensas'!$B$22,IF(X129='Listas suspensas'!$A$30,'Listas suspensas'!$B$21,""))))))))</f>
        <v>6.5</v>
      </c>
      <c r="Z129" s="8" t="s">
        <v>80</v>
      </c>
      <c r="AA129" s="8">
        <v>2</v>
      </c>
      <c r="AB129" s="8" t="str">
        <f>IF(AA129='Listas suspensas'!$A$2,'Listas suspensas'!$B$2,IF(AA129='Listas suspensas'!$A$3,'Listas suspensas'!$B$3,IF(AA129='Listas suspensas'!$A$4,'Listas suspensas'!$B$4,IF(AA129='Listas suspensas'!$A$5,'Listas suspensas'!$B$5,IF(AA129='Listas suspensas'!$A$6,'Listas suspensas'!$B$6,"")))))</f>
        <v>Profunda e irregular</v>
      </c>
      <c r="AC129" s="8" t="str">
        <f>IF(AA129='Listas suspensas'!$A$2,'Listas suspensas'!$C$2,IF(AA129='Listas suspensas'!$A$3,'Listas suspensas'!$C$3,IF(AA129='Listas suspensas'!$A$4,'Listas suspensas'!$C$4,IF(AA129='Listas suspensas'!$A$5,'Listas suspensas'!$C$5,IF(AA129='Listas suspensas'!$A$6,'Listas suspensas'!$C$6,"")))))</f>
        <v>Indica a penetração profunda, mas desuniforme em toda a extensão do alburno.</v>
      </c>
      <c r="AP129" s="8" t="e">
        <f t="shared" si="22"/>
        <v>#DIV/0!</v>
      </c>
      <c r="AV129" s="8" t="e">
        <f t="shared" si="23"/>
        <v>#DIV/0!</v>
      </c>
      <c r="BB129" s="20" t="e">
        <f t="shared" si="35"/>
        <v>#DIV/0!</v>
      </c>
      <c r="BC129" s="20" t="e">
        <f t="shared" si="33"/>
        <v>#DIV/0!</v>
      </c>
      <c r="BD129" s="13">
        <v>0.77800000000000002</v>
      </c>
      <c r="BE129" s="18">
        <f t="shared" si="41"/>
        <v>778</v>
      </c>
      <c r="BF129" s="8">
        <v>0.41</v>
      </c>
      <c r="BG129" s="8">
        <v>0.223</v>
      </c>
      <c r="BH129" s="8">
        <v>0.436</v>
      </c>
      <c r="BI129" s="13">
        <f t="shared" si="27"/>
        <v>1.069</v>
      </c>
      <c r="BJ129" s="14">
        <v>38.299999999999997</v>
      </c>
      <c r="BK129" s="14">
        <v>20.9</v>
      </c>
      <c r="BL129" s="14">
        <v>40.799999999999997</v>
      </c>
      <c r="BM129" s="16">
        <f t="shared" si="36"/>
        <v>100</v>
      </c>
      <c r="BN129" s="21">
        <f t="shared" si="37"/>
        <v>3.19</v>
      </c>
      <c r="BO129" s="21">
        <f t="shared" si="38"/>
        <v>1.73</v>
      </c>
      <c r="BP129" s="21">
        <f t="shared" si="39"/>
        <v>3.39</v>
      </c>
      <c r="BQ129" s="14">
        <f t="shared" si="40"/>
        <v>8.31</v>
      </c>
      <c r="BR129" s="22" t="str">
        <f>IF(OR(AND(X129="Mourões", BQ129&gt;=6.5),AND(X129="Postes", BQ129&gt;=9.6),AND(X129="Dormentes", BQ129&gt;=9.6),AND(X129="Estacas", BQ129&gt;=6.5),AND(X129="Cruzetas", BQ129&gt;=6.5),AND(X129="Outros - Solo", BQ129&gt;=6.5),AND(X129="Outros - Suspenso",BQ129&gt;=4),AND(X129="Deck",BQ129&gt;=4)),'Listas suspensas'!$C$21,'Listas suspensas'!$C$22)</f>
        <v>Os resultados da análise química apresentaram uma retenção do produto inferior ao padrão mínimo exigido pela norma ABNT NBR 16143</v>
      </c>
    </row>
    <row r="130" spans="2:70" x14ac:dyDescent="0.25">
      <c r="B130" s="8" t="s">
        <v>387</v>
      </c>
      <c r="C130" s="8" t="s">
        <v>71</v>
      </c>
      <c r="F130" s="11">
        <v>45762</v>
      </c>
      <c r="G130" s="11">
        <v>45762</v>
      </c>
      <c r="H130" s="11">
        <v>45770</v>
      </c>
      <c r="I130" s="8" t="s">
        <v>72</v>
      </c>
      <c r="J130" s="8" t="s">
        <v>73</v>
      </c>
      <c r="K130" s="8" t="s">
        <v>74</v>
      </c>
      <c r="L130" s="8" t="s">
        <v>15</v>
      </c>
      <c r="M130" s="30" t="s">
        <v>159</v>
      </c>
      <c r="N130" s="8" t="s">
        <v>75</v>
      </c>
      <c r="O130" s="8" t="s">
        <v>76</v>
      </c>
      <c r="P130" s="28" t="s">
        <v>77</v>
      </c>
      <c r="Q130" s="16" t="s">
        <v>388</v>
      </c>
      <c r="X130" s="8" t="s">
        <v>79</v>
      </c>
      <c r="Y130" s="34">
        <f>IF(X130='Listas suspensas'!$A$21,'Listas suspensas'!$B$23,IF(X130='Listas suspensas'!$A$22,'Listas suspensas'!$B$23,IF(X130='Listas suspensas'!$A$23,'Listas suspensas'!$B$22,IF(X130='Listas suspensas'!$A$26,'Listas suspensas'!$B$22,IF(X130='Listas suspensas'!$A$32,'Listas suspensas'!$B$22,IF(X130='Listas suspensas'!$A$33,'Listas suspensas'!$B$21,IF(X130='Listas suspensas'!$A$24,'Listas suspensas'!$B$22,IF(X130='Listas suspensas'!$A$30,'Listas suspensas'!$B$21,""))))))))</f>
        <v>6.5</v>
      </c>
      <c r="Z130" s="8" t="s">
        <v>80</v>
      </c>
      <c r="AA130" s="8">
        <v>3</v>
      </c>
      <c r="AB130" s="8" t="str">
        <f>IF(AA130='Listas suspensas'!$A$2,'Listas suspensas'!$B$2,IF(AA130='Listas suspensas'!$A$3,'Listas suspensas'!$B$3,IF(AA130='Listas suspensas'!$A$4,'Listas suspensas'!$B$4,IF(AA130='Listas suspensas'!$A$5,'Listas suspensas'!$B$5,IF(AA130='Listas suspensas'!$A$6,'Listas suspensas'!$B$6,"")))))</f>
        <v xml:space="preserve"> Parcial e regular</v>
      </c>
      <c r="AC130" s="8" t="str">
        <f>IF(AA130='Listas suspensas'!$A$2,'Listas suspensas'!$C$2,IF(AA130='Listas suspensas'!$A$3,'Listas suspensas'!$C$3,IF(AA130='Listas suspensas'!$A$4,'Listas suspensas'!$C$4,IF(AA130='Listas suspensas'!$A$5,'Listas suspensas'!$C$5,IF(AA130='Listas suspensas'!$A$6,'Listas suspensas'!$C$6,"")))))</f>
        <v>Indica a penetração uniforme, mas não total pela extensão do alburno.</v>
      </c>
      <c r="AP130" s="8" t="e">
        <f t="shared" ref="AP130:AP179" si="42">AVERAGE(AK130:AO130)/10</f>
        <v>#DIV/0!</v>
      </c>
      <c r="AV130" s="8" t="e">
        <f t="shared" ref="AV130:AV179" si="43">AVERAGE(AQ130:AU130)/10</f>
        <v>#DIV/0!</v>
      </c>
      <c r="BB130" s="20" t="e">
        <f t="shared" si="35"/>
        <v>#DIV/0!</v>
      </c>
      <c r="BC130" s="20" t="e">
        <f t="shared" ref="BC130:BC161" si="44">PI()*(AP130/2)^2*AV130</f>
        <v>#DIV/0!</v>
      </c>
      <c r="BD130" s="13">
        <v>0.877</v>
      </c>
      <c r="BE130" s="18">
        <f t="shared" si="41"/>
        <v>877</v>
      </c>
      <c r="BF130" s="8">
        <v>0.33100000000000002</v>
      </c>
      <c r="BG130" s="8">
        <v>0.15</v>
      </c>
      <c r="BH130" s="8">
        <v>0.30399999999999999</v>
      </c>
      <c r="BI130" s="13">
        <f t="shared" ref="BI130:BI193" si="45">SUM(BF130:BH130)</f>
        <v>0.78499999999999992</v>
      </c>
      <c r="BJ130" s="14">
        <v>42.1</v>
      </c>
      <c r="BK130" s="14">
        <v>19.100000000000001</v>
      </c>
      <c r="BL130" s="14">
        <v>38.799999999999997</v>
      </c>
      <c r="BM130" s="16">
        <f t="shared" si="36"/>
        <v>100</v>
      </c>
      <c r="BN130" s="21">
        <f t="shared" si="37"/>
        <v>2.9</v>
      </c>
      <c r="BO130" s="21">
        <f t="shared" si="38"/>
        <v>1.32</v>
      </c>
      <c r="BP130" s="21">
        <f t="shared" si="39"/>
        <v>2.67</v>
      </c>
      <c r="BQ130" s="14">
        <f t="shared" si="40"/>
        <v>6.89</v>
      </c>
      <c r="BR130" s="22" t="str">
        <f>IF(OR(AND(X130="Mourões", BQ130&gt;=6.5),AND(X130="Postes", BQ130&gt;=9.6),AND(X130="Dormentes", BQ130&gt;=9.6),AND(X130="Estacas", BQ130&gt;=6.5),AND(X130="Cruzetas", BQ130&gt;=6.5),AND(X130="Outros - Solo", BQ130&gt;=6.5),AND(X130="Outros - Suspenso",BQ130&gt;=4),AND(X130="Deck",BQ130&gt;=4)),'Listas suspensas'!$C$21,'Listas suspensas'!$C$22)</f>
        <v>Os resultados da análise química apresentaram uma retenção do produto de acordo com o padrão mínimo exigido pela norma ABNT NBR 16143</v>
      </c>
    </row>
    <row r="131" spans="2:70" x14ac:dyDescent="0.25">
      <c r="B131" s="8" t="s">
        <v>389</v>
      </c>
      <c r="C131" s="8" t="s">
        <v>71</v>
      </c>
      <c r="F131" s="11">
        <v>45762</v>
      </c>
      <c r="G131" s="11">
        <v>45762</v>
      </c>
      <c r="H131" s="11">
        <v>45770</v>
      </c>
      <c r="I131" s="8" t="s">
        <v>72</v>
      </c>
      <c r="J131" s="8" t="s">
        <v>73</v>
      </c>
      <c r="K131" s="8" t="s">
        <v>74</v>
      </c>
      <c r="L131" s="8" t="s">
        <v>15</v>
      </c>
      <c r="M131" s="30" t="s">
        <v>159</v>
      </c>
      <c r="N131" s="8" t="s">
        <v>75</v>
      </c>
      <c r="O131" s="8" t="s">
        <v>76</v>
      </c>
      <c r="P131" s="28" t="s">
        <v>77</v>
      </c>
      <c r="Q131" s="16" t="s">
        <v>390</v>
      </c>
      <c r="X131" s="8" t="s">
        <v>79</v>
      </c>
      <c r="Y131" s="34">
        <f>IF(X131='Listas suspensas'!$A$21,'Listas suspensas'!$B$23,IF(X131='Listas suspensas'!$A$22,'Listas suspensas'!$B$23,IF(X131='Listas suspensas'!$A$23,'Listas suspensas'!$B$22,IF(X131='Listas suspensas'!$A$26,'Listas suspensas'!$B$22,IF(X131='Listas suspensas'!$A$32,'Listas suspensas'!$B$22,IF(X131='Listas suspensas'!$A$33,'Listas suspensas'!$B$21,IF(X131='Listas suspensas'!$A$24,'Listas suspensas'!$B$22,IF(X131='Listas suspensas'!$A$30,'Listas suspensas'!$B$21,""))))))))</f>
        <v>6.5</v>
      </c>
      <c r="Z131" s="8" t="s">
        <v>80</v>
      </c>
      <c r="AA131" s="8">
        <v>5</v>
      </c>
      <c r="AB131" s="8" t="str">
        <f>IF(AA131='Listas suspensas'!$A$2,'Listas suspensas'!$B$2,IF(AA131='Listas suspensas'!$A$3,'Listas suspensas'!$B$3,IF(AA131='Listas suspensas'!$A$4,'Listas suspensas'!$B$4,IF(AA131='Listas suspensas'!$A$5,'Listas suspensas'!$B$5,IF(AA131='Listas suspensas'!$A$6,'Listas suspensas'!$B$6,"")))))</f>
        <v>Sem Reação do Cromoazurol</v>
      </c>
      <c r="AC131" s="8" t="str">
        <f>IF(AA131='Listas suspensas'!$A$2,'Listas suspensas'!$C$2,IF(AA131='Listas suspensas'!$A$3,'Listas suspensas'!$C$3,IF(AA131='Listas suspensas'!$A$4,'Listas suspensas'!$C$4,IF(AA131='Listas suspensas'!$A$5,'Listas suspensas'!$C$5,IF(AA131='Listas suspensas'!$A$6,'Listas suspensas'!$C$6,"")))))</f>
        <v>Sem Reação do Cromoazurol</v>
      </c>
      <c r="AP131" s="8" t="e">
        <f t="shared" si="42"/>
        <v>#DIV/0!</v>
      </c>
      <c r="AV131" s="8" t="e">
        <f t="shared" si="43"/>
        <v>#DIV/0!</v>
      </c>
      <c r="BB131" s="20" t="e">
        <f t="shared" si="35"/>
        <v>#DIV/0!</v>
      </c>
      <c r="BC131" s="20" t="e">
        <f t="shared" si="44"/>
        <v>#DIV/0!</v>
      </c>
      <c r="BD131" s="13">
        <v>0.36699999999999999</v>
      </c>
      <c r="BE131" s="18">
        <f t="shared" si="41"/>
        <v>367</v>
      </c>
      <c r="BF131" s="8">
        <v>0.17599999999999999</v>
      </c>
      <c r="BG131" s="8">
        <v>4.4999999999999998E-2</v>
      </c>
      <c r="BH131" s="8">
        <v>5.6000000000000001E-2</v>
      </c>
      <c r="BI131" s="13">
        <f t="shared" si="45"/>
        <v>0.27699999999999997</v>
      </c>
      <c r="BJ131" s="14">
        <v>63.4</v>
      </c>
      <c r="BK131" s="14">
        <v>16.399999999999999</v>
      </c>
      <c r="BL131" s="14">
        <v>20.2</v>
      </c>
      <c r="BM131" s="16">
        <f t="shared" si="36"/>
        <v>100</v>
      </c>
      <c r="BN131" s="21">
        <f t="shared" si="37"/>
        <v>0.65</v>
      </c>
      <c r="BO131" s="21">
        <f t="shared" si="38"/>
        <v>0.17</v>
      </c>
      <c r="BP131" s="21">
        <f t="shared" si="39"/>
        <v>0.21</v>
      </c>
      <c r="BQ131" s="14">
        <f t="shared" si="40"/>
        <v>1.03</v>
      </c>
      <c r="BR131" s="22" t="str">
        <f>IF(OR(AND(X131="Mourões", BQ131&gt;=6.5),AND(X131="Postes", BQ131&gt;=9.6),AND(X131="Dormentes", BQ131&gt;=9.6),AND(X131="Estacas", BQ131&gt;=6.5),AND(X131="Cruzetas", BQ131&gt;=6.5),AND(X131="Outros - Solo", BQ131&gt;=6.5),AND(X131="Outros - Suspenso",BQ131&gt;=4),AND(X131="Deck",BQ131&gt;=4)),'Listas suspensas'!$C$21,'Listas suspensas'!$C$22)</f>
        <v>Os resultados da análise química apresentaram uma retenção do produto inferior ao padrão mínimo exigido pela norma ABNT NBR 16143</v>
      </c>
    </row>
    <row r="132" spans="2:70" x14ac:dyDescent="0.25">
      <c r="B132" s="8" t="s">
        <v>391</v>
      </c>
      <c r="C132" s="8" t="s">
        <v>71</v>
      </c>
      <c r="F132" s="11">
        <v>45769</v>
      </c>
      <c r="G132" s="11">
        <v>45769</v>
      </c>
      <c r="H132" s="11">
        <v>45770</v>
      </c>
      <c r="I132" s="8" t="s">
        <v>187</v>
      </c>
      <c r="J132" s="8" t="s">
        <v>323</v>
      </c>
      <c r="K132" s="8" t="s">
        <v>109</v>
      </c>
      <c r="L132" s="8" t="s">
        <v>15</v>
      </c>
      <c r="M132" s="30" t="s">
        <v>324</v>
      </c>
      <c r="N132" s="8" t="s">
        <v>75</v>
      </c>
      <c r="O132" s="8" t="s">
        <v>94</v>
      </c>
      <c r="P132" s="28" t="s">
        <v>146</v>
      </c>
      <c r="Q132" s="16" t="s">
        <v>392</v>
      </c>
      <c r="X132" s="8" t="s">
        <v>79</v>
      </c>
      <c r="Y132" s="34">
        <f>IF(X132='Listas suspensas'!$A$21,'Listas suspensas'!$B$23,IF(X132='Listas suspensas'!$A$22,'Listas suspensas'!$B$23,IF(X132='Listas suspensas'!$A$23,'Listas suspensas'!$B$22,IF(X132='Listas suspensas'!$A$26,'Listas suspensas'!$B$22,IF(X132='Listas suspensas'!$A$32,'Listas suspensas'!$B$22,IF(X132='Listas suspensas'!$A$33,'Listas suspensas'!$B$21,IF(X132='Listas suspensas'!$A$24,'Listas suspensas'!$B$22,IF(X132='Listas suspensas'!$A$30,'Listas suspensas'!$B$21,""))))))))</f>
        <v>6.5</v>
      </c>
      <c r="Z132" s="8" t="s">
        <v>80</v>
      </c>
      <c r="AA132" s="8">
        <v>3</v>
      </c>
      <c r="AB132" s="8" t="str">
        <f>IF(AA132='Listas suspensas'!$A$2,'Listas suspensas'!$B$2,IF(AA132='Listas suspensas'!$A$3,'Listas suspensas'!$B$3,IF(AA132='Listas suspensas'!$A$4,'Listas suspensas'!$B$4,IF(AA132='Listas suspensas'!$A$5,'Listas suspensas'!$B$5,IF(AA132='Listas suspensas'!$A$6,'Listas suspensas'!$B$6,"")))))</f>
        <v xml:space="preserve"> Parcial e regular</v>
      </c>
      <c r="AC132" s="8" t="str">
        <f>IF(AA132='Listas suspensas'!$A$2,'Listas suspensas'!$C$2,IF(AA132='Listas suspensas'!$A$3,'Listas suspensas'!$C$3,IF(AA132='Listas suspensas'!$A$4,'Listas suspensas'!$C$4,IF(AA132='Listas suspensas'!$A$5,'Listas suspensas'!$C$5,IF(AA132='Listas suspensas'!$A$6,'Listas suspensas'!$C$6,"")))))</f>
        <v>Indica a penetração uniforme, mas não total pela extensão do alburno.</v>
      </c>
      <c r="AP132" s="8" t="e">
        <f t="shared" si="42"/>
        <v>#DIV/0!</v>
      </c>
      <c r="AV132" s="8" t="e">
        <f t="shared" si="43"/>
        <v>#DIV/0!</v>
      </c>
      <c r="BB132" s="20" t="e">
        <f t="shared" si="35"/>
        <v>#DIV/0!</v>
      </c>
      <c r="BC132" s="20" t="e">
        <f t="shared" si="44"/>
        <v>#DIV/0!</v>
      </c>
      <c r="BD132" s="13">
        <v>0.88100000000000001</v>
      </c>
      <c r="BE132" s="18">
        <f t="shared" si="41"/>
        <v>881</v>
      </c>
      <c r="BF132" s="8">
        <v>0.32200000000000001</v>
      </c>
      <c r="BG132" s="8">
        <v>0.16200000000000001</v>
      </c>
      <c r="BH132" s="8">
        <v>0.255</v>
      </c>
      <c r="BI132" s="13">
        <f t="shared" si="45"/>
        <v>0.73899999999999999</v>
      </c>
      <c r="BJ132" s="14">
        <v>43.5</v>
      </c>
      <c r="BK132" s="14">
        <v>21.9</v>
      </c>
      <c r="BL132" s="14">
        <v>34.6</v>
      </c>
      <c r="BM132" s="16">
        <f t="shared" si="36"/>
        <v>100</v>
      </c>
      <c r="BN132" s="21">
        <f t="shared" si="37"/>
        <v>2.84</v>
      </c>
      <c r="BO132" s="21">
        <f t="shared" si="38"/>
        <v>1.43</v>
      </c>
      <c r="BP132" s="21">
        <f t="shared" si="39"/>
        <v>2.25</v>
      </c>
      <c r="BQ132" s="14">
        <f t="shared" si="40"/>
        <v>6.52</v>
      </c>
      <c r="BR132" s="22" t="str">
        <f>IF(OR(AND(X132="Mourões", BQ132&gt;=6.5),AND(X132="Postes", BQ132&gt;=9.6),AND(X132="Dormentes", BQ132&gt;=9.6),AND(X132="Estacas", BQ132&gt;=6.5),AND(X132="Cruzetas", BQ132&gt;=6.5),AND(X132="Outros - Solo", BQ132&gt;=6.5),AND(X132="Outros - Suspenso",BQ132&gt;=4),AND(X132="Deck",BQ132&gt;=4)),'Listas suspensas'!$C$21,'Listas suspensas'!$C$22)</f>
        <v>Os resultados da análise química apresentaram uma retenção do produto de acordo com o padrão mínimo exigido pela norma ABNT NBR 16143</v>
      </c>
    </row>
    <row r="133" spans="2:70" x14ac:dyDescent="0.25">
      <c r="B133" s="8" t="s">
        <v>393</v>
      </c>
      <c r="C133" s="8" t="s">
        <v>71</v>
      </c>
      <c r="F133" s="11">
        <v>45769</v>
      </c>
      <c r="G133" s="11">
        <v>45769</v>
      </c>
      <c r="H133" s="11">
        <v>45770</v>
      </c>
      <c r="I133" s="8" t="s">
        <v>187</v>
      </c>
      <c r="J133" s="8" t="s">
        <v>323</v>
      </c>
      <c r="K133" s="8" t="s">
        <v>109</v>
      </c>
      <c r="L133" s="8" t="s">
        <v>15</v>
      </c>
      <c r="M133" s="30" t="s">
        <v>324</v>
      </c>
      <c r="N133" s="8" t="s">
        <v>75</v>
      </c>
      <c r="O133" s="8" t="s">
        <v>94</v>
      </c>
      <c r="P133" s="28" t="s">
        <v>146</v>
      </c>
      <c r="Q133" s="16" t="s">
        <v>394</v>
      </c>
      <c r="X133" s="8" t="s">
        <v>79</v>
      </c>
      <c r="Y133" s="34">
        <f>IF(X133='Listas suspensas'!$A$21,'Listas suspensas'!$B$23,IF(X133='Listas suspensas'!$A$22,'Listas suspensas'!$B$23,IF(X133='Listas suspensas'!$A$23,'Listas suspensas'!$B$22,IF(X133='Listas suspensas'!$A$26,'Listas suspensas'!$B$22,IF(X133='Listas suspensas'!$A$32,'Listas suspensas'!$B$22,IF(X133='Listas suspensas'!$A$33,'Listas suspensas'!$B$21,IF(X133='Listas suspensas'!$A$24,'Listas suspensas'!$B$22,IF(X133='Listas suspensas'!$A$30,'Listas suspensas'!$B$21,""))))))))</f>
        <v>6.5</v>
      </c>
      <c r="Z133" s="8" t="s">
        <v>80</v>
      </c>
      <c r="AA133" s="8">
        <v>1</v>
      </c>
      <c r="AB133" s="8" t="str">
        <f>IF(AA133='Listas suspensas'!$A$2,'Listas suspensas'!$B$2,IF(AA133='Listas suspensas'!$A$3,'Listas suspensas'!$B$3,IF(AA133='Listas suspensas'!$A$4,'Listas suspensas'!$B$4,IF(AA133='Listas suspensas'!$A$5,'Listas suspensas'!$B$5,IF(AA133='Listas suspensas'!$A$6,'Listas suspensas'!$B$6,"")))))</f>
        <v>Profunda e regular</v>
      </c>
      <c r="AC133" s="8" t="str">
        <f>IF(AA133='Listas suspensas'!$A$2,'Listas suspensas'!$C$2,IF(AA133='Listas suspensas'!$A$3,'Listas suspensas'!$C$3,IF(AA133='Listas suspensas'!$A$4,'Listas suspensas'!$C$4,IF(AA133='Listas suspensas'!$A$5,'Listas suspensas'!$C$5,IF(AA133='Listas suspensas'!$A$6,'Listas suspensas'!$C$6,"")))))</f>
        <v>Indica a penetração profunda e uniforme em toda a extensão do alburno.</v>
      </c>
      <c r="AP133" s="8" t="e">
        <f t="shared" si="42"/>
        <v>#DIV/0!</v>
      </c>
      <c r="AV133" s="8" t="e">
        <f t="shared" si="43"/>
        <v>#DIV/0!</v>
      </c>
      <c r="BB133" s="20" t="e">
        <f t="shared" si="35"/>
        <v>#DIV/0!</v>
      </c>
      <c r="BC133" s="20" t="e">
        <f t="shared" si="44"/>
        <v>#DIV/0!</v>
      </c>
      <c r="BD133" s="13">
        <v>0.89700000000000002</v>
      </c>
      <c r="BE133" s="18">
        <f t="shared" si="41"/>
        <v>897</v>
      </c>
      <c r="BF133" s="8">
        <v>0.34899999999999998</v>
      </c>
      <c r="BG133" s="8">
        <v>0.18</v>
      </c>
      <c r="BH133" s="8">
        <v>0.31900000000000001</v>
      </c>
      <c r="BI133" s="13">
        <f t="shared" si="45"/>
        <v>0.84799999999999986</v>
      </c>
      <c r="BJ133" s="14">
        <v>41.2</v>
      </c>
      <c r="BK133" s="14">
        <v>21.2</v>
      </c>
      <c r="BL133" s="14">
        <v>37.6</v>
      </c>
      <c r="BM133" s="16">
        <f t="shared" si="36"/>
        <v>100</v>
      </c>
      <c r="BN133" s="21">
        <f t="shared" si="37"/>
        <v>3.13</v>
      </c>
      <c r="BO133" s="21">
        <f t="shared" si="38"/>
        <v>1.61</v>
      </c>
      <c r="BP133" s="21">
        <f t="shared" si="39"/>
        <v>2.86</v>
      </c>
      <c r="BQ133" s="14">
        <f t="shared" si="40"/>
        <v>7.6</v>
      </c>
      <c r="BR133" s="22" t="str">
        <f>IF(OR(AND(X133="Mourões", BQ133&gt;=6.5),AND(X133="Postes", BQ133&gt;=9.6),AND(X133="Dormentes", BQ133&gt;=9.6),AND(X133="Estacas", BQ133&gt;=6.5),AND(X133="Cruzetas", BQ133&gt;=6.5),AND(X133="Outros - Solo", BQ133&gt;=6.5),AND(X133="Outros - Suspenso",BQ133&gt;=4),AND(X133="Deck",BQ133&gt;=4)),'Listas suspensas'!$C$21,'Listas suspensas'!$C$22)</f>
        <v>Os resultados da análise química apresentaram uma retenção do produto de acordo com o padrão mínimo exigido pela norma ABNT NBR 16143</v>
      </c>
    </row>
    <row r="134" spans="2:70" x14ac:dyDescent="0.25">
      <c r="B134" s="8" t="s">
        <v>395</v>
      </c>
      <c r="C134" s="8" t="s">
        <v>71</v>
      </c>
      <c r="F134" s="11">
        <v>45797</v>
      </c>
      <c r="G134" s="11">
        <v>45798</v>
      </c>
      <c r="H134" s="11">
        <v>45804</v>
      </c>
      <c r="I134" s="8" t="s">
        <v>241</v>
      </c>
      <c r="J134" s="8" t="s">
        <v>242</v>
      </c>
      <c r="K134" s="8" t="s">
        <v>243</v>
      </c>
      <c r="L134" s="8" t="s">
        <v>15</v>
      </c>
      <c r="M134" s="30" t="s">
        <v>361</v>
      </c>
      <c r="N134" s="8" t="s">
        <v>75</v>
      </c>
      <c r="O134" s="8" t="s">
        <v>94</v>
      </c>
      <c r="P134" s="28" t="s">
        <v>77</v>
      </c>
      <c r="Q134" s="16" t="s">
        <v>396</v>
      </c>
      <c r="X134" s="8" t="s">
        <v>79</v>
      </c>
      <c r="Y134" s="34">
        <f>IF(X134='Listas suspensas'!$A$21,'Listas suspensas'!$B$23,IF(X134='Listas suspensas'!$A$22,'Listas suspensas'!$B$23,IF(X134='Listas suspensas'!$A$23,'Listas suspensas'!$B$22,IF(X134='Listas suspensas'!$A$26,'Listas suspensas'!$B$22,IF(X134='Listas suspensas'!$A$32,'Listas suspensas'!$B$22,IF(X134='Listas suspensas'!$A$33,'Listas suspensas'!$B$21,IF(X134='Listas suspensas'!$A$24,'Listas suspensas'!$B$22,IF(X134='Listas suspensas'!$A$30,'Listas suspensas'!$B$21,""))))))))</f>
        <v>6.5</v>
      </c>
      <c r="Z134" s="8" t="str">
        <f>IF(X134='Listas suspensas'!$A$23,'Listas suspensas'!$A$9,"")</f>
        <v>NBR 16143</v>
      </c>
      <c r="AA134" s="8">
        <v>2</v>
      </c>
      <c r="AB134" s="8" t="str">
        <f>IF(AA134='Listas suspensas'!$A$2,'Listas suspensas'!$B$2,IF(AA134='Listas suspensas'!$A$3,'Listas suspensas'!$B$3,IF(AA134='Listas suspensas'!$A$4,'Listas suspensas'!$B$4,IF(AA134='Listas suspensas'!$A$5,'Listas suspensas'!$B$5,IF(AA134='Listas suspensas'!$A$6,'Listas suspensas'!$B$6,"")))))</f>
        <v>Profunda e irregular</v>
      </c>
      <c r="AC134" s="8" t="str">
        <f>IF(AA134='Listas suspensas'!$A$2,'Listas suspensas'!$C$2,IF(AA134='Listas suspensas'!$A$3,'Listas suspensas'!$C$3,IF(AA134='Listas suspensas'!$A$4,'Listas suspensas'!$C$4,IF(AA134='Listas suspensas'!$A$5,'Listas suspensas'!$C$5,IF(AA134='Listas suspensas'!$A$6,'Listas suspensas'!$C$6,"")))))</f>
        <v>Indica a penetração profunda, mas desuniforme em toda a extensão do alburno.</v>
      </c>
      <c r="AP134" s="8" t="e">
        <f t="shared" si="42"/>
        <v>#DIV/0!</v>
      </c>
      <c r="AV134" s="8" t="e">
        <f t="shared" si="43"/>
        <v>#DIV/0!</v>
      </c>
      <c r="BB134" s="20" t="e">
        <f t="shared" si="35"/>
        <v>#DIV/0!</v>
      </c>
      <c r="BC134" s="20" t="e">
        <f t="shared" si="44"/>
        <v>#DIV/0!</v>
      </c>
      <c r="BD134" s="13">
        <v>0.9</v>
      </c>
      <c r="BE134" s="18">
        <f t="shared" si="41"/>
        <v>900</v>
      </c>
      <c r="BF134" s="8">
        <v>0.36199999999999999</v>
      </c>
      <c r="BG134" s="8">
        <v>0.16400000000000001</v>
      </c>
      <c r="BH134" s="8">
        <v>0.27400000000000002</v>
      </c>
      <c r="BI134" s="13">
        <f t="shared" si="45"/>
        <v>0.8</v>
      </c>
      <c r="BJ134" s="14">
        <v>45.3</v>
      </c>
      <c r="BK134" s="14">
        <v>20.5</v>
      </c>
      <c r="BL134" s="14">
        <v>34.200000000000003</v>
      </c>
      <c r="BM134" s="16">
        <f t="shared" si="36"/>
        <v>100</v>
      </c>
      <c r="BN134" s="21">
        <f t="shared" si="37"/>
        <v>3.26</v>
      </c>
      <c r="BO134" s="21">
        <f t="shared" si="38"/>
        <v>1.48</v>
      </c>
      <c r="BP134" s="21">
        <f t="shared" si="39"/>
        <v>2.4700000000000002</v>
      </c>
      <c r="BQ134" s="14">
        <f t="shared" si="40"/>
        <v>7.21</v>
      </c>
      <c r="BR134" s="22" t="str">
        <f>IF(OR(AND(X134="Mourões", BQ134&gt;=6.5),AND(X134="Postes", BQ134&gt;=9.6),AND(X134="Dormentes", BQ134&gt;=9.6),AND(X134="Estacas", BQ134&gt;=6.5),AND(X134="Cruzetas", BQ134&gt;=6.5),AND(X134="Outros - Solo", BQ134&gt;=6.5),AND(X134="Outros - Suspenso",BQ134&gt;=4),AND(X134="Deck",BQ134&gt;=4)),'Listas suspensas'!$C$21,'Listas suspensas'!$C$22)</f>
        <v>Os resultados da análise química apresentaram uma retenção do produto de acordo com o padrão mínimo exigido pela norma ABNT NBR 16143</v>
      </c>
    </row>
    <row r="135" spans="2:70" x14ac:dyDescent="0.25">
      <c r="B135" s="8" t="s">
        <v>397</v>
      </c>
      <c r="C135" s="8" t="s">
        <v>71</v>
      </c>
      <c r="F135" s="11">
        <v>45797</v>
      </c>
      <c r="G135" s="11">
        <v>45798</v>
      </c>
      <c r="H135" s="11">
        <v>45804</v>
      </c>
      <c r="I135" s="8" t="s">
        <v>241</v>
      </c>
      <c r="J135" s="8" t="s">
        <v>242</v>
      </c>
      <c r="K135" s="8" t="s">
        <v>243</v>
      </c>
      <c r="L135" s="8" t="s">
        <v>15</v>
      </c>
      <c r="M135" s="30" t="s">
        <v>361</v>
      </c>
      <c r="N135" s="8" t="s">
        <v>75</v>
      </c>
      <c r="O135" s="8" t="s">
        <v>94</v>
      </c>
      <c r="P135" s="28" t="s">
        <v>77</v>
      </c>
      <c r="Q135" s="16" t="s">
        <v>398</v>
      </c>
      <c r="X135" s="8" t="s">
        <v>79</v>
      </c>
      <c r="Y135" s="34">
        <f>IF(X135='Listas suspensas'!$A$21,'Listas suspensas'!$B$23,IF(X135='Listas suspensas'!$A$22,'Listas suspensas'!$B$23,IF(X135='Listas suspensas'!$A$23,'Listas suspensas'!$B$22,IF(X135='Listas suspensas'!$A$26,'Listas suspensas'!$B$22,IF(X135='Listas suspensas'!$A$32,'Listas suspensas'!$B$22,IF(X135='Listas suspensas'!$A$33,'Listas suspensas'!$B$21,IF(X135='Listas suspensas'!$A$24,'Listas suspensas'!$B$22,IF(X135='Listas suspensas'!$A$30,'Listas suspensas'!$B$21,""))))))))</f>
        <v>6.5</v>
      </c>
      <c r="Z135" s="8" t="str">
        <f>IF(X135='Listas suspensas'!$A$23,'Listas suspensas'!$A$9,"")</f>
        <v>NBR 16143</v>
      </c>
      <c r="AA135" s="8">
        <v>3</v>
      </c>
      <c r="AB135" s="8" t="str">
        <f>IF(AA135='Listas suspensas'!$A$2,'Listas suspensas'!$B$2,IF(AA135='Listas suspensas'!$A$3,'Listas suspensas'!$B$3,IF(AA135='Listas suspensas'!$A$4,'Listas suspensas'!$B$4,IF(AA135='Listas suspensas'!$A$5,'Listas suspensas'!$B$5,IF(AA135='Listas suspensas'!$A$6,'Listas suspensas'!$B$6,"")))))</f>
        <v xml:space="preserve"> Parcial e regular</v>
      </c>
      <c r="AC135" s="8" t="str">
        <f>IF(AA135='Listas suspensas'!$A$2,'Listas suspensas'!$C$2,IF(AA135='Listas suspensas'!$A$3,'Listas suspensas'!$C$3,IF(AA135='Listas suspensas'!$A$4,'Listas suspensas'!$C$4,IF(AA135='Listas suspensas'!$A$5,'Listas suspensas'!$C$5,IF(AA135='Listas suspensas'!$A$6,'Listas suspensas'!$C$6,"")))))</f>
        <v>Indica a penetração uniforme, mas não total pela extensão do alburno.</v>
      </c>
      <c r="AP135" s="8" t="e">
        <f t="shared" si="42"/>
        <v>#DIV/0!</v>
      </c>
      <c r="AV135" s="8" t="e">
        <f t="shared" si="43"/>
        <v>#DIV/0!</v>
      </c>
      <c r="BB135" s="20" t="e">
        <f t="shared" si="35"/>
        <v>#DIV/0!</v>
      </c>
      <c r="BC135" s="20" t="e">
        <f t="shared" si="44"/>
        <v>#DIV/0!</v>
      </c>
      <c r="BD135" s="13">
        <v>0.84899999999999998</v>
      </c>
      <c r="BE135" s="18">
        <f t="shared" si="41"/>
        <v>849</v>
      </c>
      <c r="BF135" s="8">
        <v>0.41099999999999998</v>
      </c>
      <c r="BG135" s="8">
        <v>0.22700000000000001</v>
      </c>
      <c r="BH135" s="8">
        <v>0.40200000000000002</v>
      </c>
      <c r="BI135" s="13">
        <f t="shared" si="45"/>
        <v>1.04</v>
      </c>
      <c r="BJ135" s="14">
        <v>39.5</v>
      </c>
      <c r="BK135" s="14">
        <v>21.9</v>
      </c>
      <c r="BL135" s="14">
        <v>38.6</v>
      </c>
      <c r="BM135" s="16">
        <f t="shared" si="36"/>
        <v>100</v>
      </c>
      <c r="BN135" s="21">
        <f t="shared" si="37"/>
        <v>3.49</v>
      </c>
      <c r="BO135" s="21">
        <f t="shared" si="38"/>
        <v>1.93</v>
      </c>
      <c r="BP135" s="21">
        <f t="shared" si="39"/>
        <v>3.41</v>
      </c>
      <c r="BQ135" s="14">
        <f t="shared" si="40"/>
        <v>8.83</v>
      </c>
      <c r="BR135" s="22" t="str">
        <f>IF(OR(AND(X135="Mourões", BQ135&gt;=6.5),AND(X135="Postes", BQ135&gt;=9.6),AND(X135="Dormentes", BQ135&gt;=9.6),AND(X135="Estacas", BQ135&gt;=6.5),AND(X135="Cruzetas", BQ135&gt;=6.5),AND(X135="Outros - Solo", BQ135&gt;=6.5),AND(X135="Outros - Suspenso",BQ135&gt;=4),AND(X135="Deck",BQ135&gt;=4)),'Listas suspensas'!$C$21,'Listas suspensas'!$C$22)</f>
        <v>Os resultados da análise química apresentaram uma retenção do produto de acordo com o padrão mínimo exigido pela norma ABNT NBR 16143</v>
      </c>
    </row>
    <row r="136" spans="2:70" x14ac:dyDescent="0.25">
      <c r="B136" s="8" t="s">
        <v>399</v>
      </c>
      <c r="C136" s="8" t="s">
        <v>71</v>
      </c>
      <c r="F136" s="11">
        <v>45797</v>
      </c>
      <c r="G136" s="11">
        <v>45798</v>
      </c>
      <c r="H136" s="11">
        <v>45804</v>
      </c>
      <c r="I136" s="8" t="s">
        <v>241</v>
      </c>
      <c r="J136" s="8" t="s">
        <v>242</v>
      </c>
      <c r="K136" s="8" t="s">
        <v>243</v>
      </c>
      <c r="L136" s="8" t="s">
        <v>15</v>
      </c>
      <c r="M136" s="30" t="s">
        <v>361</v>
      </c>
      <c r="N136" s="8" t="s">
        <v>75</v>
      </c>
      <c r="O136" s="8" t="s">
        <v>94</v>
      </c>
      <c r="P136" s="28" t="s">
        <v>77</v>
      </c>
      <c r="Q136" s="16" t="s">
        <v>400</v>
      </c>
      <c r="X136" s="8" t="s">
        <v>79</v>
      </c>
      <c r="Y136" s="34">
        <f>IF(X136='Listas suspensas'!$A$21,'Listas suspensas'!$B$23,IF(X136='Listas suspensas'!$A$22,'Listas suspensas'!$B$23,IF(X136='Listas suspensas'!$A$23,'Listas suspensas'!$B$22,IF(X136='Listas suspensas'!$A$26,'Listas suspensas'!$B$22,IF(X136='Listas suspensas'!$A$32,'Listas suspensas'!$B$22,IF(X136='Listas suspensas'!$A$33,'Listas suspensas'!$B$21,IF(X136='Listas suspensas'!$A$24,'Listas suspensas'!$B$22,IF(X136='Listas suspensas'!$A$30,'Listas suspensas'!$B$21,""))))))))</f>
        <v>6.5</v>
      </c>
      <c r="Z136" s="8" t="str">
        <f>IF(X136='Listas suspensas'!$A$23,'Listas suspensas'!$A$9,"")</f>
        <v>NBR 16143</v>
      </c>
      <c r="AA136" s="8">
        <v>1</v>
      </c>
      <c r="AB136" s="8" t="str">
        <f>IF(AA136='Listas suspensas'!$A$2,'Listas suspensas'!$B$2,IF(AA136='Listas suspensas'!$A$3,'Listas suspensas'!$B$3,IF(AA136='Listas suspensas'!$A$4,'Listas suspensas'!$B$4,IF(AA136='Listas suspensas'!$A$5,'Listas suspensas'!$B$5,IF(AA136='Listas suspensas'!$A$6,'Listas suspensas'!$B$6,"")))))</f>
        <v>Profunda e regular</v>
      </c>
      <c r="AC136" s="8" t="str">
        <f>IF(AA136='Listas suspensas'!$A$2,'Listas suspensas'!$C$2,IF(AA136='Listas suspensas'!$A$3,'Listas suspensas'!$C$3,IF(AA136='Listas suspensas'!$A$4,'Listas suspensas'!$C$4,IF(AA136='Listas suspensas'!$A$5,'Listas suspensas'!$C$5,IF(AA136='Listas suspensas'!$A$6,'Listas suspensas'!$C$6,"")))))</f>
        <v>Indica a penetração profunda e uniforme em toda a extensão do alburno.</v>
      </c>
      <c r="AP136" s="8" t="e">
        <f t="shared" si="42"/>
        <v>#DIV/0!</v>
      </c>
      <c r="AV136" s="8" t="e">
        <f t="shared" si="43"/>
        <v>#DIV/0!</v>
      </c>
      <c r="BB136" s="20" t="e">
        <f t="shared" si="35"/>
        <v>#DIV/0!</v>
      </c>
      <c r="BC136" s="20" t="e">
        <f t="shared" si="44"/>
        <v>#DIV/0!</v>
      </c>
      <c r="BD136" s="13">
        <v>0.877</v>
      </c>
      <c r="BE136" s="18">
        <f t="shared" si="41"/>
        <v>877</v>
      </c>
      <c r="BF136" s="8">
        <v>0.41599999999999998</v>
      </c>
      <c r="BG136" s="8">
        <v>0.19</v>
      </c>
      <c r="BH136" s="8">
        <v>0.29799999999999999</v>
      </c>
      <c r="BI136" s="13">
        <f t="shared" si="45"/>
        <v>0.90399999999999991</v>
      </c>
      <c r="BJ136" s="14">
        <v>46</v>
      </c>
      <c r="BK136" s="14">
        <v>21</v>
      </c>
      <c r="BL136" s="14">
        <v>33</v>
      </c>
      <c r="BM136" s="16">
        <f t="shared" si="36"/>
        <v>100</v>
      </c>
      <c r="BN136" s="21">
        <f t="shared" si="37"/>
        <v>3.65</v>
      </c>
      <c r="BO136" s="21">
        <f t="shared" si="38"/>
        <v>1.67</v>
      </c>
      <c r="BP136" s="21">
        <f t="shared" si="39"/>
        <v>2.61</v>
      </c>
      <c r="BQ136" s="14">
        <f t="shared" si="40"/>
        <v>7.93</v>
      </c>
      <c r="BR136" s="22" t="str">
        <f>IF(OR(AND(X136="Mourões", BQ136&gt;=6.5),AND(X136="Postes", BQ136&gt;=9.6),AND(X136="Dormentes", BQ136&gt;=9.6),AND(X136="Estacas", BQ136&gt;=6.5),AND(X136="Cruzetas", BQ136&gt;=6.5),AND(X136="Outros - Solo", BQ136&gt;=6.5),AND(X136="Outros - Suspenso",BQ136&gt;=4),AND(X136="Deck",BQ136&gt;=4)),'Listas suspensas'!$C$21,'Listas suspensas'!$C$22)</f>
        <v>Os resultados da análise química apresentaram uma retenção do produto de acordo com o padrão mínimo exigido pela norma ABNT NBR 16143</v>
      </c>
    </row>
    <row r="137" spans="2:70" x14ac:dyDescent="0.25">
      <c r="B137" s="8" t="s">
        <v>401</v>
      </c>
      <c r="C137" s="8" t="s">
        <v>71</v>
      </c>
      <c r="F137" s="11">
        <v>45797</v>
      </c>
      <c r="G137" s="11">
        <v>45798</v>
      </c>
      <c r="H137" s="11">
        <v>45804</v>
      </c>
      <c r="I137" s="8" t="s">
        <v>241</v>
      </c>
      <c r="J137" s="8" t="s">
        <v>242</v>
      </c>
      <c r="K137" s="8" t="s">
        <v>243</v>
      </c>
      <c r="L137" s="8" t="s">
        <v>15</v>
      </c>
      <c r="M137" s="30" t="s">
        <v>361</v>
      </c>
      <c r="N137" s="8" t="s">
        <v>75</v>
      </c>
      <c r="O137" s="8" t="s">
        <v>94</v>
      </c>
      <c r="P137" s="28" t="s">
        <v>77</v>
      </c>
      <c r="Q137" s="16" t="s">
        <v>402</v>
      </c>
      <c r="X137" s="8" t="s">
        <v>79</v>
      </c>
      <c r="Y137" s="34">
        <f>IF(X137='Listas suspensas'!$A$21,'Listas suspensas'!$B$23,IF(X137='Listas suspensas'!$A$22,'Listas suspensas'!$B$23,IF(X137='Listas suspensas'!$A$23,'Listas suspensas'!$B$22,IF(X137='Listas suspensas'!$A$26,'Listas suspensas'!$B$22,IF(X137='Listas suspensas'!$A$32,'Listas suspensas'!$B$22,IF(X137='Listas suspensas'!$A$33,'Listas suspensas'!$B$21,IF(X137='Listas suspensas'!$A$24,'Listas suspensas'!$B$22,IF(X137='Listas suspensas'!$A$30,'Listas suspensas'!$B$21,""))))))))</f>
        <v>6.5</v>
      </c>
      <c r="Z137" s="8" t="str">
        <f>IF(X137='Listas suspensas'!$A$23,'Listas suspensas'!$A$9,"")</f>
        <v>NBR 16143</v>
      </c>
      <c r="AA137" s="8">
        <v>2</v>
      </c>
      <c r="AB137" s="8" t="str">
        <f>IF(AA137='Listas suspensas'!$A$2,'Listas suspensas'!$B$2,IF(AA137='Listas suspensas'!$A$3,'Listas suspensas'!$B$3,IF(AA137='Listas suspensas'!$A$4,'Listas suspensas'!$B$4,IF(AA137='Listas suspensas'!$A$5,'Listas suspensas'!$B$5,IF(AA137='Listas suspensas'!$A$6,'Listas suspensas'!$B$6,"")))))</f>
        <v>Profunda e irregular</v>
      </c>
      <c r="AC137" s="8" t="str">
        <f>IF(AA137='Listas suspensas'!$A$2,'Listas suspensas'!$C$2,IF(AA137='Listas suspensas'!$A$3,'Listas suspensas'!$C$3,IF(AA137='Listas suspensas'!$A$4,'Listas suspensas'!$C$4,IF(AA137='Listas suspensas'!$A$5,'Listas suspensas'!$C$5,IF(AA137='Listas suspensas'!$A$6,'Listas suspensas'!$C$6,"")))))</f>
        <v>Indica a penetração profunda, mas desuniforme em toda a extensão do alburno.</v>
      </c>
      <c r="AP137" s="8" t="e">
        <f t="shared" si="42"/>
        <v>#DIV/0!</v>
      </c>
      <c r="AV137" s="8" t="e">
        <f t="shared" si="43"/>
        <v>#DIV/0!</v>
      </c>
      <c r="BB137" s="20" t="e">
        <f t="shared" si="35"/>
        <v>#DIV/0!</v>
      </c>
      <c r="BC137" s="20" t="e">
        <f t="shared" si="44"/>
        <v>#DIV/0!</v>
      </c>
      <c r="BD137" s="13">
        <v>0.81499999999999995</v>
      </c>
      <c r="BE137" s="18">
        <f t="shared" si="41"/>
        <v>815</v>
      </c>
      <c r="BF137" s="8">
        <v>0.38300000000000001</v>
      </c>
      <c r="BG137" s="8">
        <v>0.21199999999999999</v>
      </c>
      <c r="BH137" s="8">
        <v>0.35499999999999998</v>
      </c>
      <c r="BI137" s="13">
        <f t="shared" si="45"/>
        <v>0.95</v>
      </c>
      <c r="BJ137" s="14">
        <v>40.4</v>
      </c>
      <c r="BK137" s="14">
        <v>22.3</v>
      </c>
      <c r="BL137" s="14">
        <v>37.299999999999997</v>
      </c>
      <c r="BM137" s="16">
        <f t="shared" si="36"/>
        <v>100</v>
      </c>
      <c r="BN137" s="21">
        <f t="shared" si="37"/>
        <v>3.12</v>
      </c>
      <c r="BO137" s="21">
        <f t="shared" si="38"/>
        <v>1.73</v>
      </c>
      <c r="BP137" s="21">
        <f t="shared" si="39"/>
        <v>2.89</v>
      </c>
      <c r="BQ137" s="14">
        <f t="shared" si="40"/>
        <v>7.74</v>
      </c>
      <c r="BR137" s="22" t="str">
        <f>IF(OR(AND(X137="Mourões", BQ137&gt;=6.5),AND(X137="Postes", BQ137&gt;=9.6),AND(X137="Dormentes", BQ137&gt;=9.6),AND(X137="Estacas", BQ137&gt;=6.5),AND(X137="Cruzetas", BQ137&gt;=6.5),AND(X137="Outros - Solo", BQ137&gt;=6.5),AND(X137="Outros - Suspenso",BQ137&gt;=4),AND(X137="Deck",BQ137&gt;=4)),'Listas suspensas'!$C$21,'Listas suspensas'!$C$22)</f>
        <v>Os resultados da análise química apresentaram uma retenção do produto de acordo com o padrão mínimo exigido pela norma ABNT NBR 16143</v>
      </c>
    </row>
    <row r="138" spans="2:70" x14ac:dyDescent="0.25">
      <c r="B138" s="8" t="s">
        <v>403</v>
      </c>
      <c r="C138" s="8" t="s">
        <v>71</v>
      </c>
      <c r="F138" s="11">
        <v>45797</v>
      </c>
      <c r="G138" s="11">
        <v>45798</v>
      </c>
      <c r="H138" s="11">
        <v>45804</v>
      </c>
      <c r="I138" s="8" t="s">
        <v>241</v>
      </c>
      <c r="J138" s="8" t="s">
        <v>242</v>
      </c>
      <c r="K138" s="8" t="s">
        <v>243</v>
      </c>
      <c r="L138" s="8" t="s">
        <v>15</v>
      </c>
      <c r="M138" s="30" t="s">
        <v>361</v>
      </c>
      <c r="N138" s="8" t="s">
        <v>75</v>
      </c>
      <c r="O138" s="8" t="s">
        <v>94</v>
      </c>
      <c r="P138" s="28" t="s">
        <v>77</v>
      </c>
      <c r="Q138" s="16" t="s">
        <v>404</v>
      </c>
      <c r="X138" s="8" t="s">
        <v>79</v>
      </c>
      <c r="Y138" s="34">
        <f>IF(X138='Listas suspensas'!$A$21,'Listas suspensas'!$B$23,IF(X138='Listas suspensas'!$A$22,'Listas suspensas'!$B$23,IF(X138='Listas suspensas'!$A$23,'Listas suspensas'!$B$22,IF(X138='Listas suspensas'!$A$26,'Listas suspensas'!$B$22,IF(X138='Listas suspensas'!$A$32,'Listas suspensas'!$B$22,IF(X138='Listas suspensas'!$A$33,'Listas suspensas'!$B$21,IF(X138='Listas suspensas'!$A$24,'Listas suspensas'!$B$22,IF(X138='Listas suspensas'!$A$30,'Listas suspensas'!$B$21,""))))))))</f>
        <v>6.5</v>
      </c>
      <c r="Z138" s="8" t="str">
        <f>IF(X138='Listas suspensas'!$A$23,'Listas suspensas'!$A$9,"")</f>
        <v>NBR 16143</v>
      </c>
      <c r="AA138" s="8">
        <v>2</v>
      </c>
      <c r="AB138" s="8" t="str">
        <f>IF(AA138='Listas suspensas'!$A$2,'Listas suspensas'!$B$2,IF(AA138='Listas suspensas'!$A$3,'Listas suspensas'!$B$3,IF(AA138='Listas suspensas'!$A$4,'Listas suspensas'!$B$4,IF(AA138='Listas suspensas'!$A$5,'Listas suspensas'!$B$5,IF(AA138='Listas suspensas'!$A$6,'Listas suspensas'!$B$6,"")))))</f>
        <v>Profunda e irregular</v>
      </c>
      <c r="AC138" s="8" t="str">
        <f>IF(AA138='Listas suspensas'!$A$2,'Listas suspensas'!$C$2,IF(AA138='Listas suspensas'!$A$3,'Listas suspensas'!$C$3,IF(AA138='Listas suspensas'!$A$4,'Listas suspensas'!$C$4,IF(AA138='Listas suspensas'!$A$5,'Listas suspensas'!$C$5,IF(AA138='Listas suspensas'!$A$6,'Listas suspensas'!$C$6,"")))))</f>
        <v>Indica a penetração profunda, mas desuniforme em toda a extensão do alburno.</v>
      </c>
      <c r="AP138" s="8" t="e">
        <f t="shared" si="42"/>
        <v>#DIV/0!</v>
      </c>
      <c r="AV138" s="8" t="e">
        <f t="shared" si="43"/>
        <v>#DIV/0!</v>
      </c>
      <c r="BB138" s="20" t="e">
        <f t="shared" si="35"/>
        <v>#DIV/0!</v>
      </c>
      <c r="BC138" s="20" t="e">
        <f t="shared" si="44"/>
        <v>#DIV/0!</v>
      </c>
      <c r="BD138" s="13">
        <v>0.95</v>
      </c>
      <c r="BE138" s="18">
        <f t="shared" si="41"/>
        <v>950</v>
      </c>
      <c r="BF138" s="8">
        <v>0.30299999999999999</v>
      </c>
      <c r="BG138" s="8">
        <v>0.18</v>
      </c>
      <c r="BH138" s="8">
        <v>0.313</v>
      </c>
      <c r="BI138" s="13">
        <f t="shared" si="45"/>
        <v>0.79600000000000004</v>
      </c>
      <c r="BJ138" s="14">
        <v>38.1</v>
      </c>
      <c r="BK138" s="14">
        <v>22.6</v>
      </c>
      <c r="BL138" s="14">
        <v>39.299999999999997</v>
      </c>
      <c r="BM138" s="16">
        <f t="shared" si="36"/>
        <v>100</v>
      </c>
      <c r="BN138" s="21">
        <f t="shared" si="37"/>
        <v>2.88</v>
      </c>
      <c r="BO138" s="21">
        <f t="shared" si="38"/>
        <v>1.71</v>
      </c>
      <c r="BP138" s="21">
        <f t="shared" si="39"/>
        <v>2.97</v>
      </c>
      <c r="BQ138" s="14">
        <f t="shared" si="40"/>
        <v>7.56</v>
      </c>
      <c r="BR138" s="22" t="str">
        <f>IF(OR(AND(X138="Mourões", BQ138&gt;=6.5),AND(X138="Postes", BQ138&gt;=9.6),AND(X138="Dormentes", BQ138&gt;=9.6),AND(X138="Estacas", BQ138&gt;=6.5),AND(X138="Cruzetas", BQ138&gt;=6.5),AND(X138="Outros - Solo", BQ138&gt;=6.5),AND(X138="Outros - Suspenso",BQ138&gt;=4),AND(X138="Deck",BQ138&gt;=4)),'Listas suspensas'!$C$21,'Listas suspensas'!$C$22)</f>
        <v>Os resultados da análise química apresentaram uma retenção do produto de acordo com o padrão mínimo exigido pela norma ABNT NBR 16143</v>
      </c>
    </row>
    <row r="139" spans="2:70" x14ac:dyDescent="0.25">
      <c r="B139" s="8" t="s">
        <v>405</v>
      </c>
      <c r="C139" s="8" t="s">
        <v>71</v>
      </c>
      <c r="F139" s="11">
        <v>45797</v>
      </c>
      <c r="G139" s="11">
        <v>45798</v>
      </c>
      <c r="H139" s="11">
        <v>45804</v>
      </c>
      <c r="I139" s="8" t="s">
        <v>241</v>
      </c>
      <c r="J139" s="8" t="s">
        <v>242</v>
      </c>
      <c r="K139" s="8" t="s">
        <v>243</v>
      </c>
      <c r="L139" s="8" t="s">
        <v>15</v>
      </c>
      <c r="M139" s="30" t="s">
        <v>361</v>
      </c>
      <c r="N139" s="8" t="s">
        <v>75</v>
      </c>
      <c r="O139" s="8" t="s">
        <v>94</v>
      </c>
      <c r="P139" s="28" t="s">
        <v>77</v>
      </c>
      <c r="Q139" s="16" t="s">
        <v>406</v>
      </c>
      <c r="X139" s="8" t="s">
        <v>79</v>
      </c>
      <c r="Y139" s="34">
        <f>IF(X139='Listas suspensas'!$A$21,'Listas suspensas'!$B$23,IF(X139='Listas suspensas'!$A$22,'Listas suspensas'!$B$23,IF(X139='Listas suspensas'!$A$23,'Listas suspensas'!$B$22,IF(X139='Listas suspensas'!$A$26,'Listas suspensas'!$B$22,IF(X139='Listas suspensas'!$A$32,'Listas suspensas'!$B$22,IF(X139='Listas suspensas'!$A$33,'Listas suspensas'!$B$21,IF(X139='Listas suspensas'!$A$24,'Listas suspensas'!$B$22,IF(X139='Listas suspensas'!$A$30,'Listas suspensas'!$B$21,""))))))))</f>
        <v>6.5</v>
      </c>
      <c r="Z139" s="8" t="str">
        <f>IF(X139='Listas suspensas'!$A$23,'Listas suspensas'!$A$9,"")</f>
        <v>NBR 16143</v>
      </c>
      <c r="AA139" s="8">
        <v>1</v>
      </c>
      <c r="AB139" s="8" t="str">
        <f>IF(AA139='Listas suspensas'!$A$2,'Listas suspensas'!$B$2,IF(AA139='Listas suspensas'!$A$3,'Listas suspensas'!$B$3,IF(AA139='Listas suspensas'!$A$4,'Listas suspensas'!$B$4,IF(AA139='Listas suspensas'!$A$5,'Listas suspensas'!$B$5,IF(AA139='Listas suspensas'!$A$6,'Listas suspensas'!$B$6,"")))))</f>
        <v>Profunda e regular</v>
      </c>
      <c r="AC139" s="8" t="str">
        <f>IF(AA139='Listas suspensas'!$A$2,'Listas suspensas'!$C$2,IF(AA139='Listas suspensas'!$A$3,'Listas suspensas'!$C$3,IF(AA139='Listas suspensas'!$A$4,'Listas suspensas'!$C$4,IF(AA139='Listas suspensas'!$A$5,'Listas suspensas'!$C$5,IF(AA139='Listas suspensas'!$A$6,'Listas suspensas'!$C$6,"")))))</f>
        <v>Indica a penetração profunda e uniforme em toda a extensão do alburno.</v>
      </c>
      <c r="AP139" s="8" t="e">
        <f t="shared" si="42"/>
        <v>#DIV/0!</v>
      </c>
      <c r="AV139" s="8" t="e">
        <f t="shared" si="43"/>
        <v>#DIV/0!</v>
      </c>
      <c r="BB139" s="20" t="e">
        <f t="shared" si="35"/>
        <v>#DIV/0!</v>
      </c>
      <c r="BC139" s="20" t="e">
        <f t="shared" si="44"/>
        <v>#DIV/0!</v>
      </c>
      <c r="BD139" s="13">
        <v>0.81299999999999994</v>
      </c>
      <c r="BE139" s="18">
        <f t="shared" si="41"/>
        <v>813</v>
      </c>
      <c r="BF139" s="8">
        <v>0.51200000000000001</v>
      </c>
      <c r="BG139" s="8">
        <v>0.26200000000000001</v>
      </c>
      <c r="BH139" s="8">
        <v>0.502</v>
      </c>
      <c r="BI139" s="13">
        <f t="shared" si="45"/>
        <v>1.276</v>
      </c>
      <c r="BJ139" s="14">
        <v>40.1</v>
      </c>
      <c r="BK139" s="14">
        <v>20.5</v>
      </c>
      <c r="BL139" s="14">
        <v>39.4</v>
      </c>
      <c r="BM139" s="16">
        <f t="shared" si="36"/>
        <v>100</v>
      </c>
      <c r="BN139" s="21">
        <f t="shared" si="37"/>
        <v>4.16</v>
      </c>
      <c r="BO139" s="21">
        <f t="shared" si="38"/>
        <v>2.13</v>
      </c>
      <c r="BP139" s="21">
        <f t="shared" si="39"/>
        <v>4.08</v>
      </c>
      <c r="BQ139" s="14">
        <f t="shared" si="40"/>
        <v>10.37</v>
      </c>
      <c r="BR139" s="22" t="str">
        <f>IF(OR(AND(X139="Mourões", BQ139&gt;=6.5),AND(X139="Postes", BQ139&gt;=9.6),AND(X139="Dormentes", BQ139&gt;=9.6),AND(X139="Estacas", BQ139&gt;=6.5),AND(X139="Cruzetas", BQ139&gt;=6.5),AND(X139="Outros - Solo", BQ139&gt;=6.5),AND(X139="Outros - Suspenso",BQ139&gt;=4),AND(X139="Deck",BQ139&gt;=4)),'Listas suspensas'!$C$21,'Listas suspensas'!$C$22)</f>
        <v>Os resultados da análise química apresentaram uma retenção do produto de acordo com o padrão mínimo exigido pela norma ABNT NBR 16143</v>
      </c>
    </row>
    <row r="140" spans="2:70" x14ac:dyDescent="0.25">
      <c r="B140" s="8" t="s">
        <v>407</v>
      </c>
      <c r="C140" s="8" t="s">
        <v>71</v>
      </c>
      <c r="F140" s="11">
        <v>45797</v>
      </c>
      <c r="G140" s="11">
        <v>45798</v>
      </c>
      <c r="H140" s="11">
        <v>45804</v>
      </c>
      <c r="I140" s="8" t="s">
        <v>241</v>
      </c>
      <c r="J140" s="8" t="s">
        <v>242</v>
      </c>
      <c r="K140" s="8" t="s">
        <v>243</v>
      </c>
      <c r="L140" s="8" t="s">
        <v>15</v>
      </c>
      <c r="M140" s="30" t="s">
        <v>361</v>
      </c>
      <c r="N140" s="8" t="s">
        <v>75</v>
      </c>
      <c r="O140" s="8" t="s">
        <v>94</v>
      </c>
      <c r="P140" s="28" t="s">
        <v>77</v>
      </c>
      <c r="Q140" s="16" t="s">
        <v>408</v>
      </c>
      <c r="X140" s="8" t="s">
        <v>79</v>
      </c>
      <c r="Y140" s="34">
        <f>IF(X140='Listas suspensas'!$A$21,'Listas suspensas'!$B$23,IF(X140='Listas suspensas'!$A$22,'Listas suspensas'!$B$23,IF(X140='Listas suspensas'!$A$23,'Listas suspensas'!$B$22,IF(X140='Listas suspensas'!$A$26,'Listas suspensas'!$B$22,IF(X140='Listas suspensas'!$A$32,'Listas suspensas'!$B$22,IF(X140='Listas suspensas'!$A$33,'Listas suspensas'!$B$21,IF(X140='Listas suspensas'!$A$24,'Listas suspensas'!$B$22,IF(X140='Listas suspensas'!$A$30,'Listas suspensas'!$B$21,""))))))))</f>
        <v>6.5</v>
      </c>
      <c r="Z140" s="8" t="str">
        <f>IF(X140='Listas suspensas'!$A$23,'Listas suspensas'!$A$9,"")</f>
        <v>NBR 16143</v>
      </c>
      <c r="AA140" s="8">
        <v>4</v>
      </c>
      <c r="AB140" s="8" t="str">
        <f>IF(AA140='Listas suspensas'!$A$2,'Listas suspensas'!$B$2,IF(AA140='Listas suspensas'!$A$3,'Listas suspensas'!$B$3,IF(AA140='Listas suspensas'!$A$4,'Listas suspensas'!$B$4,IF(AA140='Listas suspensas'!$A$5,'Listas suspensas'!$B$5,IF(AA140='Listas suspensas'!$A$6,'Listas suspensas'!$B$6,"")))))</f>
        <v>Parcial e irregular</v>
      </c>
      <c r="AC140" s="8" t="str">
        <f>IF(AA140='Listas suspensas'!$A$2,'Listas suspensas'!$C$2,IF(AA140='Listas suspensas'!$A$3,'Listas suspensas'!$C$3,IF(AA140='Listas suspensas'!$A$4,'Listas suspensas'!$C$4,IF(AA140='Listas suspensas'!$A$5,'Listas suspensas'!$C$5,IF(AA140='Listas suspensas'!$A$6,'Listas suspensas'!$C$6,"")))))</f>
        <v>Indica a penetração desuniforme e não total pela extensão do alburno.</v>
      </c>
      <c r="AP140" s="8" t="e">
        <f t="shared" si="42"/>
        <v>#DIV/0!</v>
      </c>
      <c r="AV140" s="8" t="e">
        <f t="shared" si="43"/>
        <v>#DIV/0!</v>
      </c>
      <c r="BB140" s="20" t="e">
        <f t="shared" si="35"/>
        <v>#DIV/0!</v>
      </c>
      <c r="BC140" s="20" t="e">
        <f t="shared" si="44"/>
        <v>#DIV/0!</v>
      </c>
      <c r="BD140" s="13">
        <v>0.872</v>
      </c>
      <c r="BE140" s="18">
        <f t="shared" si="41"/>
        <v>872</v>
      </c>
      <c r="BF140" s="8">
        <v>0.38</v>
      </c>
      <c r="BG140" s="8">
        <v>0.18099999999999999</v>
      </c>
      <c r="BH140" s="8">
        <v>0.28499999999999998</v>
      </c>
      <c r="BI140" s="13">
        <f t="shared" si="45"/>
        <v>0.84599999999999986</v>
      </c>
      <c r="BJ140" s="14">
        <v>44.9</v>
      </c>
      <c r="BK140" s="14">
        <v>21.4</v>
      </c>
      <c r="BL140" s="14">
        <v>33.700000000000003</v>
      </c>
      <c r="BM140" s="16">
        <f t="shared" si="36"/>
        <v>100</v>
      </c>
      <c r="BN140" s="21">
        <f t="shared" si="37"/>
        <v>3.31</v>
      </c>
      <c r="BO140" s="21">
        <f t="shared" si="38"/>
        <v>1.58</v>
      </c>
      <c r="BP140" s="21">
        <f t="shared" si="39"/>
        <v>2.4900000000000002</v>
      </c>
      <c r="BQ140" s="14">
        <f t="shared" si="40"/>
        <v>7.38</v>
      </c>
      <c r="BR140" s="22" t="str">
        <f>IF(OR(AND(X140="Mourões", BQ140&gt;=6.5),AND(X140="Postes", BQ140&gt;=9.6),AND(X140="Dormentes", BQ140&gt;=9.6),AND(X140="Estacas", BQ140&gt;=6.5),AND(X140="Cruzetas", BQ140&gt;=6.5),AND(X140="Outros - Solo", BQ140&gt;=6.5),AND(X140="Outros - Suspenso",BQ140&gt;=4),AND(X140="Deck",BQ140&gt;=4)),'Listas suspensas'!$C$21,'Listas suspensas'!$C$22)</f>
        <v>Os resultados da análise química apresentaram uma retenção do produto de acordo com o padrão mínimo exigido pela norma ABNT NBR 16143</v>
      </c>
    </row>
    <row r="141" spans="2:70" x14ac:dyDescent="0.25">
      <c r="B141" s="8" t="s">
        <v>409</v>
      </c>
      <c r="C141" s="8" t="s">
        <v>71</v>
      </c>
      <c r="F141" s="11">
        <v>45797</v>
      </c>
      <c r="G141" s="11">
        <v>45798</v>
      </c>
      <c r="H141" s="11">
        <v>45804</v>
      </c>
      <c r="I141" s="8" t="s">
        <v>241</v>
      </c>
      <c r="J141" s="8" t="s">
        <v>242</v>
      </c>
      <c r="K141" s="8" t="s">
        <v>243</v>
      </c>
      <c r="L141" s="8" t="s">
        <v>15</v>
      </c>
      <c r="M141" s="30" t="s">
        <v>361</v>
      </c>
      <c r="N141" s="8" t="s">
        <v>75</v>
      </c>
      <c r="O141" s="8" t="s">
        <v>94</v>
      </c>
      <c r="P141" s="28" t="s">
        <v>77</v>
      </c>
      <c r="Q141" s="16" t="s">
        <v>410</v>
      </c>
      <c r="X141" s="8" t="s">
        <v>79</v>
      </c>
      <c r="Y141" s="34">
        <f>IF(X141='Listas suspensas'!$A$21,'Listas suspensas'!$B$23,IF(X141='Listas suspensas'!$A$22,'Listas suspensas'!$B$23,IF(X141='Listas suspensas'!$A$23,'Listas suspensas'!$B$22,IF(X141='Listas suspensas'!$A$26,'Listas suspensas'!$B$22,IF(X141='Listas suspensas'!$A$32,'Listas suspensas'!$B$22,IF(X141='Listas suspensas'!$A$33,'Listas suspensas'!$B$21,IF(X141='Listas suspensas'!$A$24,'Listas suspensas'!$B$22,IF(X141='Listas suspensas'!$A$30,'Listas suspensas'!$B$21,""))))))))</f>
        <v>6.5</v>
      </c>
      <c r="Z141" s="8" t="str">
        <f>IF(X141='Listas suspensas'!$A$23,'Listas suspensas'!$A$9,"")</f>
        <v>NBR 16143</v>
      </c>
      <c r="AA141" s="8">
        <v>2</v>
      </c>
      <c r="AB141" s="8" t="str">
        <f>IF(AA141='Listas suspensas'!$A$2,'Listas suspensas'!$B$2,IF(AA141='Listas suspensas'!$A$3,'Listas suspensas'!$B$3,IF(AA141='Listas suspensas'!$A$4,'Listas suspensas'!$B$4,IF(AA141='Listas suspensas'!$A$5,'Listas suspensas'!$B$5,IF(AA141='Listas suspensas'!$A$6,'Listas suspensas'!$B$6,"")))))</f>
        <v>Profunda e irregular</v>
      </c>
      <c r="AC141" s="8" t="str">
        <f>IF(AA141='Listas suspensas'!$A$2,'Listas suspensas'!$C$2,IF(AA141='Listas suspensas'!$A$3,'Listas suspensas'!$C$3,IF(AA141='Listas suspensas'!$A$4,'Listas suspensas'!$C$4,IF(AA141='Listas suspensas'!$A$5,'Listas suspensas'!$C$5,IF(AA141='Listas suspensas'!$A$6,'Listas suspensas'!$C$6,"")))))</f>
        <v>Indica a penetração profunda, mas desuniforme em toda a extensão do alburno.</v>
      </c>
      <c r="AP141" s="8" t="e">
        <f t="shared" si="42"/>
        <v>#DIV/0!</v>
      </c>
      <c r="AV141" s="8" t="e">
        <f t="shared" si="43"/>
        <v>#DIV/0!</v>
      </c>
      <c r="BB141" s="20" t="e">
        <f t="shared" si="35"/>
        <v>#DIV/0!</v>
      </c>
      <c r="BC141" s="20" t="e">
        <f t="shared" si="44"/>
        <v>#DIV/0!</v>
      </c>
      <c r="BD141" s="13">
        <v>0.97399999999999998</v>
      </c>
      <c r="BE141" s="18">
        <f t="shared" si="41"/>
        <v>974</v>
      </c>
      <c r="BF141" s="8">
        <v>0.32800000000000001</v>
      </c>
      <c r="BG141" s="8">
        <v>0.19600000000000001</v>
      </c>
      <c r="BH141" s="8">
        <v>0.36899999999999999</v>
      </c>
      <c r="BI141" s="13">
        <f t="shared" si="45"/>
        <v>0.89300000000000002</v>
      </c>
      <c r="BJ141" s="14">
        <v>36.700000000000003</v>
      </c>
      <c r="BK141" s="14">
        <v>22</v>
      </c>
      <c r="BL141" s="14">
        <v>41.3</v>
      </c>
      <c r="BM141" s="16">
        <f t="shared" si="36"/>
        <v>100</v>
      </c>
      <c r="BN141" s="21">
        <f t="shared" si="37"/>
        <v>3.19</v>
      </c>
      <c r="BO141" s="21">
        <f t="shared" si="38"/>
        <v>1.91</v>
      </c>
      <c r="BP141" s="21">
        <f t="shared" si="39"/>
        <v>3.59</v>
      </c>
      <c r="BQ141" s="14">
        <f t="shared" si="40"/>
        <v>8.69</v>
      </c>
      <c r="BR141" s="22" t="str">
        <f>IF(OR(AND(X141="Mourões", BQ141&gt;=6.5),AND(X141="Postes", BQ141&gt;=9.6),AND(X141="Dormentes", BQ141&gt;=9.6),AND(X141="Estacas", BQ141&gt;=6.5),AND(X141="Cruzetas", BQ141&gt;=6.5),AND(X141="Outros - Solo", BQ141&gt;=6.5),AND(X141="Outros - Suspenso",BQ141&gt;=4),AND(X141="Deck",BQ141&gt;=4)),'Listas suspensas'!$C$21,'Listas suspensas'!$C$22)</f>
        <v>Os resultados da análise química apresentaram uma retenção do produto de acordo com o padrão mínimo exigido pela norma ABNT NBR 16143</v>
      </c>
    </row>
    <row r="142" spans="2:70" x14ac:dyDescent="0.25">
      <c r="B142" s="8" t="s">
        <v>411</v>
      </c>
      <c r="C142" s="8" t="s">
        <v>71</v>
      </c>
      <c r="F142" s="11">
        <v>45797</v>
      </c>
      <c r="G142" s="11">
        <v>45798</v>
      </c>
      <c r="H142" s="11">
        <v>45804</v>
      </c>
      <c r="I142" s="8" t="s">
        <v>241</v>
      </c>
      <c r="J142" s="8" t="s">
        <v>242</v>
      </c>
      <c r="K142" s="8" t="s">
        <v>243</v>
      </c>
      <c r="L142" s="8" t="s">
        <v>15</v>
      </c>
      <c r="M142" s="30" t="s">
        <v>361</v>
      </c>
      <c r="N142" s="8" t="s">
        <v>75</v>
      </c>
      <c r="O142" s="8" t="s">
        <v>94</v>
      </c>
      <c r="P142" s="28" t="s">
        <v>77</v>
      </c>
      <c r="Q142" s="16" t="s">
        <v>412</v>
      </c>
      <c r="X142" s="8" t="s">
        <v>79</v>
      </c>
      <c r="Y142" s="34">
        <f>IF(X142='Listas suspensas'!$A$21,'Listas suspensas'!$B$23,IF(X142='Listas suspensas'!$A$22,'Listas suspensas'!$B$23,IF(X142='Listas suspensas'!$A$23,'Listas suspensas'!$B$22,IF(X142='Listas suspensas'!$A$26,'Listas suspensas'!$B$22,IF(X142='Listas suspensas'!$A$32,'Listas suspensas'!$B$22,IF(X142='Listas suspensas'!$A$33,'Listas suspensas'!$B$21,IF(X142='Listas suspensas'!$A$24,'Listas suspensas'!$B$22,IF(X142='Listas suspensas'!$A$30,'Listas suspensas'!$B$21,""))))))))</f>
        <v>6.5</v>
      </c>
      <c r="Z142" s="8" t="str">
        <f>IF(X142='Listas suspensas'!$A$23,'Listas suspensas'!$A$9,"")</f>
        <v>NBR 16143</v>
      </c>
      <c r="AA142" s="8">
        <v>2</v>
      </c>
      <c r="AB142" s="8" t="str">
        <f>IF(AA142='Listas suspensas'!$A$2,'Listas suspensas'!$B$2,IF(AA142='Listas suspensas'!$A$3,'Listas suspensas'!$B$3,IF(AA142='Listas suspensas'!$A$4,'Listas suspensas'!$B$4,IF(AA142='Listas suspensas'!$A$5,'Listas suspensas'!$B$5,IF(AA142='Listas suspensas'!$A$6,'Listas suspensas'!$B$6,"")))))</f>
        <v>Profunda e irregular</v>
      </c>
      <c r="AC142" s="8" t="str">
        <f>IF(AA142='Listas suspensas'!$A$2,'Listas suspensas'!$C$2,IF(AA142='Listas suspensas'!$A$3,'Listas suspensas'!$C$3,IF(AA142='Listas suspensas'!$A$4,'Listas suspensas'!$C$4,IF(AA142='Listas suspensas'!$A$5,'Listas suspensas'!$C$5,IF(AA142='Listas suspensas'!$A$6,'Listas suspensas'!$C$6,"")))))</f>
        <v>Indica a penetração profunda, mas desuniforme em toda a extensão do alburno.</v>
      </c>
      <c r="AP142" s="8" t="e">
        <f t="shared" si="42"/>
        <v>#DIV/0!</v>
      </c>
      <c r="AV142" s="8" t="e">
        <f t="shared" si="43"/>
        <v>#DIV/0!</v>
      </c>
      <c r="BB142" s="20" t="e">
        <f t="shared" si="35"/>
        <v>#DIV/0!</v>
      </c>
      <c r="BC142" s="20" t="e">
        <f t="shared" si="44"/>
        <v>#DIV/0!</v>
      </c>
      <c r="BD142" s="13">
        <v>0.95</v>
      </c>
      <c r="BE142" s="18">
        <f t="shared" si="41"/>
        <v>950</v>
      </c>
      <c r="BF142" s="8">
        <v>0.3</v>
      </c>
      <c r="BG142" s="8">
        <v>0.154</v>
      </c>
      <c r="BH142" s="8">
        <v>0.3</v>
      </c>
      <c r="BI142" s="13">
        <f t="shared" si="45"/>
        <v>0.754</v>
      </c>
      <c r="BJ142" s="14">
        <v>39.799999999999997</v>
      </c>
      <c r="BK142" s="14">
        <v>20.5</v>
      </c>
      <c r="BL142" s="14">
        <v>39.700000000000003</v>
      </c>
      <c r="BM142" s="16">
        <f t="shared" si="36"/>
        <v>100</v>
      </c>
      <c r="BN142" s="21">
        <f t="shared" si="37"/>
        <v>2.85</v>
      </c>
      <c r="BO142" s="21">
        <f t="shared" si="38"/>
        <v>1.46</v>
      </c>
      <c r="BP142" s="21">
        <f t="shared" si="39"/>
        <v>2.85</v>
      </c>
      <c r="BQ142" s="14">
        <f t="shared" si="40"/>
        <v>7.16</v>
      </c>
      <c r="BR142" s="22" t="str">
        <f>IF(OR(AND(X142="Mourões", BQ142&gt;=6.5),AND(X142="Postes", BQ142&gt;=9.6),AND(X142="Dormentes", BQ142&gt;=9.6),AND(X142="Estacas", BQ142&gt;=6.5),AND(X142="Cruzetas", BQ142&gt;=6.5),AND(X142="Outros - Solo", BQ142&gt;=6.5),AND(X142="Outros - Suspenso",BQ142&gt;=4),AND(X142="Deck",BQ142&gt;=4)),'Listas suspensas'!$C$21,'Listas suspensas'!$C$22)</f>
        <v>Os resultados da análise química apresentaram uma retenção do produto de acordo com o padrão mínimo exigido pela norma ABNT NBR 16143</v>
      </c>
    </row>
    <row r="143" spans="2:70" x14ac:dyDescent="0.25">
      <c r="B143" s="8" t="s">
        <v>413</v>
      </c>
      <c r="C143" s="8" t="s">
        <v>71</v>
      </c>
      <c r="F143" s="11">
        <v>45797</v>
      </c>
      <c r="G143" s="11">
        <v>45798</v>
      </c>
      <c r="H143" s="11">
        <v>45804</v>
      </c>
      <c r="I143" s="8" t="s">
        <v>241</v>
      </c>
      <c r="J143" s="8" t="s">
        <v>242</v>
      </c>
      <c r="K143" s="8" t="s">
        <v>243</v>
      </c>
      <c r="L143" s="8" t="s">
        <v>15</v>
      </c>
      <c r="M143" s="30" t="s">
        <v>361</v>
      </c>
      <c r="N143" s="8" t="s">
        <v>75</v>
      </c>
      <c r="O143" s="8" t="s">
        <v>94</v>
      </c>
      <c r="P143" s="28" t="s">
        <v>77</v>
      </c>
      <c r="Q143" s="16" t="s">
        <v>414</v>
      </c>
      <c r="X143" s="8" t="s">
        <v>79</v>
      </c>
      <c r="Y143" s="34">
        <f>IF(X143='Listas suspensas'!$A$21,'Listas suspensas'!$B$23,IF(X143='Listas suspensas'!$A$22,'Listas suspensas'!$B$23,IF(X143='Listas suspensas'!$A$23,'Listas suspensas'!$B$22,IF(X143='Listas suspensas'!$A$26,'Listas suspensas'!$B$22,IF(X143='Listas suspensas'!$A$32,'Listas suspensas'!$B$22,IF(X143='Listas suspensas'!$A$33,'Listas suspensas'!$B$21,IF(X143='Listas suspensas'!$A$24,'Listas suspensas'!$B$22,IF(X143='Listas suspensas'!$A$30,'Listas suspensas'!$B$21,""))))))))</f>
        <v>6.5</v>
      </c>
      <c r="Z143" s="8" t="str">
        <f>IF(X143='Listas suspensas'!$A$23,'Listas suspensas'!$A$9,"")</f>
        <v>NBR 16143</v>
      </c>
      <c r="AA143" s="8">
        <v>2</v>
      </c>
      <c r="AB143" s="8" t="str">
        <f>IF(AA143='Listas suspensas'!$A$2,'Listas suspensas'!$B$2,IF(AA143='Listas suspensas'!$A$3,'Listas suspensas'!$B$3,IF(AA143='Listas suspensas'!$A$4,'Listas suspensas'!$B$4,IF(AA143='Listas suspensas'!$A$5,'Listas suspensas'!$B$5,IF(AA143='Listas suspensas'!$A$6,'Listas suspensas'!$B$6,"")))))</f>
        <v>Profunda e irregular</v>
      </c>
      <c r="AC143" s="8" t="str">
        <f>IF(AA143='Listas suspensas'!$A$2,'Listas suspensas'!$C$2,IF(AA143='Listas suspensas'!$A$3,'Listas suspensas'!$C$3,IF(AA143='Listas suspensas'!$A$4,'Listas suspensas'!$C$4,IF(AA143='Listas suspensas'!$A$5,'Listas suspensas'!$C$5,IF(AA143='Listas suspensas'!$A$6,'Listas suspensas'!$C$6,"")))))</f>
        <v>Indica a penetração profunda, mas desuniforme em toda a extensão do alburno.</v>
      </c>
      <c r="AP143" s="8" t="e">
        <f t="shared" si="42"/>
        <v>#DIV/0!</v>
      </c>
      <c r="AV143" s="8" t="e">
        <f t="shared" si="43"/>
        <v>#DIV/0!</v>
      </c>
      <c r="BB143" s="20" t="e">
        <f t="shared" si="35"/>
        <v>#DIV/0!</v>
      </c>
      <c r="BC143" s="20" t="e">
        <f t="shared" si="44"/>
        <v>#DIV/0!</v>
      </c>
      <c r="BD143" s="13">
        <v>0.84299999999999997</v>
      </c>
      <c r="BE143" s="18">
        <f t="shared" si="41"/>
        <v>843</v>
      </c>
      <c r="BF143" s="8">
        <v>0.39200000000000002</v>
      </c>
      <c r="BG143" s="8">
        <v>0.20200000000000001</v>
      </c>
      <c r="BH143" s="8">
        <v>0.32900000000000001</v>
      </c>
      <c r="BI143" s="13">
        <f t="shared" si="45"/>
        <v>0.92300000000000004</v>
      </c>
      <c r="BJ143" s="14">
        <v>42.5</v>
      </c>
      <c r="BK143" s="14">
        <v>21.9</v>
      </c>
      <c r="BL143" s="14">
        <v>35.6</v>
      </c>
      <c r="BM143" s="16">
        <f t="shared" si="36"/>
        <v>100</v>
      </c>
      <c r="BN143" s="21">
        <f t="shared" si="37"/>
        <v>3.3</v>
      </c>
      <c r="BO143" s="21">
        <f t="shared" si="38"/>
        <v>1.7</v>
      </c>
      <c r="BP143" s="21">
        <f t="shared" si="39"/>
        <v>2.77</v>
      </c>
      <c r="BQ143" s="14">
        <f t="shared" si="40"/>
        <v>7.77</v>
      </c>
      <c r="BR143" s="22" t="str">
        <f>IF(OR(AND(X143="Mourões", BQ143&gt;=6.5),AND(X143="Postes", BQ143&gt;=9.6),AND(X143="Dormentes", BQ143&gt;=9.6),AND(X143="Estacas", BQ143&gt;=6.5),AND(X143="Cruzetas", BQ143&gt;=6.5),AND(X143="Outros - Solo", BQ143&gt;=6.5),AND(X143="Outros - Suspenso",BQ143&gt;=4),AND(X143="Deck",BQ143&gt;=4)),'Listas suspensas'!$C$21,'Listas suspensas'!$C$22)</f>
        <v>Os resultados da análise química apresentaram uma retenção do produto de acordo com o padrão mínimo exigido pela norma ABNT NBR 16143</v>
      </c>
    </row>
    <row r="144" spans="2:70" x14ac:dyDescent="0.25">
      <c r="B144" s="8" t="s">
        <v>415</v>
      </c>
      <c r="C144" s="8" t="s">
        <v>71</v>
      </c>
      <c r="F144" s="11">
        <v>45797</v>
      </c>
      <c r="G144" s="11">
        <v>45798</v>
      </c>
      <c r="H144" s="11">
        <v>45804</v>
      </c>
      <c r="I144" s="8" t="s">
        <v>241</v>
      </c>
      <c r="J144" s="8" t="s">
        <v>242</v>
      </c>
      <c r="K144" s="8" t="s">
        <v>243</v>
      </c>
      <c r="L144" s="8" t="s">
        <v>15</v>
      </c>
      <c r="M144" s="30" t="s">
        <v>361</v>
      </c>
      <c r="N144" s="8" t="s">
        <v>75</v>
      </c>
      <c r="O144" s="8" t="s">
        <v>94</v>
      </c>
      <c r="P144" s="28" t="s">
        <v>77</v>
      </c>
      <c r="Q144" s="16" t="s">
        <v>416</v>
      </c>
      <c r="X144" s="8" t="s">
        <v>79</v>
      </c>
      <c r="Y144" s="34">
        <f>IF(X144='Listas suspensas'!$A$21,'Listas suspensas'!$B$23,IF(X144='Listas suspensas'!$A$22,'Listas suspensas'!$B$23,IF(X144='Listas suspensas'!$A$23,'Listas suspensas'!$B$22,IF(X144='Listas suspensas'!$A$26,'Listas suspensas'!$B$22,IF(X144='Listas suspensas'!$A$32,'Listas suspensas'!$B$22,IF(X144='Listas suspensas'!$A$33,'Listas suspensas'!$B$21,IF(X144='Listas suspensas'!$A$24,'Listas suspensas'!$B$22,IF(X144='Listas suspensas'!$A$30,'Listas suspensas'!$B$21,""))))))))</f>
        <v>6.5</v>
      </c>
      <c r="Z144" s="8" t="str">
        <f>IF(X144='Listas suspensas'!$A$23,'Listas suspensas'!$A$9,"")</f>
        <v>NBR 16143</v>
      </c>
      <c r="AA144" s="8">
        <v>1</v>
      </c>
      <c r="AB144" s="8" t="str">
        <f>IF(AA144='Listas suspensas'!$A$2,'Listas suspensas'!$B$2,IF(AA144='Listas suspensas'!$A$3,'Listas suspensas'!$B$3,IF(AA144='Listas suspensas'!$A$4,'Listas suspensas'!$B$4,IF(AA144='Listas suspensas'!$A$5,'Listas suspensas'!$B$5,IF(AA144='Listas suspensas'!$A$6,'Listas suspensas'!$B$6,"")))))</f>
        <v>Profunda e regular</v>
      </c>
      <c r="AC144" s="8" t="str">
        <f>IF(AA144='Listas suspensas'!$A$2,'Listas suspensas'!$C$2,IF(AA144='Listas suspensas'!$A$3,'Listas suspensas'!$C$3,IF(AA144='Listas suspensas'!$A$4,'Listas suspensas'!$C$4,IF(AA144='Listas suspensas'!$A$5,'Listas suspensas'!$C$5,IF(AA144='Listas suspensas'!$A$6,'Listas suspensas'!$C$6,"")))))</f>
        <v>Indica a penetração profunda e uniforme em toda a extensão do alburno.</v>
      </c>
      <c r="AP144" s="8" t="e">
        <f t="shared" si="42"/>
        <v>#DIV/0!</v>
      </c>
      <c r="AV144" s="8" t="e">
        <f t="shared" si="43"/>
        <v>#DIV/0!</v>
      </c>
      <c r="BB144" s="20" t="e">
        <f t="shared" si="35"/>
        <v>#DIV/0!</v>
      </c>
      <c r="BC144" s="20" t="e">
        <f t="shared" si="44"/>
        <v>#DIV/0!</v>
      </c>
      <c r="BD144" s="13">
        <v>0.86399999999999999</v>
      </c>
      <c r="BE144" s="18">
        <f t="shared" si="41"/>
        <v>864</v>
      </c>
      <c r="BF144" s="8">
        <v>0.624</v>
      </c>
      <c r="BG144" s="8">
        <v>0.308</v>
      </c>
      <c r="BH144" s="8">
        <v>0.53900000000000003</v>
      </c>
      <c r="BI144" s="13">
        <f t="shared" si="45"/>
        <v>1.4710000000000001</v>
      </c>
      <c r="BJ144" s="14">
        <v>42.4</v>
      </c>
      <c r="BK144" s="14">
        <v>20.9</v>
      </c>
      <c r="BL144" s="14">
        <v>36.700000000000003</v>
      </c>
      <c r="BM144" s="16">
        <f t="shared" si="36"/>
        <v>100</v>
      </c>
      <c r="BN144" s="21">
        <f t="shared" si="37"/>
        <v>5.39</v>
      </c>
      <c r="BO144" s="21">
        <f t="shared" si="38"/>
        <v>2.66</v>
      </c>
      <c r="BP144" s="21">
        <f t="shared" si="39"/>
        <v>4.66</v>
      </c>
      <c r="BQ144" s="14">
        <f t="shared" si="40"/>
        <v>12.71</v>
      </c>
      <c r="BR144" s="22" t="str">
        <f>IF(OR(AND(X144="Mourões", BQ144&gt;=6.5),AND(X144="Postes", BQ144&gt;=9.6),AND(X144="Dormentes", BQ144&gt;=9.6),AND(X144="Estacas", BQ144&gt;=6.5),AND(X144="Cruzetas", BQ144&gt;=6.5),AND(X144="Outros - Solo", BQ144&gt;=6.5),AND(X144="Outros - Suspenso",BQ144&gt;=4),AND(X144="Deck",BQ144&gt;=4)),'Listas suspensas'!$C$21,'Listas suspensas'!$C$22)</f>
        <v>Os resultados da análise química apresentaram uma retenção do produto de acordo com o padrão mínimo exigido pela norma ABNT NBR 16143</v>
      </c>
    </row>
    <row r="145" spans="2:70" x14ac:dyDescent="0.25">
      <c r="B145" s="8" t="s">
        <v>417</v>
      </c>
      <c r="C145" s="8" t="s">
        <v>71</v>
      </c>
      <c r="F145" s="11">
        <v>45797</v>
      </c>
      <c r="G145" s="11">
        <v>45798</v>
      </c>
      <c r="H145" s="11">
        <v>45804</v>
      </c>
      <c r="I145" s="8" t="s">
        <v>241</v>
      </c>
      <c r="J145" s="8" t="s">
        <v>242</v>
      </c>
      <c r="K145" s="8" t="s">
        <v>243</v>
      </c>
      <c r="L145" s="8" t="s">
        <v>15</v>
      </c>
      <c r="M145" s="30" t="s">
        <v>361</v>
      </c>
      <c r="N145" s="8" t="s">
        <v>75</v>
      </c>
      <c r="O145" s="8" t="s">
        <v>94</v>
      </c>
      <c r="P145" s="28" t="s">
        <v>77</v>
      </c>
      <c r="Q145" s="16" t="s">
        <v>418</v>
      </c>
      <c r="X145" s="8" t="s">
        <v>79</v>
      </c>
      <c r="Y145" s="34">
        <f>IF(X145='Listas suspensas'!$A$21,'Listas suspensas'!$B$23,IF(X145='Listas suspensas'!$A$22,'Listas suspensas'!$B$23,IF(X145='Listas suspensas'!$A$23,'Listas suspensas'!$B$22,IF(X145='Listas suspensas'!$A$26,'Listas suspensas'!$B$22,IF(X145='Listas suspensas'!$A$32,'Listas suspensas'!$B$22,IF(X145='Listas suspensas'!$A$33,'Listas suspensas'!$B$21,IF(X145='Listas suspensas'!$A$24,'Listas suspensas'!$B$22,IF(X145='Listas suspensas'!$A$30,'Listas suspensas'!$B$21,""))))))))</f>
        <v>6.5</v>
      </c>
      <c r="Z145" s="8" t="str">
        <f>IF(X145='Listas suspensas'!$A$23,'Listas suspensas'!$A$9,"")</f>
        <v>NBR 16143</v>
      </c>
      <c r="AA145" s="8">
        <v>2</v>
      </c>
      <c r="AB145" s="8" t="str">
        <f>IF(AA145='Listas suspensas'!$A$2,'Listas suspensas'!$B$2,IF(AA145='Listas suspensas'!$A$3,'Listas suspensas'!$B$3,IF(AA145='Listas suspensas'!$A$4,'Listas suspensas'!$B$4,IF(AA145='Listas suspensas'!$A$5,'Listas suspensas'!$B$5,IF(AA145='Listas suspensas'!$A$6,'Listas suspensas'!$B$6,"")))))</f>
        <v>Profunda e irregular</v>
      </c>
      <c r="AC145" s="8" t="str">
        <f>IF(AA145='Listas suspensas'!$A$2,'Listas suspensas'!$C$2,IF(AA145='Listas suspensas'!$A$3,'Listas suspensas'!$C$3,IF(AA145='Listas suspensas'!$A$4,'Listas suspensas'!$C$4,IF(AA145='Listas suspensas'!$A$5,'Listas suspensas'!$C$5,IF(AA145='Listas suspensas'!$A$6,'Listas suspensas'!$C$6,"")))))</f>
        <v>Indica a penetração profunda, mas desuniforme em toda a extensão do alburno.</v>
      </c>
      <c r="AP145" s="8" t="e">
        <f t="shared" si="42"/>
        <v>#DIV/0!</v>
      </c>
      <c r="AV145" s="8" t="e">
        <f t="shared" si="43"/>
        <v>#DIV/0!</v>
      </c>
      <c r="BB145" s="20" t="e">
        <f t="shared" si="35"/>
        <v>#DIV/0!</v>
      </c>
      <c r="BC145" s="20" t="e">
        <f t="shared" si="44"/>
        <v>#DIV/0!</v>
      </c>
      <c r="BD145" s="13">
        <v>0.84599999999999997</v>
      </c>
      <c r="BE145" s="18">
        <f t="shared" si="41"/>
        <v>846</v>
      </c>
      <c r="BF145" s="8">
        <v>0.67300000000000004</v>
      </c>
      <c r="BG145" s="8">
        <v>0.313</v>
      </c>
      <c r="BH145" s="8">
        <v>0.63300000000000001</v>
      </c>
      <c r="BI145" s="13">
        <f t="shared" si="45"/>
        <v>1.619</v>
      </c>
      <c r="BJ145" s="14">
        <v>41.6</v>
      </c>
      <c r="BK145" s="14">
        <v>19.3</v>
      </c>
      <c r="BL145" s="14">
        <v>39.1</v>
      </c>
      <c r="BM145" s="16">
        <f t="shared" si="36"/>
        <v>100</v>
      </c>
      <c r="BN145" s="21">
        <f t="shared" si="37"/>
        <v>5.69</v>
      </c>
      <c r="BO145" s="21">
        <f t="shared" si="38"/>
        <v>2.65</v>
      </c>
      <c r="BP145" s="21">
        <f t="shared" si="39"/>
        <v>5.36</v>
      </c>
      <c r="BQ145" s="14">
        <f t="shared" si="40"/>
        <v>13.7</v>
      </c>
      <c r="BR145" s="22" t="str">
        <f>IF(OR(AND(X145="Mourões", BQ145&gt;=6.5),AND(X145="Postes", BQ145&gt;=9.6),AND(X145="Dormentes", BQ145&gt;=9.6),AND(X145="Estacas", BQ145&gt;=6.5),AND(X145="Cruzetas", BQ145&gt;=6.5),AND(X145="Outros - Solo", BQ145&gt;=6.5),AND(X145="Outros - Suspenso",BQ145&gt;=4),AND(X145="Deck",BQ145&gt;=4)),'Listas suspensas'!$C$21,'Listas suspensas'!$C$22)</f>
        <v>Os resultados da análise química apresentaram uma retenção do produto de acordo com o padrão mínimo exigido pela norma ABNT NBR 16143</v>
      </c>
    </row>
    <row r="146" spans="2:70" x14ac:dyDescent="0.25">
      <c r="B146" s="8" t="s">
        <v>419</v>
      </c>
      <c r="C146" s="8" t="s">
        <v>71</v>
      </c>
      <c r="D146" s="8" t="s">
        <v>129</v>
      </c>
      <c r="F146" s="11">
        <v>45811</v>
      </c>
      <c r="G146" s="11">
        <v>45813</v>
      </c>
      <c r="H146" s="11">
        <v>45821</v>
      </c>
      <c r="I146" s="8" t="s">
        <v>130</v>
      </c>
      <c r="J146" s="8" t="s">
        <v>131</v>
      </c>
      <c r="K146" s="8" t="s">
        <v>74</v>
      </c>
      <c r="L146" s="8" t="s">
        <v>15</v>
      </c>
      <c r="M146" s="30" t="s">
        <v>132</v>
      </c>
      <c r="N146" s="8" t="s">
        <v>75</v>
      </c>
      <c r="O146" s="8" t="s">
        <v>76</v>
      </c>
      <c r="P146" s="28" t="s">
        <v>146</v>
      </c>
      <c r="Q146" s="16" t="s">
        <v>420</v>
      </c>
      <c r="X146" s="8" t="s">
        <v>79</v>
      </c>
      <c r="Y146" s="34">
        <f>IF(X146='Listas suspensas'!$A$21,'Listas suspensas'!$B$23,IF(X146='Listas suspensas'!$A$22,'Listas suspensas'!$B$23,IF(X146='Listas suspensas'!$A$23,'Listas suspensas'!$B$22,IF(X146='Listas suspensas'!$A$26,'Listas suspensas'!$B$22,IF(X146='Listas suspensas'!$A$32,'Listas suspensas'!$B$22,IF(X146='Listas suspensas'!$A$33,'Listas suspensas'!$B$21,IF(X146='Listas suspensas'!$A$24,'Listas suspensas'!$B$22,IF(X146='Listas suspensas'!$A$30,'Listas suspensas'!$B$21,""))))))))</f>
        <v>6.5</v>
      </c>
      <c r="Z146" s="8" t="str">
        <f>IF(X146='Listas suspensas'!$A$23,'Listas suspensas'!$A$9,"")</f>
        <v>NBR 16143</v>
      </c>
      <c r="AA146" s="8">
        <v>4</v>
      </c>
      <c r="AB146" s="8" t="str">
        <f>IF(AA146='Listas suspensas'!$A$2,'Listas suspensas'!$B$2,IF(AA146='Listas suspensas'!$A$3,'Listas suspensas'!$B$3,IF(AA146='Listas suspensas'!$A$4,'Listas suspensas'!$B$4,IF(AA146='Listas suspensas'!$A$5,'Listas suspensas'!$B$5,IF(AA146='Listas suspensas'!$A$6,'Listas suspensas'!$B$6,"")))))</f>
        <v>Parcial e irregular</v>
      </c>
      <c r="AC146" s="8" t="str">
        <f>IF(AA146='Listas suspensas'!$A$2,'Listas suspensas'!$C$2,IF(AA146='Listas suspensas'!$A$3,'Listas suspensas'!$C$3,IF(AA146='Listas suspensas'!$A$4,'Listas suspensas'!$C$4,IF(AA146='Listas suspensas'!$A$5,'Listas suspensas'!$C$5,IF(AA146='Listas suspensas'!$A$6,'Listas suspensas'!$C$6,"")))))</f>
        <v>Indica a penetração desuniforme e não total pela extensão do alburno.</v>
      </c>
      <c r="AP146" s="8" t="e">
        <f t="shared" si="42"/>
        <v>#DIV/0!</v>
      </c>
      <c r="AV146" s="8" t="e">
        <f t="shared" si="43"/>
        <v>#DIV/0!</v>
      </c>
      <c r="BB146" s="20" t="e">
        <f t="shared" si="35"/>
        <v>#DIV/0!</v>
      </c>
      <c r="BC146" s="20" t="e">
        <f t="shared" si="44"/>
        <v>#DIV/0!</v>
      </c>
      <c r="BD146" s="13">
        <v>0.81499999999999995</v>
      </c>
      <c r="BE146" s="18">
        <f t="shared" si="41"/>
        <v>815</v>
      </c>
      <c r="BF146" s="8">
        <v>0.21299999999999999</v>
      </c>
      <c r="BG146" s="8">
        <v>8.8999999999999996E-2</v>
      </c>
      <c r="BH146" s="8">
        <v>0.18</v>
      </c>
      <c r="BI146" s="13">
        <f t="shared" si="45"/>
        <v>0.48199999999999998</v>
      </c>
      <c r="BJ146" s="14">
        <v>44.1</v>
      </c>
      <c r="BK146" s="14">
        <v>18.399999999999999</v>
      </c>
      <c r="BL146" s="14">
        <v>37.5</v>
      </c>
      <c r="BM146" s="16">
        <f t="shared" si="36"/>
        <v>100</v>
      </c>
      <c r="BN146" s="21">
        <f t="shared" si="37"/>
        <v>1.74</v>
      </c>
      <c r="BO146" s="21">
        <f t="shared" si="38"/>
        <v>0.73</v>
      </c>
      <c r="BP146" s="21">
        <f t="shared" si="39"/>
        <v>1.47</v>
      </c>
      <c r="BQ146" s="14">
        <f t="shared" si="40"/>
        <v>3.94</v>
      </c>
      <c r="BR146" s="22" t="str">
        <f>IF(OR(AND(X146="Mourões", BQ146&gt;=6.5),AND(X146="Postes", BQ146&gt;=9.6),AND(X146="Dormentes", BQ146&gt;=9.6),AND(X146="Estacas", BQ146&gt;=6.5),AND(X146="Cruzetas", BQ146&gt;=6.5),AND(X146="Outros - Solo", BQ146&gt;=6.5),AND(X146="Outros - Suspenso",BQ146&gt;=4),AND(X146="Deck",BQ146&gt;=4)),'Listas suspensas'!$C$21,'Listas suspensas'!$C$22)</f>
        <v>Os resultados da análise química apresentaram uma retenção do produto inferior ao padrão mínimo exigido pela norma ABNT NBR 16143</v>
      </c>
    </row>
    <row r="147" spans="2:70" x14ac:dyDescent="0.25">
      <c r="B147" s="8" t="s">
        <v>421</v>
      </c>
      <c r="C147" s="8" t="s">
        <v>71</v>
      </c>
      <c r="D147" s="8" t="s">
        <v>129</v>
      </c>
      <c r="F147" s="11">
        <v>45811</v>
      </c>
      <c r="G147" s="11">
        <v>45813</v>
      </c>
      <c r="H147" s="11">
        <v>45821</v>
      </c>
      <c r="I147" s="8" t="s">
        <v>130</v>
      </c>
      <c r="J147" s="8" t="s">
        <v>131</v>
      </c>
      <c r="K147" s="8" t="s">
        <v>74</v>
      </c>
      <c r="L147" s="8" t="s">
        <v>15</v>
      </c>
      <c r="M147" s="30" t="s">
        <v>132</v>
      </c>
      <c r="N147" s="8" t="s">
        <v>75</v>
      </c>
      <c r="O147" s="8" t="s">
        <v>76</v>
      </c>
      <c r="P147" s="28" t="s">
        <v>146</v>
      </c>
      <c r="Q147" s="16" t="s">
        <v>422</v>
      </c>
      <c r="X147" s="8" t="s">
        <v>79</v>
      </c>
      <c r="Y147" s="34">
        <f>IF(X147='Listas suspensas'!$A$21,'Listas suspensas'!$B$23,IF(X147='Listas suspensas'!$A$22,'Listas suspensas'!$B$23,IF(X147='Listas suspensas'!$A$23,'Listas suspensas'!$B$22,IF(X147='Listas suspensas'!$A$26,'Listas suspensas'!$B$22,IF(X147='Listas suspensas'!$A$32,'Listas suspensas'!$B$22,IF(X147='Listas suspensas'!$A$33,'Listas suspensas'!$B$21,IF(X147='Listas suspensas'!$A$24,'Listas suspensas'!$B$22,IF(X147='Listas suspensas'!$A$30,'Listas suspensas'!$B$21,""))))))))</f>
        <v>6.5</v>
      </c>
      <c r="Z147" s="8" t="str">
        <f>IF(X147='Listas suspensas'!$A$23,'Listas suspensas'!$A$9,"")</f>
        <v>NBR 16143</v>
      </c>
      <c r="AA147" s="8">
        <v>5</v>
      </c>
      <c r="AB147" s="8" t="str">
        <f>IF(AA147='Listas suspensas'!$A$2,'Listas suspensas'!$B$2,IF(AA147='Listas suspensas'!$A$3,'Listas suspensas'!$B$3,IF(AA147='Listas suspensas'!$A$4,'Listas suspensas'!$B$4,IF(AA147='Listas suspensas'!$A$5,'Listas suspensas'!$B$5,IF(AA147='Listas suspensas'!$A$6,'Listas suspensas'!$B$6,"")))))</f>
        <v>Sem Reação do Cromoazurol</v>
      </c>
      <c r="AC147" s="8" t="str">
        <f>IF(AA147='Listas suspensas'!$A$2,'Listas suspensas'!$C$2,IF(AA147='Listas suspensas'!$A$3,'Listas suspensas'!$C$3,IF(AA147='Listas suspensas'!$A$4,'Listas suspensas'!$C$4,IF(AA147='Listas suspensas'!$A$5,'Listas suspensas'!$C$5,IF(AA147='Listas suspensas'!$A$6,'Listas suspensas'!$C$6,"")))))</f>
        <v>Sem Reação do Cromoazurol</v>
      </c>
      <c r="AP147" s="8" t="e">
        <f t="shared" si="42"/>
        <v>#DIV/0!</v>
      </c>
      <c r="AV147" s="8" t="e">
        <f t="shared" si="43"/>
        <v>#DIV/0!</v>
      </c>
      <c r="BB147" s="20" t="e">
        <f t="shared" si="35"/>
        <v>#DIV/0!</v>
      </c>
      <c r="BC147" s="20" t="e">
        <f t="shared" si="44"/>
        <v>#DIV/0!</v>
      </c>
      <c r="BD147" s="13">
        <v>0.83399999999999996</v>
      </c>
      <c r="BE147" s="18">
        <f t="shared" si="41"/>
        <v>834</v>
      </c>
      <c r="BF147" s="8">
        <v>0.159</v>
      </c>
      <c r="BG147" s="8">
        <v>7.2999999999999995E-2</v>
      </c>
      <c r="BH147" s="8">
        <v>0.14199999999999999</v>
      </c>
      <c r="BI147" s="13">
        <f t="shared" si="45"/>
        <v>0.374</v>
      </c>
      <c r="BJ147" s="14">
        <v>42.5</v>
      </c>
      <c r="BK147" s="14">
        <v>19.600000000000001</v>
      </c>
      <c r="BL147" s="14">
        <v>37.9</v>
      </c>
      <c r="BM147" s="16">
        <f t="shared" si="36"/>
        <v>100</v>
      </c>
      <c r="BN147" s="21">
        <f t="shared" si="37"/>
        <v>1.33</v>
      </c>
      <c r="BO147" s="21">
        <f t="shared" si="38"/>
        <v>0.61</v>
      </c>
      <c r="BP147" s="21">
        <f t="shared" si="39"/>
        <v>1.18</v>
      </c>
      <c r="BQ147" s="14">
        <f t="shared" si="40"/>
        <v>3.12</v>
      </c>
      <c r="BR147" s="22" t="str">
        <f>IF(OR(AND(X147="Mourões", BQ147&gt;=6.5),AND(X147="Postes", BQ147&gt;=9.6),AND(X147="Dormentes", BQ147&gt;=9.6),AND(X147="Estacas", BQ147&gt;=6.5),AND(X147="Cruzetas", BQ147&gt;=6.5),AND(X147="Outros - Solo", BQ147&gt;=6.5),AND(X147="Outros - Suspenso",BQ147&gt;=4),AND(X147="Deck",BQ147&gt;=4)),'Listas suspensas'!$C$21,'Listas suspensas'!$C$22)</f>
        <v>Os resultados da análise química apresentaram uma retenção do produto inferior ao padrão mínimo exigido pela norma ABNT NBR 16143</v>
      </c>
    </row>
    <row r="148" spans="2:70" x14ac:dyDescent="0.25">
      <c r="B148" s="8" t="s">
        <v>423</v>
      </c>
      <c r="C148" s="8" t="s">
        <v>71</v>
      </c>
      <c r="D148" s="8" t="s">
        <v>129</v>
      </c>
      <c r="F148" s="11">
        <v>45811</v>
      </c>
      <c r="G148" s="11">
        <v>45813</v>
      </c>
      <c r="H148" s="11">
        <v>45821</v>
      </c>
      <c r="I148" s="8" t="s">
        <v>130</v>
      </c>
      <c r="J148" s="8" t="s">
        <v>131</v>
      </c>
      <c r="K148" s="8" t="s">
        <v>74</v>
      </c>
      <c r="L148" s="8" t="s">
        <v>15</v>
      </c>
      <c r="M148" s="30" t="s">
        <v>132</v>
      </c>
      <c r="N148" s="8" t="s">
        <v>75</v>
      </c>
      <c r="O148" s="8" t="s">
        <v>76</v>
      </c>
      <c r="P148" s="28" t="s">
        <v>146</v>
      </c>
      <c r="Q148" s="16" t="s">
        <v>424</v>
      </c>
      <c r="X148" s="8" t="s">
        <v>79</v>
      </c>
      <c r="Y148" s="34">
        <f>IF(X148='Listas suspensas'!$A$21,'Listas suspensas'!$B$23,IF(X148='Listas suspensas'!$A$22,'Listas suspensas'!$B$23,IF(X148='Listas suspensas'!$A$23,'Listas suspensas'!$B$22,IF(X148='Listas suspensas'!$A$26,'Listas suspensas'!$B$22,IF(X148='Listas suspensas'!$A$32,'Listas suspensas'!$B$22,IF(X148='Listas suspensas'!$A$33,'Listas suspensas'!$B$21,IF(X148='Listas suspensas'!$A$24,'Listas suspensas'!$B$22,IF(X148='Listas suspensas'!$A$30,'Listas suspensas'!$B$21,""))))))))</f>
        <v>6.5</v>
      </c>
      <c r="Z148" s="8" t="str">
        <f>IF(X148='Listas suspensas'!$A$23,'Listas suspensas'!$A$9,"")</f>
        <v>NBR 16143</v>
      </c>
      <c r="AA148" s="8">
        <v>4</v>
      </c>
      <c r="AB148" s="8" t="str">
        <f>IF(AA148='Listas suspensas'!$A$2,'Listas suspensas'!$B$2,IF(AA148='Listas suspensas'!$A$3,'Listas suspensas'!$B$3,IF(AA148='Listas suspensas'!$A$4,'Listas suspensas'!$B$4,IF(AA148='Listas suspensas'!$A$5,'Listas suspensas'!$B$5,IF(AA148='Listas suspensas'!$A$6,'Listas suspensas'!$B$6,"")))))</f>
        <v>Parcial e irregular</v>
      </c>
      <c r="AC148" s="8" t="str">
        <f>IF(AA148='Listas suspensas'!$A$2,'Listas suspensas'!$C$2,IF(AA148='Listas suspensas'!$A$3,'Listas suspensas'!$C$3,IF(AA148='Listas suspensas'!$A$4,'Listas suspensas'!$C$4,IF(AA148='Listas suspensas'!$A$5,'Listas suspensas'!$C$5,IF(AA148='Listas suspensas'!$A$6,'Listas suspensas'!$C$6,"")))))</f>
        <v>Indica a penetração desuniforme e não total pela extensão do alburno.</v>
      </c>
      <c r="AP148" s="8" t="e">
        <f t="shared" si="42"/>
        <v>#DIV/0!</v>
      </c>
      <c r="AV148" s="8" t="e">
        <f t="shared" si="43"/>
        <v>#DIV/0!</v>
      </c>
      <c r="BB148" s="20" t="e">
        <f t="shared" si="35"/>
        <v>#DIV/0!</v>
      </c>
      <c r="BC148" s="20" t="e">
        <f t="shared" si="44"/>
        <v>#DIV/0!</v>
      </c>
      <c r="BD148" s="13">
        <v>0.72599999999999998</v>
      </c>
      <c r="BE148" s="18">
        <f t="shared" si="41"/>
        <v>726</v>
      </c>
      <c r="BF148" s="8">
        <v>0.122</v>
      </c>
      <c r="BG148" s="8">
        <v>4.3999999999999997E-2</v>
      </c>
      <c r="BH148" s="8">
        <v>8.2000000000000003E-2</v>
      </c>
      <c r="BI148" s="13">
        <f t="shared" si="45"/>
        <v>0.248</v>
      </c>
      <c r="BJ148" s="14">
        <v>49.1</v>
      </c>
      <c r="BK148" s="14">
        <v>17.899999999999999</v>
      </c>
      <c r="BL148" s="14">
        <v>33</v>
      </c>
      <c r="BM148" s="16">
        <f t="shared" si="36"/>
        <v>100</v>
      </c>
      <c r="BN148" s="21">
        <f t="shared" si="37"/>
        <v>0.89</v>
      </c>
      <c r="BO148" s="21">
        <f t="shared" si="38"/>
        <v>0.32</v>
      </c>
      <c r="BP148" s="21">
        <f t="shared" si="39"/>
        <v>0.6</v>
      </c>
      <c r="BQ148" s="14">
        <f t="shared" si="40"/>
        <v>1.81</v>
      </c>
      <c r="BR148" s="22" t="str">
        <f>IF(OR(AND(X148="Mourões", BQ148&gt;=6.5),AND(X148="Postes", BQ148&gt;=9.6),AND(X148="Dormentes", BQ148&gt;=9.6),AND(X148="Estacas", BQ148&gt;=6.5),AND(X148="Cruzetas", BQ148&gt;=6.5),AND(X148="Outros - Solo", BQ148&gt;=6.5),AND(X148="Outros - Suspenso",BQ148&gt;=4),AND(X148="Deck",BQ148&gt;=4)),'Listas suspensas'!$C$21,'Listas suspensas'!$C$22)</f>
        <v>Os resultados da análise química apresentaram uma retenção do produto inferior ao padrão mínimo exigido pela norma ABNT NBR 16143</v>
      </c>
    </row>
    <row r="149" spans="2:70" x14ac:dyDescent="0.25">
      <c r="B149" s="8" t="s">
        <v>425</v>
      </c>
      <c r="C149" s="8" t="s">
        <v>71</v>
      </c>
      <c r="F149" s="11">
        <v>45813</v>
      </c>
      <c r="G149" s="11">
        <v>45814</v>
      </c>
      <c r="H149" s="11">
        <v>45821</v>
      </c>
      <c r="I149" s="8" t="s">
        <v>241</v>
      </c>
      <c r="J149" s="8" t="s">
        <v>242</v>
      </c>
      <c r="K149" s="8" t="s">
        <v>243</v>
      </c>
      <c r="L149" s="8" t="s">
        <v>15</v>
      </c>
      <c r="M149" s="30" t="s">
        <v>361</v>
      </c>
      <c r="N149" s="8" t="s">
        <v>75</v>
      </c>
      <c r="O149" s="8" t="s">
        <v>94</v>
      </c>
      <c r="P149" s="28" t="s">
        <v>77</v>
      </c>
      <c r="Q149" s="16" t="s">
        <v>426</v>
      </c>
      <c r="X149" s="8" t="s">
        <v>180</v>
      </c>
      <c r="Y149" s="34">
        <f>IF(X149='Listas suspensas'!$A$21,'Listas suspensas'!$B$23,IF(X149='Listas suspensas'!$A$22,'Listas suspensas'!$B$23,IF(X149='Listas suspensas'!$A$23,'Listas suspensas'!$B$22,IF(X149='Listas suspensas'!$A$26,'Listas suspensas'!$B$22,IF(X149='Listas suspensas'!$A$32,'Listas suspensas'!$B$22,IF(X149='Listas suspensas'!$A$33,'Listas suspensas'!$B$21,IF(X149='Listas suspensas'!$A$24,'Listas suspensas'!$B$22,IF(X149='Listas suspensas'!$A$30,'Listas suspensas'!$B$21,""))))))))</f>
        <v>6.5</v>
      </c>
      <c r="Z149" s="8" t="s">
        <v>80</v>
      </c>
      <c r="AA149" s="8">
        <v>2</v>
      </c>
      <c r="AB149" s="8" t="str">
        <f>IF(AA149='Listas suspensas'!$A$2,'Listas suspensas'!$B$2,IF(AA149='Listas suspensas'!$A$3,'Listas suspensas'!$B$3,IF(AA149='Listas suspensas'!$A$4,'Listas suspensas'!$B$4,IF(AA149='Listas suspensas'!$A$5,'Listas suspensas'!$B$5,IF(AA149='Listas suspensas'!$A$6,'Listas suspensas'!$B$6,"")))))</f>
        <v>Profunda e irregular</v>
      </c>
      <c r="AC149" s="8" t="str">
        <f>IF(AA149='Listas suspensas'!$A$2,'Listas suspensas'!$C$2,IF(AA149='Listas suspensas'!$A$3,'Listas suspensas'!$C$3,IF(AA149='Listas suspensas'!$A$4,'Listas suspensas'!$C$4,IF(AA149='Listas suspensas'!$A$5,'Listas suspensas'!$C$5,IF(AA149='Listas suspensas'!$A$6,'Listas suspensas'!$C$6,"")))))</f>
        <v>Indica a penetração profunda, mas desuniforme em toda a extensão do alburno.</v>
      </c>
      <c r="AP149" s="8" t="e">
        <f t="shared" si="42"/>
        <v>#DIV/0!</v>
      </c>
      <c r="AV149" s="8" t="e">
        <f t="shared" si="43"/>
        <v>#DIV/0!</v>
      </c>
      <c r="BB149" s="20" t="e">
        <f t="shared" si="35"/>
        <v>#DIV/0!</v>
      </c>
      <c r="BC149" s="20" t="e">
        <f t="shared" si="44"/>
        <v>#DIV/0!</v>
      </c>
      <c r="BD149" s="13">
        <v>0.85399999999999998</v>
      </c>
      <c r="BE149" s="18">
        <f t="shared" si="41"/>
        <v>854</v>
      </c>
      <c r="BF149" s="8">
        <v>0.25900000000000001</v>
      </c>
      <c r="BG149" s="8">
        <v>0.13500000000000001</v>
      </c>
      <c r="BH149" s="8">
        <v>0.22500000000000001</v>
      </c>
      <c r="BI149" s="13">
        <f t="shared" si="45"/>
        <v>0.61899999999999999</v>
      </c>
      <c r="BJ149" s="14">
        <v>41.8</v>
      </c>
      <c r="BK149" s="14">
        <v>21.9</v>
      </c>
      <c r="BL149" s="14">
        <v>36.299999999999997</v>
      </c>
      <c r="BM149" s="16">
        <f t="shared" si="36"/>
        <v>100</v>
      </c>
      <c r="BN149" s="21">
        <f t="shared" si="37"/>
        <v>2.21</v>
      </c>
      <c r="BO149" s="21">
        <f t="shared" si="38"/>
        <v>1.1499999999999999</v>
      </c>
      <c r="BP149" s="21">
        <f t="shared" si="39"/>
        <v>1.92</v>
      </c>
      <c r="BQ149" s="14">
        <f t="shared" si="40"/>
        <v>5.28</v>
      </c>
      <c r="BR149" s="22" t="str">
        <f>IF(OR(AND(X149="Mourões", BQ149&gt;=6.5),AND(X149="Postes", BQ149&gt;=9.6),AND(X149="Dormentes", BQ149&gt;=9.6),AND(X149="Estacas", BQ149&gt;=6.5),AND(X149="Cruzetas", BQ149&gt;=6.5),AND(X149="Outros - Solo", BQ149&gt;=6.5),AND(X149="Outros - Suspenso",BQ149&gt;=4),AND(X149="Deck",BQ149&gt;=4)),'Listas suspensas'!$C$21,'Listas suspensas'!$C$22)</f>
        <v>Os resultados da análise química apresentaram uma retenção do produto inferior ao padrão mínimo exigido pela norma ABNT NBR 16143</v>
      </c>
    </row>
    <row r="150" spans="2:70" x14ac:dyDescent="0.25">
      <c r="B150" s="8" t="s">
        <v>427</v>
      </c>
      <c r="C150" s="8" t="s">
        <v>71</v>
      </c>
      <c r="F150" s="11">
        <v>45813</v>
      </c>
      <c r="G150" s="11">
        <v>45814</v>
      </c>
      <c r="H150" s="11">
        <v>45821</v>
      </c>
      <c r="I150" s="8" t="s">
        <v>241</v>
      </c>
      <c r="J150" s="8" t="s">
        <v>242</v>
      </c>
      <c r="K150" s="8" t="s">
        <v>243</v>
      </c>
      <c r="L150" s="8" t="s">
        <v>15</v>
      </c>
      <c r="M150" s="30" t="s">
        <v>361</v>
      </c>
      <c r="N150" s="8" t="s">
        <v>75</v>
      </c>
      <c r="O150" s="8" t="s">
        <v>94</v>
      </c>
      <c r="P150" s="28" t="s">
        <v>77</v>
      </c>
      <c r="Q150" s="16" t="s">
        <v>428</v>
      </c>
      <c r="X150" s="8" t="s">
        <v>180</v>
      </c>
      <c r="Y150" s="34">
        <f>IF(X150='Listas suspensas'!$A$21,'Listas suspensas'!$B$23,IF(X150='Listas suspensas'!$A$22,'Listas suspensas'!$B$23,IF(X150='Listas suspensas'!$A$23,'Listas suspensas'!$B$22,IF(X150='Listas suspensas'!$A$26,'Listas suspensas'!$B$22,IF(X150='Listas suspensas'!$A$32,'Listas suspensas'!$B$22,IF(X150='Listas suspensas'!$A$33,'Listas suspensas'!$B$21,IF(X150='Listas suspensas'!$A$24,'Listas suspensas'!$B$22,IF(X150='Listas suspensas'!$A$30,'Listas suspensas'!$B$21,""))))))))</f>
        <v>6.5</v>
      </c>
      <c r="Z150" s="8" t="s">
        <v>80</v>
      </c>
      <c r="AA150" s="8">
        <v>1</v>
      </c>
      <c r="AB150" s="8" t="str">
        <f>IF(AA150='Listas suspensas'!$A$2,'Listas suspensas'!$B$2,IF(AA150='Listas suspensas'!$A$3,'Listas suspensas'!$B$3,IF(AA150='Listas suspensas'!$A$4,'Listas suspensas'!$B$4,IF(AA150='Listas suspensas'!$A$5,'Listas suspensas'!$B$5,IF(AA150='Listas suspensas'!$A$6,'Listas suspensas'!$B$6,"")))))</f>
        <v>Profunda e regular</v>
      </c>
      <c r="AC150" s="8" t="str">
        <f>IF(AA150='Listas suspensas'!$A$2,'Listas suspensas'!$C$2,IF(AA150='Listas suspensas'!$A$3,'Listas suspensas'!$C$3,IF(AA150='Listas suspensas'!$A$4,'Listas suspensas'!$C$4,IF(AA150='Listas suspensas'!$A$5,'Listas suspensas'!$C$5,IF(AA150='Listas suspensas'!$A$6,'Listas suspensas'!$C$6,"")))))</f>
        <v>Indica a penetração profunda e uniforme em toda a extensão do alburno.</v>
      </c>
      <c r="AP150" s="8" t="e">
        <f t="shared" si="42"/>
        <v>#DIV/0!</v>
      </c>
      <c r="AV150" s="8" t="e">
        <f t="shared" si="43"/>
        <v>#DIV/0!</v>
      </c>
      <c r="BB150" s="20" t="e">
        <f t="shared" si="35"/>
        <v>#DIV/0!</v>
      </c>
      <c r="BC150" s="20" t="e">
        <f t="shared" si="44"/>
        <v>#DIV/0!</v>
      </c>
      <c r="BD150" s="13">
        <v>0.82599999999999996</v>
      </c>
      <c r="BE150" s="18">
        <f t="shared" si="41"/>
        <v>826</v>
      </c>
      <c r="BF150" s="8">
        <v>0.38100000000000001</v>
      </c>
      <c r="BG150" s="8">
        <v>0.20499999999999999</v>
      </c>
      <c r="BH150" s="8">
        <v>0.375</v>
      </c>
      <c r="BI150" s="13">
        <f t="shared" si="45"/>
        <v>0.96099999999999997</v>
      </c>
      <c r="BJ150" s="14">
        <v>39.6</v>
      </c>
      <c r="BK150" s="14">
        <v>21.3</v>
      </c>
      <c r="BL150" s="14">
        <v>39.1</v>
      </c>
      <c r="BM150" s="16">
        <f t="shared" si="36"/>
        <v>100</v>
      </c>
      <c r="BN150" s="21">
        <f t="shared" si="37"/>
        <v>3.15</v>
      </c>
      <c r="BO150" s="21">
        <f t="shared" si="38"/>
        <v>1.69</v>
      </c>
      <c r="BP150" s="21">
        <f t="shared" si="39"/>
        <v>3.1</v>
      </c>
      <c r="BQ150" s="14">
        <f t="shared" si="40"/>
        <v>7.94</v>
      </c>
      <c r="BR150" s="22" t="str">
        <f>IF(OR(AND(X150="Mourões", BQ150&gt;=6.5),AND(X150="Postes", BQ150&gt;=9.6),AND(X150="Dormentes", BQ150&gt;=9.6),AND(X150="Estacas", BQ150&gt;=6.5),AND(X150="Cruzetas", BQ150&gt;=6.5),AND(X150="Outros - Solo", BQ150&gt;=6.5),AND(X150="Outros - Suspenso",BQ150&gt;=4),AND(X150="Deck",BQ150&gt;=4)),'Listas suspensas'!$C$21,'Listas suspensas'!$C$22)</f>
        <v>Os resultados da análise química apresentaram uma retenção do produto inferior ao padrão mínimo exigido pela norma ABNT NBR 16143</v>
      </c>
    </row>
    <row r="151" spans="2:70" x14ac:dyDescent="0.25">
      <c r="B151" s="8" t="s">
        <v>429</v>
      </c>
      <c r="C151" s="8" t="s">
        <v>71</v>
      </c>
      <c r="F151" s="11">
        <v>45813</v>
      </c>
      <c r="G151" s="11">
        <v>45814</v>
      </c>
      <c r="H151" s="11">
        <v>45821</v>
      </c>
      <c r="I151" s="8" t="s">
        <v>241</v>
      </c>
      <c r="J151" s="8" t="s">
        <v>242</v>
      </c>
      <c r="K151" s="8" t="s">
        <v>243</v>
      </c>
      <c r="L151" s="8" t="s">
        <v>15</v>
      </c>
      <c r="M151" s="30" t="s">
        <v>361</v>
      </c>
      <c r="N151" s="8" t="s">
        <v>75</v>
      </c>
      <c r="O151" s="8" t="s">
        <v>94</v>
      </c>
      <c r="P151" s="28" t="s">
        <v>77</v>
      </c>
      <c r="Q151" s="16" t="s">
        <v>430</v>
      </c>
      <c r="X151" s="8" t="s">
        <v>180</v>
      </c>
      <c r="Y151" s="34">
        <f>IF(X151='Listas suspensas'!$A$21,'Listas suspensas'!$B$23,IF(X151='Listas suspensas'!$A$22,'Listas suspensas'!$B$23,IF(X151='Listas suspensas'!$A$23,'Listas suspensas'!$B$22,IF(X151='Listas suspensas'!$A$26,'Listas suspensas'!$B$22,IF(X151='Listas suspensas'!$A$32,'Listas suspensas'!$B$22,IF(X151='Listas suspensas'!$A$33,'Listas suspensas'!$B$21,IF(X151='Listas suspensas'!$A$24,'Listas suspensas'!$B$22,IF(X151='Listas suspensas'!$A$30,'Listas suspensas'!$B$21,""))))))))</f>
        <v>6.5</v>
      </c>
      <c r="Z151" s="8" t="s">
        <v>80</v>
      </c>
      <c r="AA151" s="8">
        <v>2</v>
      </c>
      <c r="AB151" s="8" t="str">
        <f>IF(AA151='Listas suspensas'!$A$2,'Listas suspensas'!$B$2,IF(AA151='Listas suspensas'!$A$3,'Listas suspensas'!$B$3,IF(AA151='Listas suspensas'!$A$4,'Listas suspensas'!$B$4,IF(AA151='Listas suspensas'!$A$5,'Listas suspensas'!$B$5,IF(AA151='Listas suspensas'!$A$6,'Listas suspensas'!$B$6,"")))))</f>
        <v>Profunda e irregular</v>
      </c>
      <c r="AC151" s="8" t="str">
        <f>IF(AA151='Listas suspensas'!$A$2,'Listas suspensas'!$C$2,IF(AA151='Listas suspensas'!$A$3,'Listas suspensas'!$C$3,IF(AA151='Listas suspensas'!$A$4,'Listas suspensas'!$C$4,IF(AA151='Listas suspensas'!$A$5,'Listas suspensas'!$C$5,IF(AA151='Listas suspensas'!$A$6,'Listas suspensas'!$C$6,"")))))</f>
        <v>Indica a penetração profunda, mas desuniforme em toda a extensão do alburno.</v>
      </c>
      <c r="AP151" s="8" t="e">
        <f t="shared" si="42"/>
        <v>#DIV/0!</v>
      </c>
      <c r="AV151" s="8" t="e">
        <f t="shared" si="43"/>
        <v>#DIV/0!</v>
      </c>
      <c r="BB151" s="20" t="e">
        <f t="shared" si="35"/>
        <v>#DIV/0!</v>
      </c>
      <c r="BC151" s="20" t="e">
        <f t="shared" si="44"/>
        <v>#DIV/0!</v>
      </c>
      <c r="BD151" s="13">
        <v>0.89900000000000002</v>
      </c>
      <c r="BE151" s="18">
        <f t="shared" si="41"/>
        <v>899</v>
      </c>
      <c r="BF151" s="8">
        <v>0.23899999999999999</v>
      </c>
      <c r="BG151" s="8">
        <v>0.124</v>
      </c>
      <c r="BH151" s="8">
        <v>0.23899999999999999</v>
      </c>
      <c r="BI151" s="13">
        <f t="shared" si="45"/>
        <v>0.60199999999999998</v>
      </c>
      <c r="BJ151" s="14">
        <v>39.700000000000003</v>
      </c>
      <c r="BK151" s="14">
        <v>20.6</v>
      </c>
      <c r="BL151" s="14">
        <v>39.700000000000003</v>
      </c>
      <c r="BM151" s="16">
        <f t="shared" si="36"/>
        <v>100</v>
      </c>
      <c r="BN151" s="21">
        <f t="shared" si="37"/>
        <v>2.15</v>
      </c>
      <c r="BO151" s="21">
        <f t="shared" si="38"/>
        <v>1.1100000000000001</v>
      </c>
      <c r="BP151" s="21">
        <f t="shared" si="39"/>
        <v>2.15</v>
      </c>
      <c r="BQ151" s="14">
        <f t="shared" si="40"/>
        <v>5.41</v>
      </c>
      <c r="BR151" s="22" t="str">
        <f>IF(OR(AND(X151="Mourões", BQ151&gt;=6.5),AND(X151="Postes", BQ151&gt;=9.6),AND(X151="Dormentes", BQ151&gt;=9.6),AND(X151="Estacas", BQ151&gt;=6.5),AND(X151="Cruzetas", BQ151&gt;=6.5),AND(X151="Outros - Solo", BQ151&gt;=6.5),AND(X151="Outros - Suspenso",BQ151&gt;=4),AND(X151="Deck",BQ151&gt;=4)),'Listas suspensas'!$C$21,'Listas suspensas'!$C$22)</f>
        <v>Os resultados da análise química apresentaram uma retenção do produto inferior ao padrão mínimo exigido pela norma ABNT NBR 16143</v>
      </c>
    </row>
    <row r="152" spans="2:70" x14ac:dyDescent="0.25">
      <c r="B152" s="8" t="s">
        <v>431</v>
      </c>
      <c r="C152" s="8" t="s">
        <v>71</v>
      </c>
      <c r="F152" s="11">
        <v>45813</v>
      </c>
      <c r="G152" s="11">
        <v>45814</v>
      </c>
      <c r="H152" s="11">
        <v>45821</v>
      </c>
      <c r="I152" s="8" t="s">
        <v>241</v>
      </c>
      <c r="J152" s="8" t="s">
        <v>242</v>
      </c>
      <c r="K152" s="8" t="s">
        <v>243</v>
      </c>
      <c r="L152" s="8" t="s">
        <v>15</v>
      </c>
      <c r="M152" s="30" t="s">
        <v>361</v>
      </c>
      <c r="N152" s="8" t="s">
        <v>75</v>
      </c>
      <c r="O152" s="8" t="s">
        <v>94</v>
      </c>
      <c r="P152" s="28" t="s">
        <v>77</v>
      </c>
      <c r="Q152" s="16" t="s">
        <v>432</v>
      </c>
      <c r="X152" s="8" t="s">
        <v>180</v>
      </c>
      <c r="Y152" s="34">
        <f>IF(X152='Listas suspensas'!$A$21,'Listas suspensas'!$B$23,IF(X152='Listas suspensas'!$A$22,'Listas suspensas'!$B$23,IF(X152='Listas suspensas'!$A$23,'Listas suspensas'!$B$22,IF(X152='Listas suspensas'!$A$26,'Listas suspensas'!$B$22,IF(X152='Listas suspensas'!$A$32,'Listas suspensas'!$B$22,IF(X152='Listas suspensas'!$A$33,'Listas suspensas'!$B$21,IF(X152='Listas suspensas'!$A$24,'Listas suspensas'!$B$22,IF(X152='Listas suspensas'!$A$30,'Listas suspensas'!$B$21,""))))))))</f>
        <v>6.5</v>
      </c>
      <c r="Z152" s="8" t="s">
        <v>80</v>
      </c>
      <c r="AA152" s="8">
        <v>2</v>
      </c>
      <c r="AB152" s="8" t="str">
        <f>IF(AA152='Listas suspensas'!$A$2,'Listas suspensas'!$B$2,IF(AA152='Listas suspensas'!$A$3,'Listas suspensas'!$B$3,IF(AA152='Listas suspensas'!$A$4,'Listas suspensas'!$B$4,IF(AA152='Listas suspensas'!$A$5,'Listas suspensas'!$B$5,IF(AA152='Listas suspensas'!$A$6,'Listas suspensas'!$B$6,"")))))</f>
        <v>Profunda e irregular</v>
      </c>
      <c r="AC152" s="8" t="str">
        <f>IF(AA152='Listas suspensas'!$A$2,'Listas suspensas'!$C$2,IF(AA152='Listas suspensas'!$A$3,'Listas suspensas'!$C$3,IF(AA152='Listas suspensas'!$A$4,'Listas suspensas'!$C$4,IF(AA152='Listas suspensas'!$A$5,'Listas suspensas'!$C$5,IF(AA152='Listas suspensas'!$A$6,'Listas suspensas'!$C$6,"")))))</f>
        <v>Indica a penetração profunda, mas desuniforme em toda a extensão do alburno.</v>
      </c>
      <c r="AP152" s="8" t="e">
        <f t="shared" si="42"/>
        <v>#DIV/0!</v>
      </c>
      <c r="AV152" s="8" t="e">
        <f t="shared" si="43"/>
        <v>#DIV/0!</v>
      </c>
      <c r="BB152" s="20" t="e">
        <f t="shared" si="35"/>
        <v>#DIV/0!</v>
      </c>
      <c r="BC152" s="20" t="e">
        <f t="shared" si="44"/>
        <v>#DIV/0!</v>
      </c>
      <c r="BD152" s="13">
        <v>0.92900000000000005</v>
      </c>
      <c r="BE152" s="18">
        <f t="shared" si="41"/>
        <v>929</v>
      </c>
      <c r="BF152" s="8">
        <v>0.26600000000000001</v>
      </c>
      <c r="BG152" s="8">
        <v>0.13500000000000001</v>
      </c>
      <c r="BH152" s="8">
        <v>0.23200000000000001</v>
      </c>
      <c r="BI152" s="13">
        <f t="shared" si="45"/>
        <v>0.63300000000000001</v>
      </c>
      <c r="BJ152" s="14">
        <v>42</v>
      </c>
      <c r="BK152" s="14">
        <v>21.3</v>
      </c>
      <c r="BL152" s="14">
        <v>36.700000000000003</v>
      </c>
      <c r="BM152" s="16">
        <f t="shared" si="36"/>
        <v>100</v>
      </c>
      <c r="BN152" s="21">
        <f t="shared" si="37"/>
        <v>2.4700000000000002</v>
      </c>
      <c r="BO152" s="21">
        <f t="shared" si="38"/>
        <v>1.25</v>
      </c>
      <c r="BP152" s="21">
        <f t="shared" si="39"/>
        <v>2.16</v>
      </c>
      <c r="BQ152" s="14">
        <f t="shared" si="40"/>
        <v>5.88</v>
      </c>
      <c r="BR152" s="22" t="str">
        <f>IF(OR(AND(X152="Mourões", BQ152&gt;=6.5),AND(X152="Postes", BQ152&gt;=9.6),AND(X152="Dormentes", BQ152&gt;=9.6),AND(X152="Estacas", BQ152&gt;=6.5),AND(X152="Cruzetas", BQ152&gt;=6.5),AND(X152="Outros - Solo", BQ152&gt;=6.5),AND(X152="Outros - Suspenso",BQ152&gt;=4),AND(X152="Deck",BQ152&gt;=4)),'Listas suspensas'!$C$21,'Listas suspensas'!$C$22)</f>
        <v>Os resultados da análise química apresentaram uma retenção do produto inferior ao padrão mínimo exigido pela norma ABNT NBR 16143</v>
      </c>
    </row>
    <row r="153" spans="2:70" x14ac:dyDescent="0.25">
      <c r="B153" s="8" t="s">
        <v>433</v>
      </c>
      <c r="C153" s="8" t="s">
        <v>71</v>
      </c>
      <c r="F153" s="11">
        <v>45813</v>
      </c>
      <c r="G153" s="11">
        <v>45814</v>
      </c>
      <c r="H153" s="11">
        <v>45821</v>
      </c>
      <c r="I153" s="8" t="s">
        <v>241</v>
      </c>
      <c r="J153" s="8" t="s">
        <v>242</v>
      </c>
      <c r="K153" s="8" t="s">
        <v>243</v>
      </c>
      <c r="L153" s="8" t="s">
        <v>15</v>
      </c>
      <c r="M153" s="30" t="s">
        <v>361</v>
      </c>
      <c r="N153" s="8" t="s">
        <v>75</v>
      </c>
      <c r="O153" s="8" t="s">
        <v>94</v>
      </c>
      <c r="P153" s="28" t="s">
        <v>77</v>
      </c>
      <c r="Q153" s="16" t="s">
        <v>434</v>
      </c>
      <c r="X153" s="8" t="s">
        <v>180</v>
      </c>
      <c r="Y153" s="34">
        <f>IF(X153='Listas suspensas'!$A$21,'Listas suspensas'!$B$23,IF(X153='Listas suspensas'!$A$22,'Listas suspensas'!$B$23,IF(X153='Listas suspensas'!$A$23,'Listas suspensas'!$B$22,IF(X153='Listas suspensas'!$A$26,'Listas suspensas'!$B$22,IF(X153='Listas suspensas'!$A$32,'Listas suspensas'!$B$22,IF(X153='Listas suspensas'!$A$33,'Listas suspensas'!$B$21,IF(X153='Listas suspensas'!$A$24,'Listas suspensas'!$B$22,IF(X153='Listas suspensas'!$A$30,'Listas suspensas'!$B$21,""))))))))</f>
        <v>6.5</v>
      </c>
      <c r="Z153" s="8" t="s">
        <v>80</v>
      </c>
      <c r="AA153" s="8">
        <v>1</v>
      </c>
      <c r="AB153" s="8" t="str">
        <f>IF(AA153='Listas suspensas'!$A$2,'Listas suspensas'!$B$2,IF(AA153='Listas suspensas'!$A$3,'Listas suspensas'!$B$3,IF(AA153='Listas suspensas'!$A$4,'Listas suspensas'!$B$4,IF(AA153='Listas suspensas'!$A$5,'Listas suspensas'!$B$5,IF(AA153='Listas suspensas'!$A$6,'Listas suspensas'!$B$6,"")))))</f>
        <v>Profunda e regular</v>
      </c>
      <c r="AC153" s="8" t="str">
        <f>IF(AA153='Listas suspensas'!$A$2,'Listas suspensas'!$C$2,IF(AA153='Listas suspensas'!$A$3,'Listas suspensas'!$C$3,IF(AA153='Listas suspensas'!$A$4,'Listas suspensas'!$C$4,IF(AA153='Listas suspensas'!$A$5,'Listas suspensas'!$C$5,IF(AA153='Listas suspensas'!$A$6,'Listas suspensas'!$C$6,"")))))</f>
        <v>Indica a penetração profunda e uniforme em toda a extensão do alburno.</v>
      </c>
      <c r="AP153" s="8" t="e">
        <f t="shared" si="42"/>
        <v>#DIV/0!</v>
      </c>
      <c r="AV153" s="8" t="e">
        <f t="shared" si="43"/>
        <v>#DIV/0!</v>
      </c>
      <c r="BB153" s="20" t="e">
        <f t="shared" si="35"/>
        <v>#DIV/0!</v>
      </c>
      <c r="BC153" s="20" t="e">
        <f t="shared" si="44"/>
        <v>#DIV/0!</v>
      </c>
      <c r="BD153" s="13">
        <v>0.90400000000000003</v>
      </c>
      <c r="BE153" s="18">
        <f t="shared" si="41"/>
        <v>904</v>
      </c>
      <c r="BF153" s="8">
        <v>0.33100000000000002</v>
      </c>
      <c r="BG153" s="8">
        <v>0.17</v>
      </c>
      <c r="BH153" s="8">
        <v>0.312</v>
      </c>
      <c r="BI153" s="13">
        <f t="shared" si="45"/>
        <v>0.81299999999999994</v>
      </c>
      <c r="BJ153" s="14">
        <v>40.700000000000003</v>
      </c>
      <c r="BK153" s="14">
        <v>21</v>
      </c>
      <c r="BL153" s="14">
        <v>38.299999999999997</v>
      </c>
      <c r="BM153" s="16">
        <f t="shared" si="36"/>
        <v>100</v>
      </c>
      <c r="BN153" s="21">
        <f t="shared" si="37"/>
        <v>2.99</v>
      </c>
      <c r="BO153" s="21">
        <f t="shared" si="38"/>
        <v>1.54</v>
      </c>
      <c r="BP153" s="21">
        <f t="shared" si="39"/>
        <v>2.82</v>
      </c>
      <c r="BQ153" s="14">
        <f t="shared" si="40"/>
        <v>7.35</v>
      </c>
      <c r="BR153" s="22" t="str">
        <f>IF(OR(AND(X153="Mourões", BQ153&gt;=6.5),AND(X153="Postes", BQ153&gt;=9.6),AND(X153="Dormentes", BQ153&gt;=9.6),AND(X153="Estacas", BQ153&gt;=6.5),AND(X153="Cruzetas", BQ153&gt;=6.5),AND(X153="Outros - Solo", BQ153&gt;=6.5),AND(X153="Outros - Suspenso",BQ153&gt;=4),AND(X153="Deck",BQ153&gt;=4)),'Listas suspensas'!$C$21,'Listas suspensas'!$C$22)</f>
        <v>Os resultados da análise química apresentaram uma retenção do produto inferior ao padrão mínimo exigido pela norma ABNT NBR 16143</v>
      </c>
    </row>
    <row r="154" spans="2:70" x14ac:dyDescent="0.25">
      <c r="B154" s="8" t="s">
        <v>435</v>
      </c>
      <c r="C154" s="8" t="s">
        <v>71</v>
      </c>
      <c r="F154" s="11">
        <v>45813</v>
      </c>
      <c r="G154" s="11">
        <v>45814</v>
      </c>
      <c r="H154" s="11">
        <v>45821</v>
      </c>
      <c r="I154" s="8" t="s">
        <v>241</v>
      </c>
      <c r="J154" s="8" t="s">
        <v>242</v>
      </c>
      <c r="K154" s="8" t="s">
        <v>243</v>
      </c>
      <c r="L154" s="8" t="s">
        <v>15</v>
      </c>
      <c r="M154" s="30" t="s">
        <v>361</v>
      </c>
      <c r="N154" s="8" t="s">
        <v>75</v>
      </c>
      <c r="O154" s="8" t="s">
        <v>94</v>
      </c>
      <c r="P154" s="28" t="s">
        <v>77</v>
      </c>
      <c r="Q154" s="16" t="s">
        <v>436</v>
      </c>
      <c r="X154" s="8" t="s">
        <v>180</v>
      </c>
      <c r="Y154" s="34">
        <f>IF(X154='Listas suspensas'!$A$21,'Listas suspensas'!$B$23,IF(X154='Listas suspensas'!$A$22,'Listas suspensas'!$B$23,IF(X154='Listas suspensas'!$A$23,'Listas suspensas'!$B$22,IF(X154='Listas suspensas'!$A$26,'Listas suspensas'!$B$22,IF(X154='Listas suspensas'!$A$32,'Listas suspensas'!$B$22,IF(X154='Listas suspensas'!$A$33,'Listas suspensas'!$B$21,IF(X154='Listas suspensas'!$A$24,'Listas suspensas'!$B$22,IF(X154='Listas suspensas'!$A$30,'Listas suspensas'!$B$21,""))))))))</f>
        <v>6.5</v>
      </c>
      <c r="Z154" s="8" t="s">
        <v>80</v>
      </c>
      <c r="AA154" s="8">
        <v>2</v>
      </c>
      <c r="AB154" s="8" t="str">
        <f>IF(AA154='Listas suspensas'!$A$2,'Listas suspensas'!$B$2,IF(AA154='Listas suspensas'!$A$3,'Listas suspensas'!$B$3,IF(AA154='Listas suspensas'!$A$4,'Listas suspensas'!$B$4,IF(AA154='Listas suspensas'!$A$5,'Listas suspensas'!$B$5,IF(AA154='Listas suspensas'!$A$6,'Listas suspensas'!$B$6,"")))))</f>
        <v>Profunda e irregular</v>
      </c>
      <c r="AC154" s="8" t="str">
        <f>IF(AA154='Listas suspensas'!$A$2,'Listas suspensas'!$C$2,IF(AA154='Listas suspensas'!$A$3,'Listas suspensas'!$C$3,IF(AA154='Listas suspensas'!$A$4,'Listas suspensas'!$C$4,IF(AA154='Listas suspensas'!$A$5,'Listas suspensas'!$C$5,IF(AA154='Listas suspensas'!$A$6,'Listas suspensas'!$C$6,"")))))</f>
        <v>Indica a penetração profunda, mas desuniforme em toda a extensão do alburno.</v>
      </c>
      <c r="AP154" s="8" t="e">
        <f t="shared" si="42"/>
        <v>#DIV/0!</v>
      </c>
      <c r="AV154" s="8" t="e">
        <f t="shared" si="43"/>
        <v>#DIV/0!</v>
      </c>
      <c r="BB154" s="20" t="e">
        <f t="shared" si="35"/>
        <v>#DIV/0!</v>
      </c>
      <c r="BC154" s="20" t="e">
        <f t="shared" si="44"/>
        <v>#DIV/0!</v>
      </c>
      <c r="BD154" s="13">
        <v>0.81200000000000006</v>
      </c>
      <c r="BE154" s="18">
        <f t="shared" si="41"/>
        <v>812</v>
      </c>
      <c r="BF154" s="8">
        <v>0.29599999999999999</v>
      </c>
      <c r="BG154" s="8">
        <v>0.153</v>
      </c>
      <c r="BH154" s="8">
        <v>0.24299999999999999</v>
      </c>
      <c r="BI154" s="13">
        <f t="shared" si="45"/>
        <v>0.69199999999999995</v>
      </c>
      <c r="BJ154" s="14">
        <v>42.7</v>
      </c>
      <c r="BK154" s="14">
        <v>22.2</v>
      </c>
      <c r="BL154" s="14">
        <v>35.1</v>
      </c>
      <c r="BM154" s="16">
        <f t="shared" si="36"/>
        <v>100</v>
      </c>
      <c r="BN154" s="21">
        <f t="shared" si="37"/>
        <v>2.4</v>
      </c>
      <c r="BO154" s="21">
        <f t="shared" si="38"/>
        <v>1.24</v>
      </c>
      <c r="BP154" s="21">
        <f t="shared" si="39"/>
        <v>1.97</v>
      </c>
      <c r="BQ154" s="14">
        <f t="shared" si="40"/>
        <v>5.61</v>
      </c>
      <c r="BR154" s="22" t="str">
        <f>IF(OR(AND(X154="Mourões", BQ154&gt;=6.5),AND(X154="Postes", BQ154&gt;=9.6),AND(X154="Dormentes", BQ154&gt;=9.6),AND(X154="Estacas", BQ154&gt;=6.5),AND(X154="Cruzetas", BQ154&gt;=6.5),AND(X154="Outros - Solo", BQ154&gt;=6.5),AND(X154="Outros - Suspenso",BQ154&gt;=4),AND(X154="Deck",BQ154&gt;=4)),'Listas suspensas'!$C$21,'Listas suspensas'!$C$22)</f>
        <v>Os resultados da análise química apresentaram uma retenção do produto inferior ao padrão mínimo exigido pela norma ABNT NBR 16143</v>
      </c>
    </row>
    <row r="155" spans="2:70" x14ac:dyDescent="0.25">
      <c r="B155" s="8" t="s">
        <v>437</v>
      </c>
      <c r="C155" s="8" t="s">
        <v>71</v>
      </c>
      <c r="F155" s="11">
        <v>45825</v>
      </c>
      <c r="G155" s="11">
        <v>45825</v>
      </c>
      <c r="H155" s="11">
        <v>45835</v>
      </c>
      <c r="I155" s="8" t="s">
        <v>241</v>
      </c>
      <c r="J155" s="8" t="s">
        <v>242</v>
      </c>
      <c r="K155" s="8" t="s">
        <v>243</v>
      </c>
      <c r="L155" s="8" t="s">
        <v>15</v>
      </c>
      <c r="M155" s="30" t="s">
        <v>361</v>
      </c>
      <c r="N155" s="8" t="s">
        <v>75</v>
      </c>
      <c r="O155" s="8" t="s">
        <v>94</v>
      </c>
      <c r="P155" s="28" t="s">
        <v>77</v>
      </c>
      <c r="Q155" s="16" t="s">
        <v>438</v>
      </c>
      <c r="X155" s="8" t="s">
        <v>180</v>
      </c>
      <c r="Y155" s="34">
        <f>IF(X155='Listas suspensas'!$A$21,'Listas suspensas'!$B$23,IF(X155='Listas suspensas'!$A$22,'Listas suspensas'!$B$23,IF(X155='Listas suspensas'!$A$23,'Listas suspensas'!$B$22,IF(X155='Listas suspensas'!$A$26,'Listas suspensas'!$B$22,IF(X155='Listas suspensas'!$A$32,'Listas suspensas'!$B$22,IF(X155='Listas suspensas'!$A$33,'Listas suspensas'!$B$21,IF(X155='Listas suspensas'!$A$24,'Listas suspensas'!$B$22,IF(X155='Listas suspensas'!$A$30,'Listas suspensas'!$B$21,""))))))))</f>
        <v>6.5</v>
      </c>
      <c r="Z155" s="8" t="s">
        <v>80</v>
      </c>
      <c r="AA155" s="8">
        <v>2</v>
      </c>
      <c r="AB155" s="8" t="str">
        <f>IF(AA155='Listas suspensas'!$A$2,'Listas suspensas'!$B$2,IF(AA155='Listas suspensas'!$A$3,'Listas suspensas'!$B$3,IF(AA155='Listas suspensas'!$A$4,'Listas suspensas'!$B$4,IF(AA155='Listas suspensas'!$A$5,'Listas suspensas'!$B$5,IF(AA155='Listas suspensas'!$A$6,'Listas suspensas'!$B$6,"")))))</f>
        <v>Profunda e irregular</v>
      </c>
      <c r="AC155" s="8" t="str">
        <f>IF(AA155='Listas suspensas'!$A$2,'Listas suspensas'!$C$2,IF(AA155='Listas suspensas'!$A$3,'Listas suspensas'!$C$3,IF(AA155='Listas suspensas'!$A$4,'Listas suspensas'!$C$4,IF(AA155='Listas suspensas'!$A$5,'Listas suspensas'!$C$5,IF(AA155='Listas suspensas'!$A$6,'Listas suspensas'!$C$6,"")))))</f>
        <v>Indica a penetração profunda, mas desuniforme em toda a extensão do alburno.</v>
      </c>
      <c r="AP155" s="8" t="e">
        <f t="shared" si="42"/>
        <v>#DIV/0!</v>
      </c>
      <c r="AV155" s="8" t="e">
        <f t="shared" si="43"/>
        <v>#DIV/0!</v>
      </c>
      <c r="BB155" s="20" t="e">
        <f t="shared" si="35"/>
        <v>#DIV/0!</v>
      </c>
      <c r="BC155" s="20" t="e">
        <f t="shared" si="44"/>
        <v>#DIV/0!</v>
      </c>
      <c r="BD155" s="13">
        <v>0.89</v>
      </c>
      <c r="BE155" s="18">
        <f t="shared" si="41"/>
        <v>890</v>
      </c>
      <c r="BF155" s="8">
        <v>0.28799999999999998</v>
      </c>
      <c r="BG155" s="8">
        <v>0.16600000000000001</v>
      </c>
      <c r="BH155" s="8">
        <v>0.30599999999999999</v>
      </c>
      <c r="BI155" s="13">
        <f t="shared" si="45"/>
        <v>0.76</v>
      </c>
      <c r="BJ155" s="14">
        <v>37.9</v>
      </c>
      <c r="BK155" s="14">
        <v>21.8</v>
      </c>
      <c r="BL155" s="14">
        <v>40.299999999999997</v>
      </c>
      <c r="BM155" s="16">
        <f t="shared" si="36"/>
        <v>100</v>
      </c>
      <c r="BN155" s="21">
        <f t="shared" si="37"/>
        <v>2.56</v>
      </c>
      <c r="BO155" s="21">
        <f t="shared" si="38"/>
        <v>1.48</v>
      </c>
      <c r="BP155" s="21">
        <f t="shared" si="39"/>
        <v>2.72</v>
      </c>
      <c r="BQ155" s="14">
        <f t="shared" si="40"/>
        <v>6.76</v>
      </c>
      <c r="BR155" s="22" t="str">
        <f>IF(OR(AND(X155="Mourões", BQ155&gt;=6.5),AND(X155="Postes", BQ155&gt;=9.6),AND(X155="Dormentes", BQ155&gt;=9.6),AND(X155="Estacas", BQ155&gt;=6.5),AND(X155="Cruzetas", BQ155&gt;=6.5),AND(X155="Outros - Solo", BQ155&gt;=6.5),AND(X155="Outros - Suspenso",BQ155&gt;=4),AND(X155="Deck",BQ155&gt;=4)),'Listas suspensas'!$C$21,'Listas suspensas'!$C$22)</f>
        <v>Os resultados da análise química apresentaram uma retenção do produto inferior ao padrão mínimo exigido pela norma ABNT NBR 16143</v>
      </c>
    </row>
    <row r="156" spans="2:70" x14ac:dyDescent="0.25">
      <c r="B156" s="8" t="s">
        <v>439</v>
      </c>
      <c r="C156" s="8" t="s">
        <v>71</v>
      </c>
      <c r="F156" s="11">
        <v>45825</v>
      </c>
      <c r="G156" s="11">
        <v>45825</v>
      </c>
      <c r="H156" s="11">
        <v>45835</v>
      </c>
      <c r="I156" s="8" t="s">
        <v>241</v>
      </c>
      <c r="J156" s="8" t="s">
        <v>242</v>
      </c>
      <c r="K156" s="8" t="s">
        <v>243</v>
      </c>
      <c r="L156" s="8" t="s">
        <v>15</v>
      </c>
      <c r="M156" s="30" t="s">
        <v>361</v>
      </c>
      <c r="N156" s="8" t="s">
        <v>75</v>
      </c>
      <c r="O156" s="8" t="s">
        <v>94</v>
      </c>
      <c r="P156" s="28" t="s">
        <v>77</v>
      </c>
      <c r="Q156" s="16" t="s">
        <v>440</v>
      </c>
      <c r="X156" s="8" t="s">
        <v>180</v>
      </c>
      <c r="Y156" s="34">
        <f>IF(X156='Listas suspensas'!$A$21,'Listas suspensas'!$B$23,IF(X156='Listas suspensas'!$A$22,'Listas suspensas'!$B$23,IF(X156='Listas suspensas'!$A$23,'Listas suspensas'!$B$22,IF(X156='Listas suspensas'!$A$26,'Listas suspensas'!$B$22,IF(X156='Listas suspensas'!$A$32,'Listas suspensas'!$B$22,IF(X156='Listas suspensas'!$A$33,'Listas suspensas'!$B$21,IF(X156='Listas suspensas'!$A$24,'Listas suspensas'!$B$22,IF(X156='Listas suspensas'!$A$30,'Listas suspensas'!$B$21,""))))))))</f>
        <v>6.5</v>
      </c>
      <c r="Z156" s="8" t="s">
        <v>80</v>
      </c>
      <c r="AA156" s="8">
        <v>2</v>
      </c>
      <c r="AB156" s="8" t="str">
        <f>IF(AA156='Listas suspensas'!$A$2,'Listas suspensas'!$B$2,IF(AA156='Listas suspensas'!$A$3,'Listas suspensas'!$B$3,IF(AA156='Listas suspensas'!$A$4,'Listas suspensas'!$B$4,IF(AA156='Listas suspensas'!$A$5,'Listas suspensas'!$B$5,IF(AA156='Listas suspensas'!$A$6,'Listas suspensas'!$B$6,"")))))</f>
        <v>Profunda e irregular</v>
      </c>
      <c r="AC156" s="8" t="str">
        <f>IF(AA156='Listas suspensas'!$A$2,'Listas suspensas'!$C$2,IF(AA156='Listas suspensas'!$A$3,'Listas suspensas'!$C$3,IF(AA156='Listas suspensas'!$A$4,'Listas suspensas'!$C$4,IF(AA156='Listas suspensas'!$A$5,'Listas suspensas'!$C$5,IF(AA156='Listas suspensas'!$A$6,'Listas suspensas'!$C$6,"")))))</f>
        <v>Indica a penetração profunda, mas desuniforme em toda a extensão do alburno.</v>
      </c>
      <c r="AP156" s="8" t="e">
        <f t="shared" si="42"/>
        <v>#DIV/0!</v>
      </c>
      <c r="AV156" s="8" t="e">
        <f t="shared" si="43"/>
        <v>#DIV/0!</v>
      </c>
      <c r="BB156" s="20" t="e">
        <f t="shared" si="35"/>
        <v>#DIV/0!</v>
      </c>
      <c r="BC156" s="20" t="e">
        <f t="shared" si="44"/>
        <v>#DIV/0!</v>
      </c>
      <c r="BD156" s="13">
        <v>0.91800000000000004</v>
      </c>
      <c r="BE156" s="18">
        <f t="shared" si="41"/>
        <v>918</v>
      </c>
      <c r="BF156" s="8">
        <v>0.26800000000000002</v>
      </c>
      <c r="BG156" s="8">
        <v>0.14799999999999999</v>
      </c>
      <c r="BH156" s="8">
        <v>0.28799999999999998</v>
      </c>
      <c r="BI156" s="13">
        <f t="shared" si="45"/>
        <v>0.70399999999999996</v>
      </c>
      <c r="BJ156" s="14">
        <v>38</v>
      </c>
      <c r="BK156" s="14">
        <v>21</v>
      </c>
      <c r="BL156" s="14">
        <v>41</v>
      </c>
      <c r="BM156" s="16">
        <f t="shared" si="36"/>
        <v>100</v>
      </c>
      <c r="BN156" s="21">
        <f t="shared" si="37"/>
        <v>2.46</v>
      </c>
      <c r="BO156" s="21">
        <f t="shared" si="38"/>
        <v>1.36</v>
      </c>
      <c r="BP156" s="21">
        <f t="shared" si="39"/>
        <v>2.64</v>
      </c>
      <c r="BQ156" s="14">
        <f t="shared" si="40"/>
        <v>6.46</v>
      </c>
      <c r="BR156" s="22" t="str">
        <f>IF(OR(AND(X156="Mourões", BQ156&gt;=6.5),AND(X156="Postes", BQ156&gt;=9.6),AND(X156="Dormentes", BQ156&gt;=9.6),AND(X156="Estacas", BQ156&gt;=6.5),AND(X156="Cruzetas", BQ156&gt;=6.5),AND(X156="Outros - Solo", BQ156&gt;=6.5),AND(X156="Outros - Suspenso",BQ156&gt;=4),AND(X156="Deck",BQ156&gt;=4)),'Listas suspensas'!$C$21,'Listas suspensas'!$C$22)</f>
        <v>Os resultados da análise química apresentaram uma retenção do produto inferior ao padrão mínimo exigido pela norma ABNT NBR 16143</v>
      </c>
    </row>
    <row r="157" spans="2:70" x14ac:dyDescent="0.25">
      <c r="B157" s="8" t="s">
        <v>441</v>
      </c>
      <c r="C157" s="8" t="s">
        <v>71</v>
      </c>
      <c r="F157" s="11">
        <v>45825</v>
      </c>
      <c r="G157" s="11">
        <v>45825</v>
      </c>
      <c r="H157" s="11">
        <v>45835</v>
      </c>
      <c r="I157" s="8" t="s">
        <v>241</v>
      </c>
      <c r="J157" s="8" t="s">
        <v>242</v>
      </c>
      <c r="K157" s="8" t="s">
        <v>243</v>
      </c>
      <c r="L157" s="8" t="s">
        <v>15</v>
      </c>
      <c r="M157" s="30" t="s">
        <v>361</v>
      </c>
      <c r="N157" s="8" t="s">
        <v>75</v>
      </c>
      <c r="O157" s="8" t="s">
        <v>94</v>
      </c>
      <c r="P157" s="28" t="s">
        <v>77</v>
      </c>
      <c r="Q157" s="16" t="s">
        <v>442</v>
      </c>
      <c r="X157" s="8" t="s">
        <v>180</v>
      </c>
      <c r="Y157" s="34">
        <f>IF(X157='Listas suspensas'!$A$21,'Listas suspensas'!$B$23,IF(X157='Listas suspensas'!$A$22,'Listas suspensas'!$B$23,IF(X157='Listas suspensas'!$A$23,'Listas suspensas'!$B$22,IF(X157='Listas suspensas'!$A$26,'Listas suspensas'!$B$22,IF(X157='Listas suspensas'!$A$32,'Listas suspensas'!$B$22,IF(X157='Listas suspensas'!$A$33,'Listas suspensas'!$B$21,IF(X157='Listas suspensas'!$A$24,'Listas suspensas'!$B$22,IF(X157='Listas suspensas'!$A$30,'Listas suspensas'!$B$21,""))))))))</f>
        <v>6.5</v>
      </c>
      <c r="Z157" s="8" t="s">
        <v>80</v>
      </c>
      <c r="AA157" s="8">
        <v>2</v>
      </c>
      <c r="AB157" s="8" t="str">
        <f>IF(AA157='Listas suspensas'!$A$2,'Listas suspensas'!$B$2,IF(AA157='Listas suspensas'!$A$3,'Listas suspensas'!$B$3,IF(AA157='Listas suspensas'!$A$4,'Listas suspensas'!$B$4,IF(AA157='Listas suspensas'!$A$5,'Listas suspensas'!$B$5,IF(AA157='Listas suspensas'!$A$6,'Listas suspensas'!$B$6,"")))))</f>
        <v>Profunda e irregular</v>
      </c>
      <c r="AC157" s="8" t="str">
        <f>IF(AA157='Listas suspensas'!$A$2,'Listas suspensas'!$C$2,IF(AA157='Listas suspensas'!$A$3,'Listas suspensas'!$C$3,IF(AA157='Listas suspensas'!$A$4,'Listas suspensas'!$C$4,IF(AA157='Listas suspensas'!$A$5,'Listas suspensas'!$C$5,IF(AA157='Listas suspensas'!$A$6,'Listas suspensas'!$C$6,"")))))</f>
        <v>Indica a penetração profunda, mas desuniforme em toda a extensão do alburno.</v>
      </c>
      <c r="AP157" s="8" t="e">
        <f t="shared" si="42"/>
        <v>#DIV/0!</v>
      </c>
      <c r="AV157" s="8" t="e">
        <f t="shared" si="43"/>
        <v>#DIV/0!</v>
      </c>
      <c r="BB157" s="20" t="e">
        <f t="shared" si="35"/>
        <v>#DIV/0!</v>
      </c>
      <c r="BC157" s="20" t="e">
        <f t="shared" si="44"/>
        <v>#DIV/0!</v>
      </c>
      <c r="BD157" s="13">
        <v>0.89500000000000002</v>
      </c>
      <c r="BE157" s="18">
        <f t="shared" si="41"/>
        <v>895</v>
      </c>
      <c r="BF157" s="8">
        <v>0.23100000000000001</v>
      </c>
      <c r="BG157" s="8">
        <v>0.14099999999999999</v>
      </c>
      <c r="BH157" s="8">
        <v>0.28399999999999997</v>
      </c>
      <c r="BI157" s="13">
        <f t="shared" si="45"/>
        <v>0.65599999999999992</v>
      </c>
      <c r="BJ157" s="14">
        <v>35.200000000000003</v>
      </c>
      <c r="BK157" s="14">
        <v>21.5</v>
      </c>
      <c r="BL157" s="14">
        <v>43.3</v>
      </c>
      <c r="BM157" s="16">
        <f t="shared" si="36"/>
        <v>100</v>
      </c>
      <c r="BN157" s="21">
        <f t="shared" si="37"/>
        <v>2.0699999999999998</v>
      </c>
      <c r="BO157" s="21">
        <f t="shared" si="38"/>
        <v>1.26</v>
      </c>
      <c r="BP157" s="21">
        <f t="shared" si="39"/>
        <v>2.54</v>
      </c>
      <c r="BQ157" s="14">
        <f t="shared" si="40"/>
        <v>5.87</v>
      </c>
      <c r="BR157" s="22" t="str">
        <f>IF(OR(AND(X157="Mourões", BQ157&gt;=6.5),AND(X157="Postes", BQ157&gt;=9.6),AND(X157="Dormentes", BQ157&gt;=9.6),AND(X157="Estacas", BQ157&gt;=6.5),AND(X157="Cruzetas", BQ157&gt;=6.5),AND(X157="Outros - Solo", BQ157&gt;=6.5),AND(X157="Outros - Suspenso",BQ157&gt;=4),AND(X157="Deck",BQ157&gt;=4)),'Listas suspensas'!$C$21,'Listas suspensas'!$C$22)</f>
        <v>Os resultados da análise química apresentaram uma retenção do produto inferior ao padrão mínimo exigido pela norma ABNT NBR 16143</v>
      </c>
    </row>
    <row r="158" spans="2:70" x14ac:dyDescent="0.25">
      <c r="B158" s="8" t="s">
        <v>443</v>
      </c>
      <c r="C158" s="8" t="s">
        <v>71</v>
      </c>
      <c r="F158" s="11">
        <v>45825</v>
      </c>
      <c r="G158" s="11">
        <v>45825</v>
      </c>
      <c r="H158" s="11">
        <v>45835</v>
      </c>
      <c r="I158" s="8" t="s">
        <v>241</v>
      </c>
      <c r="J158" s="8" t="s">
        <v>242</v>
      </c>
      <c r="K158" s="8" t="s">
        <v>243</v>
      </c>
      <c r="L158" s="8" t="s">
        <v>15</v>
      </c>
      <c r="M158" s="30" t="s">
        <v>361</v>
      </c>
      <c r="N158" s="8" t="s">
        <v>75</v>
      </c>
      <c r="O158" s="8" t="s">
        <v>94</v>
      </c>
      <c r="P158" s="28" t="s">
        <v>77</v>
      </c>
      <c r="Q158" s="16" t="s">
        <v>444</v>
      </c>
      <c r="X158" s="8" t="s">
        <v>180</v>
      </c>
      <c r="Y158" s="34">
        <f>IF(X158='Listas suspensas'!$A$21,'Listas suspensas'!$B$23,IF(X158='Listas suspensas'!$A$22,'Listas suspensas'!$B$23,IF(X158='Listas suspensas'!$A$23,'Listas suspensas'!$B$22,IF(X158='Listas suspensas'!$A$26,'Listas suspensas'!$B$22,IF(X158='Listas suspensas'!$A$32,'Listas suspensas'!$B$22,IF(X158='Listas suspensas'!$A$33,'Listas suspensas'!$B$21,IF(X158='Listas suspensas'!$A$24,'Listas suspensas'!$B$22,IF(X158='Listas suspensas'!$A$30,'Listas suspensas'!$B$21,""))))))))</f>
        <v>6.5</v>
      </c>
      <c r="Z158" s="8" t="s">
        <v>80</v>
      </c>
      <c r="AA158" s="8">
        <v>2</v>
      </c>
      <c r="AB158" s="8" t="str">
        <f>IF(AA158='Listas suspensas'!$A$2,'Listas suspensas'!$B$2,IF(AA158='Listas suspensas'!$A$3,'Listas suspensas'!$B$3,IF(AA158='Listas suspensas'!$A$4,'Listas suspensas'!$B$4,IF(AA158='Listas suspensas'!$A$5,'Listas suspensas'!$B$5,IF(AA158='Listas suspensas'!$A$6,'Listas suspensas'!$B$6,"")))))</f>
        <v>Profunda e irregular</v>
      </c>
      <c r="AC158" s="8" t="str">
        <f>IF(AA158='Listas suspensas'!$A$2,'Listas suspensas'!$C$2,IF(AA158='Listas suspensas'!$A$3,'Listas suspensas'!$C$3,IF(AA158='Listas suspensas'!$A$4,'Listas suspensas'!$C$4,IF(AA158='Listas suspensas'!$A$5,'Listas suspensas'!$C$5,IF(AA158='Listas suspensas'!$A$6,'Listas suspensas'!$C$6,"")))))</f>
        <v>Indica a penetração profunda, mas desuniforme em toda a extensão do alburno.</v>
      </c>
      <c r="AP158" s="8" t="e">
        <f t="shared" si="42"/>
        <v>#DIV/0!</v>
      </c>
      <c r="AV158" s="8" t="e">
        <f t="shared" si="43"/>
        <v>#DIV/0!</v>
      </c>
      <c r="BB158" s="20" t="e">
        <f t="shared" si="35"/>
        <v>#DIV/0!</v>
      </c>
      <c r="BC158" s="20" t="e">
        <f t="shared" si="44"/>
        <v>#DIV/0!</v>
      </c>
      <c r="BD158" s="13">
        <v>0.77500000000000002</v>
      </c>
      <c r="BE158" s="18">
        <f t="shared" si="41"/>
        <v>775</v>
      </c>
      <c r="BF158" s="8">
        <v>0.23200000000000001</v>
      </c>
      <c r="BG158" s="8">
        <v>0.14199999999999999</v>
      </c>
      <c r="BH158" s="8">
        <v>0.28999999999999998</v>
      </c>
      <c r="BI158" s="13">
        <f t="shared" si="45"/>
        <v>0.66399999999999992</v>
      </c>
      <c r="BJ158" s="14">
        <v>36.6</v>
      </c>
      <c r="BK158" s="14">
        <v>22.5</v>
      </c>
      <c r="BL158" s="14">
        <v>40.9</v>
      </c>
      <c r="BM158" s="16">
        <f t="shared" si="36"/>
        <v>100</v>
      </c>
      <c r="BN158" s="21">
        <f t="shared" si="37"/>
        <v>1.8</v>
      </c>
      <c r="BO158" s="21">
        <f t="shared" si="38"/>
        <v>1.1000000000000001</v>
      </c>
      <c r="BP158" s="21">
        <f t="shared" si="39"/>
        <v>2.25</v>
      </c>
      <c r="BQ158" s="14">
        <f t="shared" si="40"/>
        <v>5.15</v>
      </c>
      <c r="BR158" s="22" t="str">
        <f>IF(OR(AND(X158="Mourões", BQ158&gt;=6.5),AND(X158="Postes", BQ158&gt;=9.6),AND(X158="Dormentes", BQ158&gt;=9.6),AND(X158="Estacas", BQ158&gt;=6.5),AND(X158="Cruzetas", BQ158&gt;=6.5),AND(X158="Outros - Solo", BQ158&gt;=6.5),AND(X158="Outros - Suspenso",BQ158&gt;=4),AND(X158="Deck",BQ158&gt;=4)),'Listas suspensas'!$C$21,'Listas suspensas'!$C$22)</f>
        <v>Os resultados da análise química apresentaram uma retenção do produto inferior ao padrão mínimo exigido pela norma ABNT NBR 16143</v>
      </c>
    </row>
    <row r="159" spans="2:70" x14ac:dyDescent="0.25">
      <c r="B159" s="8" t="s">
        <v>445</v>
      </c>
      <c r="C159" s="8" t="s">
        <v>71</v>
      </c>
      <c r="F159" s="11">
        <v>45825</v>
      </c>
      <c r="G159" s="11">
        <v>45825</v>
      </c>
      <c r="H159" s="11">
        <v>45835</v>
      </c>
      <c r="I159" s="8" t="s">
        <v>241</v>
      </c>
      <c r="J159" s="8" t="s">
        <v>242</v>
      </c>
      <c r="K159" s="8" t="s">
        <v>243</v>
      </c>
      <c r="L159" s="8" t="s">
        <v>15</v>
      </c>
      <c r="M159" s="30" t="s">
        <v>361</v>
      </c>
      <c r="N159" s="8" t="s">
        <v>75</v>
      </c>
      <c r="O159" s="8" t="s">
        <v>94</v>
      </c>
      <c r="P159" s="28" t="s">
        <v>77</v>
      </c>
      <c r="Q159" s="16" t="s">
        <v>446</v>
      </c>
      <c r="X159" s="8" t="s">
        <v>180</v>
      </c>
      <c r="Y159" s="34">
        <f>IF(X159='Listas suspensas'!$A$21,'Listas suspensas'!$B$23,IF(X159='Listas suspensas'!$A$22,'Listas suspensas'!$B$23,IF(X159='Listas suspensas'!$A$23,'Listas suspensas'!$B$22,IF(X159='Listas suspensas'!$A$26,'Listas suspensas'!$B$22,IF(X159='Listas suspensas'!$A$32,'Listas suspensas'!$B$22,IF(X159='Listas suspensas'!$A$33,'Listas suspensas'!$B$21,IF(X159='Listas suspensas'!$A$24,'Listas suspensas'!$B$22,IF(X159='Listas suspensas'!$A$30,'Listas suspensas'!$B$21,""))))))))</f>
        <v>6.5</v>
      </c>
      <c r="Z159" s="8" t="s">
        <v>80</v>
      </c>
      <c r="AA159" s="8">
        <v>2</v>
      </c>
      <c r="AB159" s="8" t="str">
        <f>IF(AA159='Listas suspensas'!$A$2,'Listas suspensas'!$B$2,IF(AA159='Listas suspensas'!$A$3,'Listas suspensas'!$B$3,IF(AA159='Listas suspensas'!$A$4,'Listas suspensas'!$B$4,IF(AA159='Listas suspensas'!$A$5,'Listas suspensas'!$B$5,IF(AA159='Listas suspensas'!$A$6,'Listas suspensas'!$B$6,"")))))</f>
        <v>Profunda e irregular</v>
      </c>
      <c r="AC159" s="8" t="str">
        <f>IF(AA159='Listas suspensas'!$A$2,'Listas suspensas'!$C$2,IF(AA159='Listas suspensas'!$A$3,'Listas suspensas'!$C$3,IF(AA159='Listas suspensas'!$A$4,'Listas suspensas'!$C$4,IF(AA159='Listas suspensas'!$A$5,'Listas suspensas'!$C$5,IF(AA159='Listas suspensas'!$A$6,'Listas suspensas'!$C$6,"")))))</f>
        <v>Indica a penetração profunda, mas desuniforme em toda a extensão do alburno.</v>
      </c>
      <c r="AP159" s="8" t="e">
        <f t="shared" si="42"/>
        <v>#DIV/0!</v>
      </c>
      <c r="AV159" s="8" t="e">
        <f t="shared" si="43"/>
        <v>#DIV/0!</v>
      </c>
      <c r="BB159" s="20" t="e">
        <f t="shared" si="35"/>
        <v>#DIV/0!</v>
      </c>
      <c r="BC159" s="20" t="e">
        <f t="shared" si="44"/>
        <v>#DIV/0!</v>
      </c>
      <c r="BD159" s="13">
        <v>0.96399999999999997</v>
      </c>
      <c r="BE159" s="18">
        <f t="shared" si="41"/>
        <v>964</v>
      </c>
      <c r="BF159" s="8">
        <v>0.19800000000000001</v>
      </c>
      <c r="BG159" s="8">
        <v>0.11899999999999999</v>
      </c>
      <c r="BH159" s="8">
        <v>0.21199999999999999</v>
      </c>
      <c r="BI159" s="13">
        <f t="shared" si="45"/>
        <v>0.52900000000000003</v>
      </c>
      <c r="BJ159" s="14">
        <v>37.5</v>
      </c>
      <c r="BK159" s="14">
        <v>22.5</v>
      </c>
      <c r="BL159" s="14">
        <v>40</v>
      </c>
      <c r="BM159" s="16">
        <f t="shared" si="36"/>
        <v>100</v>
      </c>
      <c r="BN159" s="21">
        <f t="shared" si="37"/>
        <v>1.91</v>
      </c>
      <c r="BO159" s="21">
        <f t="shared" si="38"/>
        <v>1.1499999999999999</v>
      </c>
      <c r="BP159" s="21">
        <f t="shared" si="39"/>
        <v>2.04</v>
      </c>
      <c r="BQ159" s="14">
        <f t="shared" si="40"/>
        <v>5.0999999999999996</v>
      </c>
      <c r="BR159" s="22" t="str">
        <f>IF(OR(AND(X159="Mourões", BQ159&gt;=6.5),AND(X159="Postes", BQ159&gt;=9.6),AND(X159="Dormentes", BQ159&gt;=9.6),AND(X159="Estacas", BQ159&gt;=6.5),AND(X159="Cruzetas", BQ159&gt;=6.5),AND(X159="Outros - Solo", BQ159&gt;=6.5),AND(X159="Outros - Suspenso",BQ159&gt;=4),AND(X159="Deck",BQ159&gt;=4)),'Listas suspensas'!$C$21,'Listas suspensas'!$C$22)</f>
        <v>Os resultados da análise química apresentaram uma retenção do produto inferior ao padrão mínimo exigido pela norma ABNT NBR 16143</v>
      </c>
    </row>
    <row r="160" spans="2:70" x14ac:dyDescent="0.25">
      <c r="B160" s="8" t="s">
        <v>447</v>
      </c>
      <c r="C160" s="8" t="s">
        <v>71</v>
      </c>
      <c r="F160" s="11">
        <v>45839</v>
      </c>
      <c r="G160" s="11">
        <v>45839</v>
      </c>
      <c r="H160" s="11">
        <v>45840</v>
      </c>
      <c r="I160" s="8" t="s">
        <v>187</v>
      </c>
      <c r="J160" s="8" t="s">
        <v>323</v>
      </c>
      <c r="K160" s="8" t="s">
        <v>109</v>
      </c>
      <c r="L160" s="8" t="s">
        <v>15</v>
      </c>
      <c r="M160" s="30" t="s">
        <v>324</v>
      </c>
      <c r="N160" s="8" t="s">
        <v>75</v>
      </c>
      <c r="O160" s="8" t="s">
        <v>94</v>
      </c>
      <c r="P160" s="28" t="s">
        <v>146</v>
      </c>
      <c r="Q160" s="16" t="s">
        <v>448</v>
      </c>
      <c r="X160" s="8" t="s">
        <v>79</v>
      </c>
      <c r="Y160" s="34">
        <f>IF(X160='Listas suspensas'!$A$21,'Listas suspensas'!$B$23,IF(X160='Listas suspensas'!$A$22,'Listas suspensas'!$B$23,IF(X160='Listas suspensas'!$A$23,'Listas suspensas'!$B$22,IF(X160='Listas suspensas'!$A$26,'Listas suspensas'!$B$22,IF(X160='Listas suspensas'!$A$32,'Listas suspensas'!$B$22,IF(X160='Listas suspensas'!$A$33,'Listas suspensas'!$B$21,IF(X160='Listas suspensas'!$A$24,'Listas suspensas'!$B$22,IF(X160='Listas suspensas'!$A$30,'Listas suspensas'!$B$21,""))))))))</f>
        <v>6.5</v>
      </c>
      <c r="Z160" s="8" t="str">
        <f>IF(X160='Listas suspensas'!$A$23,'Listas suspensas'!$A$9,"")</f>
        <v>NBR 16143</v>
      </c>
      <c r="AA160" s="8">
        <v>3</v>
      </c>
      <c r="AB160" s="8" t="str">
        <f>IF(AA160='Listas suspensas'!$A$2,'Listas suspensas'!$B$2,IF(AA160='Listas suspensas'!$A$3,'Listas suspensas'!$B$3,IF(AA160='Listas suspensas'!$A$4,'Listas suspensas'!$B$4,IF(AA160='Listas suspensas'!$A$5,'Listas suspensas'!$B$5,IF(AA160='Listas suspensas'!$A$6,'Listas suspensas'!$B$6,"")))))</f>
        <v xml:space="preserve"> Parcial e regular</v>
      </c>
      <c r="AC160" s="8" t="str">
        <f>IF(AA160='Listas suspensas'!$A$2,'Listas suspensas'!$C$2,IF(AA160='Listas suspensas'!$A$3,'Listas suspensas'!$C$3,IF(AA160='Listas suspensas'!$A$4,'Listas suspensas'!$C$4,IF(AA160='Listas suspensas'!$A$5,'Listas suspensas'!$C$5,IF(AA160='Listas suspensas'!$A$6,'Listas suspensas'!$C$6,"")))))</f>
        <v>Indica a penetração uniforme, mas não total pela extensão do alburno.</v>
      </c>
      <c r="AP160" s="8" t="e">
        <f t="shared" si="42"/>
        <v>#DIV/0!</v>
      </c>
      <c r="AV160" s="8" t="e">
        <f t="shared" si="43"/>
        <v>#DIV/0!</v>
      </c>
      <c r="BB160" s="20" t="e">
        <f t="shared" si="35"/>
        <v>#DIV/0!</v>
      </c>
      <c r="BC160" s="20" t="e">
        <f t="shared" si="44"/>
        <v>#DIV/0!</v>
      </c>
      <c r="BD160" s="13">
        <v>0.82899999999999996</v>
      </c>
      <c r="BE160" s="18">
        <f t="shared" si="41"/>
        <v>829</v>
      </c>
      <c r="BF160" s="8">
        <v>0.378</v>
      </c>
      <c r="BG160" s="8">
        <v>0.125</v>
      </c>
      <c r="BH160" s="8">
        <v>0.21099999999999999</v>
      </c>
      <c r="BI160" s="13">
        <f t="shared" si="45"/>
        <v>0.71399999999999997</v>
      </c>
      <c r="BJ160" s="14">
        <v>53</v>
      </c>
      <c r="BK160" s="14">
        <v>17.5</v>
      </c>
      <c r="BL160" s="14">
        <v>29.5</v>
      </c>
      <c r="BM160" s="16">
        <f t="shared" si="36"/>
        <v>100</v>
      </c>
      <c r="BN160" s="21">
        <f t="shared" si="37"/>
        <v>3.13</v>
      </c>
      <c r="BO160" s="21">
        <f t="shared" si="38"/>
        <v>1.04</v>
      </c>
      <c r="BP160" s="21">
        <f t="shared" si="39"/>
        <v>1.75</v>
      </c>
      <c r="BQ160" s="14">
        <f t="shared" si="40"/>
        <v>5.92</v>
      </c>
      <c r="BR160" s="22" t="str">
        <f>IF(OR(AND(X160="Mourões", BQ160&gt;=6.5),AND(X160="Postes", BQ160&gt;=9.6),AND(X160="Dormentes", BQ160&gt;=9.6),AND(X160="Estacas", BQ160&gt;=6.5),AND(X160="Cruzetas", BQ160&gt;=6.5),AND(X160="Outros - Solo", BQ160&gt;=6.5),AND(X160="Outros - Suspenso",BQ160&gt;=4),AND(X160="Deck",BQ160&gt;=4)),'Listas suspensas'!$C$21,'Listas suspensas'!$C$22)</f>
        <v>Os resultados da análise química apresentaram uma retenção do produto inferior ao padrão mínimo exigido pela norma ABNT NBR 16143</v>
      </c>
    </row>
    <row r="161" spans="2:70" x14ac:dyDescent="0.25">
      <c r="B161" s="8" t="s">
        <v>449</v>
      </c>
      <c r="C161" s="8" t="s">
        <v>71</v>
      </c>
      <c r="F161" s="11">
        <v>45839</v>
      </c>
      <c r="G161" s="11">
        <v>45839</v>
      </c>
      <c r="H161" s="11">
        <v>45840</v>
      </c>
      <c r="I161" s="8" t="s">
        <v>187</v>
      </c>
      <c r="J161" s="8" t="s">
        <v>323</v>
      </c>
      <c r="K161" s="8" t="s">
        <v>109</v>
      </c>
      <c r="L161" s="8" t="s">
        <v>15</v>
      </c>
      <c r="M161" s="30" t="s">
        <v>324</v>
      </c>
      <c r="N161" s="8" t="s">
        <v>75</v>
      </c>
      <c r="O161" s="8" t="s">
        <v>94</v>
      </c>
      <c r="P161" s="28" t="s">
        <v>146</v>
      </c>
      <c r="Q161" s="16" t="s">
        <v>450</v>
      </c>
      <c r="X161" s="8" t="s">
        <v>79</v>
      </c>
      <c r="Y161" s="34">
        <f>IF(X161='Listas suspensas'!$A$21,'Listas suspensas'!$B$23,IF(X161='Listas suspensas'!$A$22,'Listas suspensas'!$B$23,IF(X161='Listas suspensas'!$A$23,'Listas suspensas'!$B$22,IF(X161='Listas suspensas'!$A$26,'Listas suspensas'!$B$22,IF(X161='Listas suspensas'!$A$32,'Listas suspensas'!$B$22,IF(X161='Listas suspensas'!$A$33,'Listas suspensas'!$B$21,IF(X161='Listas suspensas'!$A$24,'Listas suspensas'!$B$22,IF(X161='Listas suspensas'!$A$30,'Listas suspensas'!$B$21,""))))))))</f>
        <v>6.5</v>
      </c>
      <c r="Z161" s="8" t="str">
        <f>IF(X161='Listas suspensas'!$A$23,'Listas suspensas'!$A$9,"")</f>
        <v>NBR 16143</v>
      </c>
      <c r="AA161" s="8">
        <v>1</v>
      </c>
      <c r="AB161" s="8" t="str">
        <f>IF(AA161='Listas suspensas'!$A$2,'Listas suspensas'!$B$2,IF(AA161='Listas suspensas'!$A$3,'Listas suspensas'!$B$3,IF(AA161='Listas suspensas'!$A$4,'Listas suspensas'!$B$4,IF(AA161='Listas suspensas'!$A$5,'Listas suspensas'!$B$5,IF(AA161='Listas suspensas'!$A$6,'Listas suspensas'!$B$6,"")))))</f>
        <v>Profunda e regular</v>
      </c>
      <c r="AC161" s="8" t="str">
        <f>IF(AA161='Listas suspensas'!$A$2,'Listas suspensas'!$C$2,IF(AA161='Listas suspensas'!$A$3,'Listas suspensas'!$C$3,IF(AA161='Listas suspensas'!$A$4,'Listas suspensas'!$C$4,IF(AA161='Listas suspensas'!$A$5,'Listas suspensas'!$C$5,IF(AA161='Listas suspensas'!$A$6,'Listas suspensas'!$C$6,"")))))</f>
        <v>Indica a penetração profunda e uniforme em toda a extensão do alburno.</v>
      </c>
      <c r="AP161" s="8" t="e">
        <f t="shared" si="42"/>
        <v>#DIV/0!</v>
      </c>
      <c r="AV161" s="8" t="e">
        <f t="shared" si="43"/>
        <v>#DIV/0!</v>
      </c>
      <c r="BB161" s="20" t="e">
        <f t="shared" si="35"/>
        <v>#DIV/0!</v>
      </c>
      <c r="BC161" s="20" t="e">
        <f t="shared" si="44"/>
        <v>#DIV/0!</v>
      </c>
      <c r="BD161" s="13">
        <v>0.68200000000000005</v>
      </c>
      <c r="BE161" s="18">
        <f t="shared" si="41"/>
        <v>682</v>
      </c>
      <c r="BF161" s="8">
        <v>0.495</v>
      </c>
      <c r="BG161" s="8">
        <v>0.189</v>
      </c>
      <c r="BH161" s="8">
        <v>0.27800000000000002</v>
      </c>
      <c r="BI161" s="13">
        <f t="shared" si="45"/>
        <v>0.96199999999999997</v>
      </c>
      <c r="BJ161" s="14">
        <v>51.5</v>
      </c>
      <c r="BK161" s="14">
        <v>19.600000000000001</v>
      </c>
      <c r="BL161" s="14">
        <v>28.9</v>
      </c>
      <c r="BM161" s="16">
        <f t="shared" si="36"/>
        <v>100</v>
      </c>
      <c r="BN161" s="21">
        <f t="shared" si="37"/>
        <v>3.38</v>
      </c>
      <c r="BO161" s="21">
        <f t="shared" si="38"/>
        <v>1.29</v>
      </c>
      <c r="BP161" s="21">
        <f t="shared" si="39"/>
        <v>1.9</v>
      </c>
      <c r="BQ161" s="14">
        <f t="shared" si="40"/>
        <v>6.57</v>
      </c>
      <c r="BR161" s="22" t="str">
        <f>IF(OR(AND(X161="Mourões", BQ161&gt;=6.5),AND(X161="Postes", BQ161&gt;=9.6),AND(X161="Dormentes", BQ161&gt;=9.6),AND(X161="Estacas", BQ161&gt;=6.5),AND(X161="Cruzetas", BQ161&gt;=6.5),AND(X161="Outros - Solo", BQ161&gt;=6.5),AND(X161="Outros - Suspenso",BQ161&gt;=4),AND(X161="Deck",BQ161&gt;=4)),'Listas suspensas'!$C$21,'Listas suspensas'!$C$22)</f>
        <v>Os resultados da análise química apresentaram uma retenção do produto de acordo com o padrão mínimo exigido pela norma ABNT NBR 16143</v>
      </c>
    </row>
    <row r="162" spans="2:70" x14ac:dyDescent="0.25">
      <c r="B162" s="8" t="s">
        <v>451</v>
      </c>
      <c r="C162" s="8" t="s">
        <v>71</v>
      </c>
      <c r="F162" s="11">
        <v>45841</v>
      </c>
      <c r="G162" s="11">
        <v>45841</v>
      </c>
      <c r="H162" s="11">
        <v>45847</v>
      </c>
      <c r="I162" s="8" t="s">
        <v>187</v>
      </c>
      <c r="J162" s="8" t="s">
        <v>323</v>
      </c>
      <c r="K162" s="8" t="s">
        <v>109</v>
      </c>
      <c r="L162" s="8" t="s">
        <v>15</v>
      </c>
      <c r="M162" s="30" t="s">
        <v>324</v>
      </c>
      <c r="N162" s="8" t="s">
        <v>75</v>
      </c>
      <c r="O162" s="8" t="s">
        <v>94</v>
      </c>
      <c r="P162" s="28" t="s">
        <v>77</v>
      </c>
      <c r="Q162" s="16" t="s">
        <v>452</v>
      </c>
      <c r="X162" s="8" t="s">
        <v>79</v>
      </c>
      <c r="Y162" s="34">
        <f>IF(X162='Listas suspensas'!$A$21,'Listas suspensas'!$B$23,IF(X162='Listas suspensas'!$A$22,'Listas suspensas'!$B$23,IF(X162='Listas suspensas'!$A$23,'Listas suspensas'!$B$22,IF(X162='Listas suspensas'!$A$26,'Listas suspensas'!$B$22,IF(X162='Listas suspensas'!$A$32,'Listas suspensas'!$B$22,IF(X162='Listas suspensas'!$A$33,'Listas suspensas'!$B$21,IF(X162='Listas suspensas'!$A$24,'Listas suspensas'!$B$22,IF(X162='Listas suspensas'!$A$30,'Listas suspensas'!$B$21,""))))))))</f>
        <v>6.5</v>
      </c>
      <c r="Z162" s="8" t="str">
        <f>IF(X162='Listas suspensas'!$A$23,'Listas suspensas'!$A$9,"")</f>
        <v>NBR 16143</v>
      </c>
      <c r="AA162" s="8">
        <v>2</v>
      </c>
      <c r="AB162" s="8" t="str">
        <f>IF(AA162='Listas suspensas'!$A$2,'Listas suspensas'!$B$2,IF(AA162='Listas suspensas'!$A$3,'Listas suspensas'!$B$3,IF(AA162='Listas suspensas'!$A$4,'Listas suspensas'!$B$4,IF(AA162='Listas suspensas'!$A$5,'Listas suspensas'!$B$5,IF(AA162='Listas suspensas'!$A$6,'Listas suspensas'!$B$6,"")))))</f>
        <v>Profunda e irregular</v>
      </c>
      <c r="AC162" s="8" t="str">
        <f>IF(AA162='Listas suspensas'!$A$2,'Listas suspensas'!$C$2,IF(AA162='Listas suspensas'!$A$3,'Listas suspensas'!$C$3,IF(AA162='Listas suspensas'!$A$4,'Listas suspensas'!$C$4,IF(AA162='Listas suspensas'!$A$5,'Listas suspensas'!$C$5,IF(AA162='Listas suspensas'!$A$6,'Listas suspensas'!$C$6,"")))))</f>
        <v>Indica a penetração profunda, mas desuniforme em toda a extensão do alburno.</v>
      </c>
      <c r="AP162" s="8" t="e">
        <f t="shared" si="42"/>
        <v>#DIV/0!</v>
      </c>
      <c r="AV162" s="8" t="e">
        <f t="shared" si="43"/>
        <v>#DIV/0!</v>
      </c>
      <c r="BB162" s="20" t="e">
        <f t="shared" si="35"/>
        <v>#DIV/0!</v>
      </c>
      <c r="BC162" s="20" t="e">
        <f t="shared" ref="BC162:BC179" si="46">PI()*(AP162/2)^2*AV162</f>
        <v>#DIV/0!</v>
      </c>
      <c r="BD162" s="13">
        <v>0.80300000000000005</v>
      </c>
      <c r="BE162" s="18">
        <f t="shared" si="41"/>
        <v>803</v>
      </c>
      <c r="BF162" s="8">
        <v>0.38100000000000001</v>
      </c>
      <c r="BG162" s="8">
        <v>0.17399999999999999</v>
      </c>
      <c r="BH162" s="8">
        <v>0.309</v>
      </c>
      <c r="BI162" s="13">
        <f t="shared" si="45"/>
        <v>0.86399999999999988</v>
      </c>
      <c r="BJ162" s="14">
        <v>44.1</v>
      </c>
      <c r="BK162" s="14">
        <v>20.100000000000001</v>
      </c>
      <c r="BL162" s="14">
        <v>35.799999999999997</v>
      </c>
      <c r="BM162" s="16">
        <f t="shared" si="36"/>
        <v>100</v>
      </c>
      <c r="BN162" s="21">
        <f t="shared" si="37"/>
        <v>3.06</v>
      </c>
      <c r="BO162" s="21">
        <f t="shared" si="38"/>
        <v>1.4</v>
      </c>
      <c r="BP162" s="21">
        <f t="shared" si="39"/>
        <v>2.48</v>
      </c>
      <c r="BQ162" s="14">
        <f t="shared" si="40"/>
        <v>6.94</v>
      </c>
      <c r="BR162" s="22" t="str">
        <f>IF(OR(AND(X162="Mourões", BQ162&gt;=6.5),AND(X162="Postes", BQ162&gt;=9.6),AND(X162="Dormentes", BQ162&gt;=9.6),AND(X162="Estacas", BQ162&gt;=6.5),AND(X162="Cruzetas", BQ162&gt;=6.5),AND(X162="Outros - Solo", BQ162&gt;=6.5),AND(X162="Outros - Suspenso",BQ162&gt;=4),AND(X162="Deck",BQ162&gt;=4)),'Listas suspensas'!$C$21,'Listas suspensas'!$C$22)</f>
        <v>Os resultados da análise química apresentaram uma retenção do produto de acordo com o padrão mínimo exigido pela norma ABNT NBR 16143</v>
      </c>
    </row>
    <row r="163" spans="2:70" x14ac:dyDescent="0.25">
      <c r="B163" s="8" t="s">
        <v>453</v>
      </c>
      <c r="C163" s="8" t="s">
        <v>71</v>
      </c>
      <c r="F163" s="11">
        <v>45841</v>
      </c>
      <c r="G163" s="11">
        <v>45841</v>
      </c>
      <c r="H163" s="11">
        <v>45847</v>
      </c>
      <c r="I163" s="8" t="s">
        <v>187</v>
      </c>
      <c r="J163" s="8" t="s">
        <v>323</v>
      </c>
      <c r="K163" s="8" t="s">
        <v>109</v>
      </c>
      <c r="L163" s="8" t="s">
        <v>15</v>
      </c>
      <c r="M163" s="30" t="s">
        <v>324</v>
      </c>
      <c r="N163" s="8" t="s">
        <v>75</v>
      </c>
      <c r="O163" s="8" t="s">
        <v>94</v>
      </c>
      <c r="P163" s="28" t="s">
        <v>77</v>
      </c>
      <c r="Q163" s="16" t="s">
        <v>454</v>
      </c>
      <c r="X163" s="8" t="s">
        <v>79</v>
      </c>
      <c r="Y163" s="34">
        <f>IF(X163='Listas suspensas'!$A$21,'Listas suspensas'!$B$23,IF(X163='Listas suspensas'!$A$22,'Listas suspensas'!$B$23,IF(X163='Listas suspensas'!$A$23,'Listas suspensas'!$B$22,IF(X163='Listas suspensas'!$A$26,'Listas suspensas'!$B$22,IF(X163='Listas suspensas'!$A$32,'Listas suspensas'!$B$22,IF(X163='Listas suspensas'!$A$33,'Listas suspensas'!$B$21,IF(X163='Listas suspensas'!$A$24,'Listas suspensas'!$B$22,IF(X163='Listas suspensas'!$A$30,'Listas suspensas'!$B$21,""))))))))</f>
        <v>6.5</v>
      </c>
      <c r="Z163" s="8" t="str">
        <f>IF(X163='Listas suspensas'!$A$23,'Listas suspensas'!$A$9,"")</f>
        <v>NBR 16143</v>
      </c>
      <c r="AA163" s="8">
        <v>2</v>
      </c>
      <c r="AB163" s="8" t="str">
        <f>IF(AA163='Listas suspensas'!$A$2,'Listas suspensas'!$B$2,IF(AA163='Listas suspensas'!$A$3,'Listas suspensas'!$B$3,IF(AA163='Listas suspensas'!$A$4,'Listas suspensas'!$B$4,IF(AA163='Listas suspensas'!$A$5,'Listas suspensas'!$B$5,IF(AA163='Listas suspensas'!$A$6,'Listas suspensas'!$B$6,"")))))</f>
        <v>Profunda e irregular</v>
      </c>
      <c r="AC163" s="8" t="str">
        <f>IF(AA163='Listas suspensas'!$A$2,'Listas suspensas'!$C$2,IF(AA163='Listas suspensas'!$A$3,'Listas suspensas'!$C$3,IF(AA163='Listas suspensas'!$A$4,'Listas suspensas'!$C$4,IF(AA163='Listas suspensas'!$A$5,'Listas suspensas'!$C$5,IF(AA163='Listas suspensas'!$A$6,'Listas suspensas'!$C$6,"")))))</f>
        <v>Indica a penetração profunda, mas desuniforme em toda a extensão do alburno.</v>
      </c>
      <c r="AP163" s="8" t="e">
        <f t="shared" si="42"/>
        <v>#DIV/0!</v>
      </c>
      <c r="AV163" s="8" t="e">
        <f t="shared" si="43"/>
        <v>#DIV/0!</v>
      </c>
      <c r="BB163" s="20" t="e">
        <f t="shared" si="35"/>
        <v>#DIV/0!</v>
      </c>
      <c r="BC163" s="20" t="e">
        <f t="shared" si="46"/>
        <v>#DIV/0!</v>
      </c>
      <c r="BD163" s="13">
        <v>0.86499999999999999</v>
      </c>
      <c r="BE163" s="18">
        <f t="shared" si="41"/>
        <v>865</v>
      </c>
      <c r="BF163" s="8">
        <v>0.30199999999999999</v>
      </c>
      <c r="BG163" s="8">
        <v>0.13</v>
      </c>
      <c r="BH163" s="8">
        <v>0.185</v>
      </c>
      <c r="BI163" s="13">
        <f t="shared" si="45"/>
        <v>0.61699999999999999</v>
      </c>
      <c r="BJ163" s="14">
        <v>48.9</v>
      </c>
      <c r="BK163" s="14">
        <v>21.1</v>
      </c>
      <c r="BL163" s="14">
        <v>30</v>
      </c>
      <c r="BM163" s="16">
        <f t="shared" si="36"/>
        <v>100</v>
      </c>
      <c r="BN163" s="21">
        <f t="shared" si="37"/>
        <v>2.61</v>
      </c>
      <c r="BO163" s="21">
        <f t="shared" si="38"/>
        <v>1.1200000000000001</v>
      </c>
      <c r="BP163" s="21">
        <f t="shared" si="39"/>
        <v>1.6</v>
      </c>
      <c r="BQ163" s="14">
        <f t="shared" si="40"/>
        <v>5.33</v>
      </c>
      <c r="BR163" s="22" t="str">
        <f>IF(OR(AND(X163="Mourões", BQ163&gt;=6.5),AND(X163="Postes", BQ163&gt;=9.6),AND(X163="Dormentes", BQ163&gt;=9.6),AND(X163="Estacas", BQ163&gt;=6.5),AND(X163="Cruzetas", BQ163&gt;=6.5),AND(X163="Outros - Solo", BQ163&gt;=6.5),AND(X163="Outros - Suspenso",BQ163&gt;=4),AND(X163="Deck",BQ163&gt;=4)),'Listas suspensas'!$C$21,'Listas suspensas'!$C$22)</f>
        <v>Os resultados da análise química apresentaram uma retenção do produto inferior ao padrão mínimo exigido pela norma ABNT NBR 16143</v>
      </c>
    </row>
    <row r="164" spans="2:70" x14ac:dyDescent="0.25">
      <c r="B164" s="8" t="s">
        <v>455</v>
      </c>
      <c r="C164" s="8" t="s">
        <v>71</v>
      </c>
      <c r="F164" s="11">
        <v>45841</v>
      </c>
      <c r="G164" s="11">
        <v>45841</v>
      </c>
      <c r="H164" s="11">
        <v>45847</v>
      </c>
      <c r="I164" s="8" t="s">
        <v>241</v>
      </c>
      <c r="J164" s="8" t="s">
        <v>242</v>
      </c>
      <c r="K164" s="8" t="s">
        <v>243</v>
      </c>
      <c r="L164" s="8" t="s">
        <v>15</v>
      </c>
      <c r="M164" s="30" t="s">
        <v>361</v>
      </c>
      <c r="N164" s="8" t="s">
        <v>75</v>
      </c>
      <c r="O164" s="8" t="s">
        <v>94</v>
      </c>
      <c r="P164" s="28" t="s">
        <v>77</v>
      </c>
      <c r="Q164" s="16" t="s">
        <v>456</v>
      </c>
      <c r="X164" s="8" t="s">
        <v>180</v>
      </c>
      <c r="Y164" s="34">
        <f>IF(X164='Listas suspensas'!$A$21,'Listas suspensas'!$B$23,IF(X164='Listas suspensas'!$A$22,'Listas suspensas'!$B$23,IF(X164='Listas suspensas'!$A$23,'Listas suspensas'!$B$22,IF(X164='Listas suspensas'!$A$26,'Listas suspensas'!$B$22,IF(X164='Listas suspensas'!$A$32,'Listas suspensas'!$B$22,IF(X164='Listas suspensas'!$A$33,'Listas suspensas'!$B$21,IF(X164='Listas suspensas'!$A$24,'Listas suspensas'!$B$22,IF(X164='Listas suspensas'!$A$30,'Listas suspensas'!$B$21,""))))))))</f>
        <v>6.5</v>
      </c>
      <c r="Z164" s="8" t="s">
        <v>80</v>
      </c>
      <c r="AA164" s="8">
        <v>2</v>
      </c>
      <c r="AB164" s="8" t="str">
        <f>IF(AA164='Listas suspensas'!$A$2,'Listas suspensas'!$B$2,IF(AA164='Listas suspensas'!$A$3,'Listas suspensas'!$B$3,IF(AA164='Listas suspensas'!$A$4,'Listas suspensas'!$B$4,IF(AA164='Listas suspensas'!$A$5,'Listas suspensas'!$B$5,IF(AA164='Listas suspensas'!$A$6,'Listas suspensas'!$B$6,"")))))</f>
        <v>Profunda e irregular</v>
      </c>
      <c r="AC164" s="8" t="str">
        <f>IF(AA164='Listas suspensas'!$A$2,'Listas suspensas'!$C$2,IF(AA164='Listas suspensas'!$A$3,'Listas suspensas'!$C$3,IF(AA164='Listas suspensas'!$A$4,'Listas suspensas'!$C$4,IF(AA164='Listas suspensas'!$A$5,'Listas suspensas'!$C$5,IF(AA164='Listas suspensas'!$A$6,'Listas suspensas'!$C$6,"")))))</f>
        <v>Indica a penetração profunda, mas desuniforme em toda a extensão do alburno.</v>
      </c>
      <c r="AP164" s="8" t="e">
        <f t="shared" si="42"/>
        <v>#DIV/0!</v>
      </c>
      <c r="AV164" s="8" t="e">
        <f t="shared" si="43"/>
        <v>#DIV/0!</v>
      </c>
      <c r="BB164" s="20" t="e">
        <f t="shared" si="35"/>
        <v>#DIV/0!</v>
      </c>
      <c r="BC164" s="20" t="e">
        <f t="shared" si="46"/>
        <v>#DIV/0!</v>
      </c>
      <c r="BD164" s="13">
        <v>0.88800000000000001</v>
      </c>
      <c r="BE164" s="18">
        <f t="shared" si="41"/>
        <v>888</v>
      </c>
      <c r="BF164" s="8">
        <v>0.3</v>
      </c>
      <c r="BG164" s="8">
        <v>0.13300000000000001</v>
      </c>
      <c r="BH164" s="8">
        <v>0.24</v>
      </c>
      <c r="BI164" s="13">
        <f t="shared" si="45"/>
        <v>0.67300000000000004</v>
      </c>
      <c r="BJ164" s="14">
        <v>44.6</v>
      </c>
      <c r="BK164" s="14">
        <v>19.7</v>
      </c>
      <c r="BL164" s="14">
        <v>35.700000000000003</v>
      </c>
      <c r="BM164" s="16">
        <f t="shared" si="36"/>
        <v>100</v>
      </c>
      <c r="BN164" s="21">
        <f t="shared" si="37"/>
        <v>2.66</v>
      </c>
      <c r="BO164" s="21">
        <f t="shared" si="38"/>
        <v>1.18</v>
      </c>
      <c r="BP164" s="21">
        <f t="shared" si="39"/>
        <v>2.13</v>
      </c>
      <c r="BQ164" s="14">
        <f t="shared" si="40"/>
        <v>5.97</v>
      </c>
      <c r="BR164" s="22" t="str">
        <f>IF(OR(AND(X164="Mourões", BQ164&gt;=6.5),AND(X164="Postes", BQ164&gt;=9.6),AND(X164="Dormentes", BQ164&gt;=9.6),AND(X164="Estacas", BQ164&gt;=6.5),AND(X164="Cruzetas", BQ164&gt;=6.5),AND(X164="Outros - Solo", BQ164&gt;=6.5),AND(X164="Outros - Suspenso",BQ164&gt;=4),AND(X164="Deck",BQ164&gt;=4)),'Listas suspensas'!$C$21,'Listas suspensas'!$C$22)</f>
        <v>Os resultados da análise química apresentaram uma retenção do produto inferior ao padrão mínimo exigido pela norma ABNT NBR 16143</v>
      </c>
    </row>
    <row r="165" spans="2:70" x14ac:dyDescent="0.25">
      <c r="B165" s="8" t="s">
        <v>457</v>
      </c>
      <c r="C165" s="8" t="s">
        <v>71</v>
      </c>
      <c r="F165" s="11">
        <v>45841</v>
      </c>
      <c r="G165" s="11">
        <v>45841</v>
      </c>
      <c r="H165" s="11">
        <v>45847</v>
      </c>
      <c r="I165" s="8" t="s">
        <v>241</v>
      </c>
      <c r="J165" s="8" t="s">
        <v>242</v>
      </c>
      <c r="K165" s="8" t="s">
        <v>243</v>
      </c>
      <c r="L165" s="8" t="s">
        <v>15</v>
      </c>
      <c r="M165" s="30" t="s">
        <v>361</v>
      </c>
      <c r="N165" s="8" t="s">
        <v>75</v>
      </c>
      <c r="O165" s="8" t="s">
        <v>94</v>
      </c>
      <c r="P165" s="28" t="s">
        <v>77</v>
      </c>
      <c r="Q165" s="16" t="s">
        <v>458</v>
      </c>
      <c r="X165" s="8" t="s">
        <v>180</v>
      </c>
      <c r="Y165" s="34">
        <f>IF(X165='Listas suspensas'!$A$21,'Listas suspensas'!$B$23,IF(X165='Listas suspensas'!$A$22,'Listas suspensas'!$B$23,IF(X165='Listas suspensas'!$A$23,'Listas suspensas'!$B$22,IF(X165='Listas suspensas'!$A$26,'Listas suspensas'!$B$22,IF(X165='Listas suspensas'!$A$32,'Listas suspensas'!$B$22,IF(X165='Listas suspensas'!$A$33,'Listas suspensas'!$B$21,IF(X165='Listas suspensas'!$A$24,'Listas suspensas'!$B$22,IF(X165='Listas suspensas'!$A$30,'Listas suspensas'!$B$21,""))))))))</f>
        <v>6.5</v>
      </c>
      <c r="Z165" s="8" t="s">
        <v>80</v>
      </c>
      <c r="AA165" s="8">
        <v>2</v>
      </c>
      <c r="AB165" s="8" t="str">
        <f>IF(AA165='Listas suspensas'!$A$2,'Listas suspensas'!$B$2,IF(AA165='Listas suspensas'!$A$3,'Listas suspensas'!$B$3,IF(AA165='Listas suspensas'!$A$4,'Listas suspensas'!$B$4,IF(AA165='Listas suspensas'!$A$5,'Listas suspensas'!$B$5,IF(AA165='Listas suspensas'!$A$6,'Listas suspensas'!$B$6,"")))))</f>
        <v>Profunda e irregular</v>
      </c>
      <c r="AC165" s="8" t="str">
        <f>IF(AA165='Listas suspensas'!$A$2,'Listas suspensas'!$C$2,IF(AA165='Listas suspensas'!$A$3,'Listas suspensas'!$C$3,IF(AA165='Listas suspensas'!$A$4,'Listas suspensas'!$C$4,IF(AA165='Listas suspensas'!$A$5,'Listas suspensas'!$C$5,IF(AA165='Listas suspensas'!$A$6,'Listas suspensas'!$C$6,"")))))</f>
        <v>Indica a penetração profunda, mas desuniforme em toda a extensão do alburno.</v>
      </c>
      <c r="AP165" s="8" t="e">
        <f t="shared" si="42"/>
        <v>#DIV/0!</v>
      </c>
      <c r="AV165" s="8" t="e">
        <f t="shared" si="43"/>
        <v>#DIV/0!</v>
      </c>
      <c r="BB165" s="20" t="e">
        <f t="shared" si="35"/>
        <v>#DIV/0!</v>
      </c>
      <c r="BC165" s="20" t="e">
        <f t="shared" si="46"/>
        <v>#DIV/0!</v>
      </c>
      <c r="BD165" s="13">
        <v>0.95799999999999996</v>
      </c>
      <c r="BE165" s="18">
        <f t="shared" si="41"/>
        <v>958</v>
      </c>
      <c r="BF165" s="8">
        <v>0.28899999999999998</v>
      </c>
      <c r="BG165" s="8">
        <v>0.14199999999999999</v>
      </c>
      <c r="BH165" s="8">
        <v>0.25600000000000001</v>
      </c>
      <c r="BI165" s="13">
        <f t="shared" si="45"/>
        <v>0.68699999999999994</v>
      </c>
      <c r="BJ165" s="14">
        <v>42.1</v>
      </c>
      <c r="BK165" s="14">
        <v>20.6</v>
      </c>
      <c r="BL165" s="14">
        <v>37.299999999999997</v>
      </c>
      <c r="BM165" s="16">
        <f t="shared" si="36"/>
        <v>100</v>
      </c>
      <c r="BN165" s="21">
        <f t="shared" si="37"/>
        <v>2.77</v>
      </c>
      <c r="BO165" s="21">
        <f t="shared" si="38"/>
        <v>1.36</v>
      </c>
      <c r="BP165" s="21">
        <f t="shared" si="39"/>
        <v>2.4500000000000002</v>
      </c>
      <c r="BQ165" s="14">
        <f t="shared" si="40"/>
        <v>6.58</v>
      </c>
      <c r="BR165" s="22" t="str">
        <f>IF(OR(AND(X165="Mourões", BQ165&gt;=6.5),AND(X165="Postes", BQ165&gt;=9.6),AND(X165="Dormentes", BQ165&gt;=9.6),AND(X165="Estacas", BQ165&gt;=6.5),AND(X165="Cruzetas", BQ165&gt;=6.5),AND(X165="Outros - Solo", BQ165&gt;=6.5),AND(X165="Outros - Suspenso",BQ165&gt;=4),AND(X165="Deck",BQ165&gt;=4)),'Listas suspensas'!$C$21,'Listas suspensas'!$C$22)</f>
        <v>Os resultados da análise química apresentaram uma retenção do produto inferior ao padrão mínimo exigido pela norma ABNT NBR 16143</v>
      </c>
    </row>
    <row r="166" spans="2:70" x14ac:dyDescent="0.25">
      <c r="B166" s="8" t="s">
        <v>459</v>
      </c>
      <c r="C166" s="8" t="s">
        <v>71</v>
      </c>
      <c r="F166" s="11">
        <v>45841</v>
      </c>
      <c r="G166" s="11">
        <v>45841</v>
      </c>
      <c r="H166" s="11">
        <v>45847</v>
      </c>
      <c r="I166" s="8" t="s">
        <v>241</v>
      </c>
      <c r="J166" s="8" t="s">
        <v>242</v>
      </c>
      <c r="K166" s="8" t="s">
        <v>243</v>
      </c>
      <c r="L166" s="8" t="s">
        <v>15</v>
      </c>
      <c r="M166" s="30" t="s">
        <v>361</v>
      </c>
      <c r="N166" s="8" t="s">
        <v>75</v>
      </c>
      <c r="O166" s="8" t="s">
        <v>94</v>
      </c>
      <c r="P166" s="28" t="s">
        <v>77</v>
      </c>
      <c r="Q166" s="16" t="s">
        <v>460</v>
      </c>
      <c r="X166" s="8" t="s">
        <v>180</v>
      </c>
      <c r="Y166" s="34">
        <f>IF(X166='Listas suspensas'!$A$21,'Listas suspensas'!$B$23,IF(X166='Listas suspensas'!$A$22,'Listas suspensas'!$B$23,IF(X166='Listas suspensas'!$A$23,'Listas suspensas'!$B$22,IF(X166='Listas suspensas'!$A$26,'Listas suspensas'!$B$22,IF(X166='Listas suspensas'!$A$32,'Listas suspensas'!$B$22,IF(X166='Listas suspensas'!$A$33,'Listas suspensas'!$B$21,IF(X166='Listas suspensas'!$A$24,'Listas suspensas'!$B$22,IF(X166='Listas suspensas'!$A$30,'Listas suspensas'!$B$21,""))))))))</f>
        <v>6.5</v>
      </c>
      <c r="Z166" s="8" t="s">
        <v>80</v>
      </c>
      <c r="AA166" s="8">
        <v>3</v>
      </c>
      <c r="AB166" s="8" t="str">
        <f>IF(AA166='Listas suspensas'!$A$2,'Listas suspensas'!$B$2,IF(AA166='Listas suspensas'!$A$3,'Listas suspensas'!$B$3,IF(AA166='Listas suspensas'!$A$4,'Listas suspensas'!$B$4,IF(AA166='Listas suspensas'!$A$5,'Listas suspensas'!$B$5,IF(AA166='Listas suspensas'!$A$6,'Listas suspensas'!$B$6,"")))))</f>
        <v xml:space="preserve"> Parcial e regular</v>
      </c>
      <c r="AC166" s="8" t="str">
        <f>IF(AA166='Listas suspensas'!$A$2,'Listas suspensas'!$C$2,IF(AA166='Listas suspensas'!$A$3,'Listas suspensas'!$C$3,IF(AA166='Listas suspensas'!$A$4,'Listas suspensas'!$C$4,IF(AA166='Listas suspensas'!$A$5,'Listas suspensas'!$C$5,IF(AA166='Listas suspensas'!$A$6,'Listas suspensas'!$C$6,"")))))</f>
        <v>Indica a penetração uniforme, mas não total pela extensão do alburno.</v>
      </c>
      <c r="AP166" s="8" t="e">
        <f t="shared" si="42"/>
        <v>#DIV/0!</v>
      </c>
      <c r="AV166" s="8" t="e">
        <f t="shared" si="43"/>
        <v>#DIV/0!</v>
      </c>
      <c r="BB166" s="20" t="e">
        <f t="shared" si="35"/>
        <v>#DIV/0!</v>
      </c>
      <c r="BC166" s="20" t="e">
        <f t="shared" si="46"/>
        <v>#DIV/0!</v>
      </c>
      <c r="BD166" s="13">
        <v>0.9</v>
      </c>
      <c r="BE166" s="18">
        <f t="shared" si="41"/>
        <v>900</v>
      </c>
      <c r="BF166" s="8">
        <v>0.20699999999999999</v>
      </c>
      <c r="BG166" s="8">
        <v>8.8999999999999996E-2</v>
      </c>
      <c r="BH166" s="8">
        <v>0.159</v>
      </c>
      <c r="BI166" s="13">
        <f t="shared" si="45"/>
        <v>0.45499999999999996</v>
      </c>
      <c r="BJ166" s="14">
        <v>45.5</v>
      </c>
      <c r="BK166" s="14">
        <v>19.7</v>
      </c>
      <c r="BL166" s="14">
        <v>34.799999999999997</v>
      </c>
      <c r="BM166" s="16">
        <f t="shared" si="36"/>
        <v>100</v>
      </c>
      <c r="BN166" s="21">
        <f t="shared" si="37"/>
        <v>1.86</v>
      </c>
      <c r="BO166" s="21">
        <f t="shared" si="38"/>
        <v>0.8</v>
      </c>
      <c r="BP166" s="21">
        <f t="shared" si="39"/>
        <v>1.43</v>
      </c>
      <c r="BQ166" s="14">
        <f t="shared" si="40"/>
        <v>4.09</v>
      </c>
      <c r="BR166" s="22" t="str">
        <f>IF(OR(AND(X166="Mourões", BQ166&gt;=6.5),AND(X166="Postes", BQ166&gt;=9.6),AND(X166="Dormentes", BQ166&gt;=9.6),AND(X166="Estacas", BQ166&gt;=6.5),AND(X166="Cruzetas", BQ166&gt;=6.5),AND(X166="Outros - Solo", BQ166&gt;=6.5),AND(X166="Outros - Suspenso",BQ166&gt;=4),AND(X166="Deck",BQ166&gt;=4)),'Listas suspensas'!$C$21,'Listas suspensas'!$C$22)</f>
        <v>Os resultados da análise química apresentaram uma retenção do produto inferior ao padrão mínimo exigido pela norma ABNT NBR 16143</v>
      </c>
    </row>
    <row r="167" spans="2:70" x14ac:dyDescent="0.25">
      <c r="B167" s="8" t="s">
        <v>461</v>
      </c>
      <c r="C167" s="8" t="s">
        <v>71</v>
      </c>
      <c r="F167" s="11">
        <v>45841</v>
      </c>
      <c r="G167" s="11">
        <v>45841</v>
      </c>
      <c r="H167" s="11">
        <v>45847</v>
      </c>
      <c r="I167" s="8" t="s">
        <v>241</v>
      </c>
      <c r="J167" s="8" t="s">
        <v>242</v>
      </c>
      <c r="K167" s="8" t="s">
        <v>243</v>
      </c>
      <c r="L167" s="8" t="s">
        <v>15</v>
      </c>
      <c r="M167" s="30" t="s">
        <v>361</v>
      </c>
      <c r="N167" s="8" t="s">
        <v>75</v>
      </c>
      <c r="O167" s="8" t="s">
        <v>94</v>
      </c>
      <c r="P167" s="28" t="s">
        <v>77</v>
      </c>
      <c r="Q167" s="16" t="s">
        <v>462</v>
      </c>
      <c r="X167" s="8" t="s">
        <v>180</v>
      </c>
      <c r="Y167" s="34">
        <f>IF(X167='Listas suspensas'!$A$21,'Listas suspensas'!$B$23,IF(X167='Listas suspensas'!$A$22,'Listas suspensas'!$B$23,IF(X167='Listas suspensas'!$A$23,'Listas suspensas'!$B$22,IF(X167='Listas suspensas'!$A$26,'Listas suspensas'!$B$22,IF(X167='Listas suspensas'!$A$32,'Listas suspensas'!$B$22,IF(X167='Listas suspensas'!$A$33,'Listas suspensas'!$B$21,IF(X167='Listas suspensas'!$A$24,'Listas suspensas'!$B$22,IF(X167='Listas suspensas'!$A$30,'Listas suspensas'!$B$21,""))))))))</f>
        <v>6.5</v>
      </c>
      <c r="Z167" s="8" t="s">
        <v>80</v>
      </c>
      <c r="AA167" s="8">
        <v>2</v>
      </c>
      <c r="AB167" s="8" t="str">
        <f>IF(AA167='Listas suspensas'!$A$2,'Listas suspensas'!$B$2,IF(AA167='Listas suspensas'!$A$3,'Listas suspensas'!$B$3,IF(AA167='Listas suspensas'!$A$4,'Listas suspensas'!$B$4,IF(AA167='Listas suspensas'!$A$5,'Listas suspensas'!$B$5,IF(AA167='Listas suspensas'!$A$6,'Listas suspensas'!$B$6,"")))))</f>
        <v>Profunda e irregular</v>
      </c>
      <c r="AC167" s="8" t="str">
        <f>IF(AA167='Listas suspensas'!$A$2,'Listas suspensas'!$C$2,IF(AA167='Listas suspensas'!$A$3,'Listas suspensas'!$C$3,IF(AA167='Listas suspensas'!$A$4,'Listas suspensas'!$C$4,IF(AA167='Listas suspensas'!$A$5,'Listas suspensas'!$C$5,IF(AA167='Listas suspensas'!$A$6,'Listas suspensas'!$C$6,"")))))</f>
        <v>Indica a penetração profunda, mas desuniforme em toda a extensão do alburno.</v>
      </c>
      <c r="AP167" s="8" t="e">
        <f t="shared" si="42"/>
        <v>#DIV/0!</v>
      </c>
      <c r="AV167" s="8" t="e">
        <f t="shared" si="43"/>
        <v>#DIV/0!</v>
      </c>
      <c r="BB167" s="20" t="e">
        <f t="shared" si="35"/>
        <v>#DIV/0!</v>
      </c>
      <c r="BC167" s="20" t="e">
        <f t="shared" si="46"/>
        <v>#DIV/0!</v>
      </c>
      <c r="BD167" s="13">
        <v>0.84199999999999997</v>
      </c>
      <c r="BE167" s="18">
        <f t="shared" si="41"/>
        <v>842</v>
      </c>
      <c r="BF167" s="8">
        <v>0.32600000000000001</v>
      </c>
      <c r="BG167" s="8">
        <v>0.17699999999999999</v>
      </c>
      <c r="BH167" s="8">
        <v>0.30599999999999999</v>
      </c>
      <c r="BI167" s="13">
        <f t="shared" si="45"/>
        <v>0.80899999999999994</v>
      </c>
      <c r="BJ167" s="14">
        <v>40.299999999999997</v>
      </c>
      <c r="BK167" s="14">
        <v>21.9</v>
      </c>
      <c r="BL167" s="14">
        <v>37.799999999999997</v>
      </c>
      <c r="BM167" s="16">
        <f t="shared" si="36"/>
        <v>100</v>
      </c>
      <c r="BN167" s="21">
        <f t="shared" si="37"/>
        <v>2.74</v>
      </c>
      <c r="BO167" s="21">
        <f t="shared" si="38"/>
        <v>1.49</v>
      </c>
      <c r="BP167" s="21">
        <f t="shared" si="39"/>
        <v>2.58</v>
      </c>
      <c r="BQ167" s="14">
        <f t="shared" si="40"/>
        <v>6.81</v>
      </c>
      <c r="BR167" s="22" t="str">
        <f>IF(OR(AND(X167="Mourões", BQ167&gt;=6.5),AND(X167="Postes", BQ167&gt;=9.6),AND(X167="Dormentes", BQ167&gt;=9.6),AND(X167="Estacas", BQ167&gt;=6.5),AND(X167="Cruzetas", BQ167&gt;=6.5),AND(X167="Outros - Solo", BQ167&gt;=6.5),AND(X167="Outros - Suspenso",BQ167&gt;=4),AND(X167="Deck",BQ167&gt;=4)),'Listas suspensas'!$C$21,'Listas suspensas'!$C$22)</f>
        <v>Os resultados da análise química apresentaram uma retenção do produto inferior ao padrão mínimo exigido pela norma ABNT NBR 16143</v>
      </c>
    </row>
    <row r="168" spans="2:70" x14ac:dyDescent="0.25">
      <c r="B168" s="8" t="s">
        <v>463</v>
      </c>
      <c r="C168" s="8" t="s">
        <v>71</v>
      </c>
      <c r="F168" s="11">
        <v>45841</v>
      </c>
      <c r="G168" s="11">
        <v>45841</v>
      </c>
      <c r="H168" s="11">
        <v>45847</v>
      </c>
      <c r="I168" s="8" t="s">
        <v>241</v>
      </c>
      <c r="J168" s="8" t="s">
        <v>242</v>
      </c>
      <c r="K168" s="8" t="s">
        <v>243</v>
      </c>
      <c r="L168" s="8" t="s">
        <v>15</v>
      </c>
      <c r="M168" s="30" t="s">
        <v>361</v>
      </c>
      <c r="N168" s="8" t="s">
        <v>75</v>
      </c>
      <c r="O168" s="8" t="s">
        <v>94</v>
      </c>
      <c r="P168" s="28" t="s">
        <v>77</v>
      </c>
      <c r="Q168" s="16" t="s">
        <v>464</v>
      </c>
      <c r="X168" s="8" t="s">
        <v>180</v>
      </c>
      <c r="Y168" s="34">
        <f>IF(X168='Listas suspensas'!$A$21,'Listas suspensas'!$B$23,IF(X168='Listas suspensas'!$A$22,'Listas suspensas'!$B$23,IF(X168='Listas suspensas'!$A$23,'Listas suspensas'!$B$22,IF(X168='Listas suspensas'!$A$26,'Listas suspensas'!$B$22,IF(X168='Listas suspensas'!$A$32,'Listas suspensas'!$B$22,IF(X168='Listas suspensas'!$A$33,'Listas suspensas'!$B$21,IF(X168='Listas suspensas'!$A$24,'Listas suspensas'!$B$22,IF(X168='Listas suspensas'!$A$30,'Listas suspensas'!$B$21,""))))))))</f>
        <v>6.5</v>
      </c>
      <c r="Z168" s="8" t="s">
        <v>80</v>
      </c>
      <c r="AA168" s="8">
        <v>2</v>
      </c>
      <c r="AB168" s="8" t="str">
        <f>IF(AA168='Listas suspensas'!$A$2,'Listas suspensas'!$B$2,IF(AA168='Listas suspensas'!$A$3,'Listas suspensas'!$B$3,IF(AA168='Listas suspensas'!$A$4,'Listas suspensas'!$B$4,IF(AA168='Listas suspensas'!$A$5,'Listas suspensas'!$B$5,IF(AA168='Listas suspensas'!$A$6,'Listas suspensas'!$B$6,"")))))</f>
        <v>Profunda e irregular</v>
      </c>
      <c r="AC168" s="8" t="str">
        <f>IF(AA168='Listas suspensas'!$A$2,'Listas suspensas'!$C$2,IF(AA168='Listas suspensas'!$A$3,'Listas suspensas'!$C$3,IF(AA168='Listas suspensas'!$A$4,'Listas suspensas'!$C$4,IF(AA168='Listas suspensas'!$A$5,'Listas suspensas'!$C$5,IF(AA168='Listas suspensas'!$A$6,'Listas suspensas'!$C$6,"")))))</f>
        <v>Indica a penetração profunda, mas desuniforme em toda a extensão do alburno.</v>
      </c>
      <c r="AP168" s="8" t="e">
        <f t="shared" si="42"/>
        <v>#DIV/0!</v>
      </c>
      <c r="AV168" s="8" t="e">
        <f t="shared" si="43"/>
        <v>#DIV/0!</v>
      </c>
      <c r="BB168" s="20" t="e">
        <f t="shared" ref="BB168:BB179" si="47">AVERAGE(AW168:BA168)</f>
        <v>#DIV/0!</v>
      </c>
      <c r="BC168" s="20" t="e">
        <f t="shared" si="46"/>
        <v>#DIV/0!</v>
      </c>
      <c r="BD168" s="13">
        <v>0.89600000000000002</v>
      </c>
      <c r="BE168" s="18">
        <f t="shared" si="41"/>
        <v>896</v>
      </c>
      <c r="BF168" s="8">
        <v>0.28000000000000003</v>
      </c>
      <c r="BG168" s="8">
        <v>0.13600000000000001</v>
      </c>
      <c r="BH168" s="8">
        <v>0.22</v>
      </c>
      <c r="BI168" s="13">
        <f t="shared" si="45"/>
        <v>0.63600000000000001</v>
      </c>
      <c r="BJ168" s="14">
        <v>44</v>
      </c>
      <c r="BK168" s="14">
        <v>21.4</v>
      </c>
      <c r="BL168" s="14">
        <v>34.6</v>
      </c>
      <c r="BM168" s="16">
        <f t="shared" ref="BM168:BM231" si="48">ROUND(SUM(BJ168:BL168),2)</f>
        <v>100</v>
      </c>
      <c r="BN168" s="21">
        <f t="shared" ref="BN168:BN231" si="49">ROUND((BF168/100)*BE168,2)</f>
        <v>2.5099999999999998</v>
      </c>
      <c r="BO168" s="21">
        <f t="shared" ref="BO168:BO231" si="50">ROUND((BG168/100)*BE168,2)</f>
        <v>1.22</v>
      </c>
      <c r="BP168" s="21">
        <f t="shared" ref="BP168:BP231" si="51">ROUND((BH168/100)*BE168,2)</f>
        <v>1.97</v>
      </c>
      <c r="BQ168" s="14">
        <f t="shared" ref="BQ168:BQ231" si="52">ROUND(SUM(BN168:BP168),2)</f>
        <v>5.7</v>
      </c>
      <c r="BR168" s="22" t="str">
        <f>IF(OR(AND(X168="Mourões", BQ168&gt;=6.5),AND(X168="Postes", BQ168&gt;=9.6),AND(X168="Dormentes", BQ168&gt;=9.6),AND(X168="Estacas", BQ168&gt;=6.5),AND(X168="Cruzetas", BQ168&gt;=6.5),AND(X168="Outros - Solo", BQ168&gt;=6.5),AND(X168="Outros - Suspenso",BQ168&gt;=4),AND(X168="Deck",BQ168&gt;=4)),'Listas suspensas'!$C$21,'Listas suspensas'!$C$22)</f>
        <v>Os resultados da análise química apresentaram uma retenção do produto inferior ao padrão mínimo exigido pela norma ABNT NBR 16143</v>
      </c>
    </row>
    <row r="169" spans="2:70" x14ac:dyDescent="0.25">
      <c r="B169" s="8" t="s">
        <v>465</v>
      </c>
      <c r="C169" s="8" t="s">
        <v>71</v>
      </c>
      <c r="F169" s="11">
        <v>45845</v>
      </c>
      <c r="G169" s="11">
        <v>45848</v>
      </c>
      <c r="H169" s="11">
        <v>45849</v>
      </c>
      <c r="I169" s="8" t="s">
        <v>466</v>
      </c>
      <c r="J169" s="8" t="s">
        <v>467</v>
      </c>
      <c r="K169" s="8" t="s">
        <v>144</v>
      </c>
      <c r="L169" s="8" t="s">
        <v>15</v>
      </c>
      <c r="M169" s="30" t="s">
        <v>468</v>
      </c>
      <c r="N169" s="8" t="s">
        <v>75</v>
      </c>
      <c r="O169" s="8" t="s">
        <v>94</v>
      </c>
      <c r="P169" s="28" t="s">
        <v>146</v>
      </c>
      <c r="Q169" s="16" t="s">
        <v>469</v>
      </c>
      <c r="X169" s="8" t="s">
        <v>101</v>
      </c>
      <c r="Y169" s="34">
        <f>IF(X169='Listas suspensas'!$A$21,'Listas suspensas'!$B$23,IF(X169='Listas suspensas'!$A$22,'Listas suspensas'!$B$23,IF(X169='Listas suspensas'!$A$23,'Listas suspensas'!$B$22,IF(X169='Listas suspensas'!$A$26,'Listas suspensas'!$B$22,IF(X169='Listas suspensas'!$A$32,'Listas suspensas'!$B$22,IF(X169='Listas suspensas'!$A$33,'Listas suspensas'!$B$21,IF(X169='Listas suspensas'!$A$24,'Listas suspensas'!$B$22,IF(X169='Listas suspensas'!$A$30,'Listas suspensas'!$B$21,""))))))))</f>
        <v>6.5</v>
      </c>
      <c r="Z169" s="8" t="s">
        <v>80</v>
      </c>
      <c r="AA169" s="8">
        <v>2</v>
      </c>
      <c r="AB169" s="8" t="str">
        <f>IF(AA169='Listas suspensas'!$A$2,'Listas suspensas'!$B$2,IF(AA169='Listas suspensas'!$A$3,'Listas suspensas'!$B$3,IF(AA169='Listas suspensas'!$A$4,'Listas suspensas'!$B$4,IF(AA169='Listas suspensas'!$A$5,'Listas suspensas'!$B$5,IF(AA169='Listas suspensas'!$A$6,'Listas suspensas'!$B$6,"")))))</f>
        <v>Profunda e irregular</v>
      </c>
      <c r="AC169" s="8" t="str">
        <f>IF(AA169='Listas suspensas'!$A$2,'Listas suspensas'!$C$2,IF(AA169='Listas suspensas'!$A$3,'Listas suspensas'!$C$3,IF(AA169='Listas suspensas'!$A$4,'Listas suspensas'!$C$4,IF(AA169='Listas suspensas'!$A$5,'Listas suspensas'!$C$5,IF(AA169='Listas suspensas'!$A$6,'Listas suspensas'!$C$6,"")))))</f>
        <v>Indica a penetração profunda, mas desuniforme em toda a extensão do alburno.</v>
      </c>
      <c r="AP169" s="8" t="e">
        <f t="shared" si="42"/>
        <v>#DIV/0!</v>
      </c>
      <c r="AV169" s="8" t="e">
        <f t="shared" si="43"/>
        <v>#DIV/0!</v>
      </c>
      <c r="BB169" s="20" t="e">
        <f t="shared" si="47"/>
        <v>#DIV/0!</v>
      </c>
      <c r="BC169" s="20" t="e">
        <f t="shared" si="46"/>
        <v>#DIV/0!</v>
      </c>
      <c r="BD169" s="13">
        <v>0.35299999999999998</v>
      </c>
      <c r="BE169" s="18">
        <f t="shared" si="41"/>
        <v>353</v>
      </c>
      <c r="BF169" s="8">
        <v>0.57599999999999996</v>
      </c>
      <c r="BG169" s="8">
        <v>0.19</v>
      </c>
      <c r="BH169" s="8">
        <v>0.39</v>
      </c>
      <c r="BI169" s="13">
        <f t="shared" si="45"/>
        <v>1.1560000000000001</v>
      </c>
      <c r="BJ169" s="14">
        <v>49.8</v>
      </c>
      <c r="BK169" s="14">
        <v>16.5</v>
      </c>
      <c r="BL169" s="14">
        <v>33.700000000000003</v>
      </c>
      <c r="BM169" s="16">
        <f t="shared" si="48"/>
        <v>100</v>
      </c>
      <c r="BN169" s="21">
        <f t="shared" si="49"/>
        <v>2.0299999999999998</v>
      </c>
      <c r="BO169" s="21">
        <f t="shared" si="50"/>
        <v>0.67</v>
      </c>
      <c r="BP169" s="21">
        <f t="shared" si="51"/>
        <v>1.38</v>
      </c>
      <c r="BQ169" s="14">
        <f t="shared" si="52"/>
        <v>4.08</v>
      </c>
      <c r="BR169" s="22" t="str">
        <f>IF(OR(AND(X169="Mourões", BQ169&gt;=6.5),AND(X169="Postes", BQ169&gt;=9.6),AND(X169="Dormentes", BQ169&gt;=9.6),AND(X169="Estacas", BQ169&gt;=6.5),AND(X169="Cruzetas", BQ169&gt;=6.5),AND(X169="Outros - Solo", BQ169&gt;=6.5),AND(X169="Outros - Suspenso",BQ169&gt;=4),AND(X169="Deck",BQ169&gt;=4)),'Listas suspensas'!$C$21,'Listas suspensas'!$C$22)</f>
        <v>Os resultados da análise química apresentaram uma retenção do produto inferior ao padrão mínimo exigido pela norma ABNT NBR 16143</v>
      </c>
    </row>
    <row r="170" spans="2:70" x14ac:dyDescent="0.25">
      <c r="B170" s="8" t="s">
        <v>470</v>
      </c>
      <c r="C170" s="8" t="s">
        <v>71</v>
      </c>
      <c r="F170" s="11">
        <v>45845</v>
      </c>
      <c r="G170" s="11">
        <v>45848</v>
      </c>
      <c r="H170" s="11">
        <v>45849</v>
      </c>
      <c r="I170" s="8" t="s">
        <v>466</v>
      </c>
      <c r="J170" s="8" t="s">
        <v>467</v>
      </c>
      <c r="K170" s="8" t="s">
        <v>144</v>
      </c>
      <c r="L170" s="8" t="s">
        <v>15</v>
      </c>
      <c r="M170" s="30" t="s">
        <v>468</v>
      </c>
      <c r="N170" s="8" t="s">
        <v>75</v>
      </c>
      <c r="O170" s="8" t="s">
        <v>94</v>
      </c>
      <c r="P170" s="28" t="s">
        <v>471</v>
      </c>
      <c r="Q170" s="16" t="s">
        <v>472</v>
      </c>
      <c r="X170" s="8" t="s">
        <v>473</v>
      </c>
      <c r="Y170" s="34">
        <f>IF(X170='Listas suspensas'!$A$21,'Listas suspensas'!$B$23,IF(X170='Listas suspensas'!$A$22,'Listas suspensas'!$B$23,IF(X170='Listas suspensas'!$A$23,'Listas suspensas'!$B$22,IF(X170='Listas suspensas'!$A$26,'Listas suspensas'!$B$22,IF(X170='Listas suspensas'!$A$32,'Listas suspensas'!$B$22,IF(X170='Listas suspensas'!$A$33,'Listas suspensas'!$B$21,IF(X170='Listas suspensas'!$A$24,'Listas suspensas'!$B$22,IF(X170='Listas suspensas'!$A$30,'Listas suspensas'!$B$21,""))))))))</f>
        <v>4</v>
      </c>
      <c r="Z170" s="8" t="s">
        <v>80</v>
      </c>
      <c r="AA170" s="8">
        <v>3</v>
      </c>
      <c r="AB170" s="8" t="str">
        <f>IF(AA170='Listas suspensas'!$A$2,'Listas suspensas'!$B$2,IF(AA170='Listas suspensas'!$A$3,'Listas suspensas'!$B$3,IF(AA170='Listas suspensas'!$A$4,'Listas suspensas'!$B$4,IF(AA170='Listas suspensas'!$A$5,'Listas suspensas'!$B$5,IF(AA170='Listas suspensas'!$A$6,'Listas suspensas'!$B$6,"")))))</f>
        <v xml:space="preserve"> Parcial e regular</v>
      </c>
      <c r="AC170" s="8" t="str">
        <f>IF(AA170='Listas suspensas'!$A$2,'Listas suspensas'!$C$2,IF(AA170='Listas suspensas'!$A$3,'Listas suspensas'!$C$3,IF(AA170='Listas suspensas'!$A$4,'Listas suspensas'!$C$4,IF(AA170='Listas suspensas'!$A$5,'Listas suspensas'!$C$5,IF(AA170='Listas suspensas'!$A$6,'Listas suspensas'!$C$6,"")))))</f>
        <v>Indica a penetração uniforme, mas não total pela extensão do alburno.</v>
      </c>
      <c r="AP170" s="8" t="e">
        <f t="shared" si="42"/>
        <v>#DIV/0!</v>
      </c>
      <c r="AV170" s="8" t="e">
        <f t="shared" si="43"/>
        <v>#DIV/0!</v>
      </c>
      <c r="BB170" s="20" t="e">
        <f t="shared" si="47"/>
        <v>#DIV/0!</v>
      </c>
      <c r="BC170" s="20" t="e">
        <f t="shared" si="46"/>
        <v>#DIV/0!</v>
      </c>
      <c r="BD170" s="13">
        <v>0.35</v>
      </c>
      <c r="BE170" s="18">
        <f t="shared" si="41"/>
        <v>350</v>
      </c>
      <c r="BF170" s="8">
        <v>0.34899999999999998</v>
      </c>
      <c r="BG170" s="8">
        <v>0.129</v>
      </c>
      <c r="BH170" s="8">
        <v>0.26800000000000002</v>
      </c>
      <c r="BI170" s="13">
        <f t="shared" si="45"/>
        <v>0.746</v>
      </c>
      <c r="BJ170" s="14">
        <v>46.8</v>
      </c>
      <c r="BK170" s="14">
        <v>17.2</v>
      </c>
      <c r="BL170" s="14">
        <v>36</v>
      </c>
      <c r="BM170" s="16">
        <f t="shared" si="48"/>
        <v>100</v>
      </c>
      <c r="BN170" s="21">
        <f t="shared" si="49"/>
        <v>1.22</v>
      </c>
      <c r="BO170" s="21">
        <f t="shared" si="50"/>
        <v>0.45</v>
      </c>
      <c r="BP170" s="21">
        <f t="shared" si="51"/>
        <v>0.94</v>
      </c>
      <c r="BQ170" s="14">
        <f t="shared" si="52"/>
        <v>2.61</v>
      </c>
      <c r="BR170" s="22" t="str">
        <f>IF(OR(AND(X170="Mourões", BQ170&gt;=6.5),AND(X170="Postes", BQ170&gt;=9.6),AND(X170="Dormentes", BQ170&gt;=9.6),AND(X170="Estacas", BQ170&gt;=6.5),AND(X170="Cruzetas", BQ170&gt;=6.5),AND(X170="Outros - Solo", BQ170&gt;=6.5),AND(X170="Outros - Suspenso",BQ170&gt;=4),AND(X170="Deck",BQ170&gt;=4)),'Listas suspensas'!$C$21,'Listas suspensas'!$C$22)</f>
        <v>Os resultados da análise química apresentaram uma retenção do produto inferior ao padrão mínimo exigido pela norma ABNT NBR 16143</v>
      </c>
    </row>
    <row r="171" spans="2:70" x14ac:dyDescent="0.25">
      <c r="B171" s="8" t="s">
        <v>474</v>
      </c>
      <c r="C171" s="8" t="s">
        <v>71</v>
      </c>
      <c r="F171" s="11">
        <v>45866</v>
      </c>
      <c r="G171" s="11">
        <v>45866</v>
      </c>
      <c r="H171" s="11">
        <v>45870</v>
      </c>
      <c r="I171" s="8" t="s">
        <v>241</v>
      </c>
      <c r="J171" s="8" t="s">
        <v>242</v>
      </c>
      <c r="K171" s="8" t="s">
        <v>243</v>
      </c>
      <c r="L171" s="8" t="s">
        <v>15</v>
      </c>
      <c r="M171" s="30" t="s">
        <v>361</v>
      </c>
      <c r="N171" s="8" t="s">
        <v>75</v>
      </c>
      <c r="O171" s="8" t="s">
        <v>94</v>
      </c>
      <c r="P171" s="28" t="s">
        <v>77</v>
      </c>
      <c r="Q171" s="16" t="s">
        <v>475</v>
      </c>
      <c r="X171" s="8" t="s">
        <v>180</v>
      </c>
      <c r="Y171" s="34">
        <f>IF(X171='Listas suspensas'!$A$21,'Listas suspensas'!$B$23,IF(X171='Listas suspensas'!$A$22,'Listas suspensas'!$B$23,IF(X171='Listas suspensas'!$A$23,'Listas suspensas'!$B$22,IF(X171='Listas suspensas'!$A$26,'Listas suspensas'!$B$22,IF(X171='Listas suspensas'!$A$32,'Listas suspensas'!$B$22,IF(X171='Listas suspensas'!$A$33,'Listas suspensas'!$B$21,IF(X171='Listas suspensas'!$A$24,'Listas suspensas'!$B$22,IF(X171='Listas suspensas'!$A$30,'Listas suspensas'!$B$21,""))))))))</f>
        <v>6.5</v>
      </c>
      <c r="Z171" s="8" t="s">
        <v>80</v>
      </c>
      <c r="AA171" s="8">
        <v>2</v>
      </c>
      <c r="AB171" s="8" t="str">
        <f>IF(AA171='Listas suspensas'!$A$2,'Listas suspensas'!$B$2,IF(AA171='Listas suspensas'!$A$3,'Listas suspensas'!$B$3,IF(AA171='Listas suspensas'!$A$4,'Listas suspensas'!$B$4,IF(AA171='Listas suspensas'!$A$5,'Listas suspensas'!$B$5,IF(AA171='Listas suspensas'!$A$6,'Listas suspensas'!$B$6,"")))))</f>
        <v>Profunda e irregular</v>
      </c>
      <c r="AC171" s="8" t="str">
        <f>IF(AA171='Listas suspensas'!$A$2,'Listas suspensas'!$C$2,IF(AA171='Listas suspensas'!$A$3,'Listas suspensas'!$C$3,IF(AA171='Listas suspensas'!$A$4,'Listas suspensas'!$C$4,IF(AA171='Listas suspensas'!$A$5,'Listas suspensas'!$C$5,IF(AA171='Listas suspensas'!$A$6,'Listas suspensas'!$C$6,"")))))</f>
        <v>Indica a penetração profunda, mas desuniforme em toda a extensão do alburno.</v>
      </c>
      <c r="AP171" s="8" t="e">
        <f t="shared" si="42"/>
        <v>#DIV/0!</v>
      </c>
      <c r="AV171" s="8" t="e">
        <f t="shared" si="43"/>
        <v>#DIV/0!</v>
      </c>
      <c r="BB171" s="20" t="e">
        <f t="shared" si="47"/>
        <v>#DIV/0!</v>
      </c>
      <c r="BC171" s="20" t="e">
        <f t="shared" si="46"/>
        <v>#DIV/0!</v>
      </c>
      <c r="BD171" s="13">
        <v>0.91800000000000004</v>
      </c>
      <c r="BE171" s="18">
        <f t="shared" si="41"/>
        <v>918</v>
      </c>
      <c r="BF171" s="8">
        <v>0.2</v>
      </c>
      <c r="BG171" s="8">
        <v>9.4E-2</v>
      </c>
      <c r="BH171" s="8">
        <v>0.13800000000000001</v>
      </c>
      <c r="BI171" s="13">
        <f t="shared" si="45"/>
        <v>0.43200000000000005</v>
      </c>
      <c r="BJ171" s="14">
        <v>46.3</v>
      </c>
      <c r="BK171" s="14">
        <v>21.7</v>
      </c>
      <c r="BL171" s="14">
        <v>32</v>
      </c>
      <c r="BM171" s="16">
        <f t="shared" si="48"/>
        <v>100</v>
      </c>
      <c r="BN171" s="21">
        <f t="shared" si="49"/>
        <v>1.84</v>
      </c>
      <c r="BO171" s="21">
        <f t="shared" si="50"/>
        <v>0.86</v>
      </c>
      <c r="BP171" s="21">
        <f t="shared" si="51"/>
        <v>1.27</v>
      </c>
      <c r="BQ171" s="14">
        <f t="shared" si="52"/>
        <v>3.97</v>
      </c>
      <c r="BR171" s="22" t="str">
        <f>IF(OR(AND(X171="Mourões", BQ171&gt;=6.5),AND(X171="Postes", BQ171&gt;=9.6),AND(X171="Dormentes", BQ171&gt;=9.6),AND(X171="Estacas", BQ171&gt;=6.5),AND(X171="Cruzetas", BQ171&gt;=6.5),AND(X171="Outros - Solo", BQ171&gt;=6.5),AND(X171="Outros - Suspenso",BQ171&gt;=4),AND(X171="Deck",BQ171&gt;=4)),'Listas suspensas'!$C$21,'Listas suspensas'!$C$22)</f>
        <v>Os resultados da análise química apresentaram uma retenção do produto inferior ao padrão mínimo exigido pela norma ABNT NBR 16143</v>
      </c>
    </row>
    <row r="172" spans="2:70" x14ac:dyDescent="0.25">
      <c r="B172" s="8" t="s">
        <v>476</v>
      </c>
      <c r="C172" s="8" t="s">
        <v>71</v>
      </c>
      <c r="F172" s="11">
        <v>45866</v>
      </c>
      <c r="G172" s="11">
        <v>45866</v>
      </c>
      <c r="H172" s="11">
        <v>45870</v>
      </c>
      <c r="I172" s="8" t="s">
        <v>241</v>
      </c>
      <c r="J172" s="8" t="s">
        <v>242</v>
      </c>
      <c r="K172" s="8" t="s">
        <v>243</v>
      </c>
      <c r="L172" s="8" t="s">
        <v>15</v>
      </c>
      <c r="M172" s="30" t="s">
        <v>361</v>
      </c>
      <c r="N172" s="8" t="s">
        <v>75</v>
      </c>
      <c r="O172" s="8" t="s">
        <v>94</v>
      </c>
      <c r="P172" s="28" t="s">
        <v>77</v>
      </c>
      <c r="Q172" s="16" t="s">
        <v>477</v>
      </c>
      <c r="X172" s="8" t="s">
        <v>180</v>
      </c>
      <c r="Y172" s="34">
        <f>IF(X172='Listas suspensas'!$A$21,'Listas suspensas'!$B$23,IF(X172='Listas suspensas'!$A$22,'Listas suspensas'!$B$23,IF(X172='Listas suspensas'!$A$23,'Listas suspensas'!$B$22,IF(X172='Listas suspensas'!$A$26,'Listas suspensas'!$B$22,IF(X172='Listas suspensas'!$A$32,'Listas suspensas'!$B$22,IF(X172='Listas suspensas'!$A$33,'Listas suspensas'!$B$21,IF(X172='Listas suspensas'!$A$24,'Listas suspensas'!$B$22,IF(X172='Listas suspensas'!$A$30,'Listas suspensas'!$B$21,""))))))))</f>
        <v>6.5</v>
      </c>
      <c r="Z172" s="8" t="s">
        <v>80</v>
      </c>
      <c r="AA172" s="8">
        <v>2</v>
      </c>
      <c r="AB172" s="8" t="str">
        <f>IF(AA172='Listas suspensas'!$A$2,'Listas suspensas'!$B$2,IF(AA172='Listas suspensas'!$A$3,'Listas suspensas'!$B$3,IF(AA172='Listas suspensas'!$A$4,'Listas suspensas'!$B$4,IF(AA172='Listas suspensas'!$A$5,'Listas suspensas'!$B$5,IF(AA172='Listas suspensas'!$A$6,'Listas suspensas'!$B$6,"")))))</f>
        <v>Profunda e irregular</v>
      </c>
      <c r="AC172" s="8" t="str">
        <f>IF(AA172='Listas suspensas'!$A$2,'Listas suspensas'!$C$2,IF(AA172='Listas suspensas'!$A$3,'Listas suspensas'!$C$3,IF(AA172='Listas suspensas'!$A$4,'Listas suspensas'!$C$4,IF(AA172='Listas suspensas'!$A$5,'Listas suspensas'!$C$5,IF(AA172='Listas suspensas'!$A$6,'Listas suspensas'!$C$6,"")))))</f>
        <v>Indica a penetração profunda, mas desuniforme em toda a extensão do alburno.</v>
      </c>
      <c r="AP172" s="8" t="e">
        <f t="shared" si="42"/>
        <v>#DIV/0!</v>
      </c>
      <c r="AV172" s="8" t="e">
        <f t="shared" si="43"/>
        <v>#DIV/0!</v>
      </c>
      <c r="BB172" s="20" t="e">
        <f t="shared" si="47"/>
        <v>#DIV/0!</v>
      </c>
      <c r="BC172" s="20" t="e">
        <f t="shared" si="46"/>
        <v>#DIV/0!</v>
      </c>
      <c r="BD172" s="13">
        <v>0.92600000000000005</v>
      </c>
      <c r="BE172" s="18">
        <f t="shared" si="41"/>
        <v>926</v>
      </c>
      <c r="BF172" s="8">
        <v>0.23200000000000001</v>
      </c>
      <c r="BG172" s="8">
        <v>0.11600000000000001</v>
      </c>
      <c r="BH172" s="8">
        <v>0.19900000000000001</v>
      </c>
      <c r="BI172" s="13">
        <f t="shared" si="45"/>
        <v>0.54700000000000004</v>
      </c>
      <c r="BJ172" s="14">
        <v>42.4</v>
      </c>
      <c r="BK172" s="14">
        <v>21.2</v>
      </c>
      <c r="BL172" s="14">
        <v>36.4</v>
      </c>
      <c r="BM172" s="16">
        <f t="shared" si="48"/>
        <v>100</v>
      </c>
      <c r="BN172" s="21">
        <f t="shared" si="49"/>
        <v>2.15</v>
      </c>
      <c r="BO172" s="21">
        <f t="shared" si="50"/>
        <v>1.07</v>
      </c>
      <c r="BP172" s="21">
        <f t="shared" si="51"/>
        <v>1.84</v>
      </c>
      <c r="BQ172" s="14">
        <f t="shared" si="52"/>
        <v>5.0599999999999996</v>
      </c>
      <c r="BR172" s="22" t="str">
        <f>IF(OR(AND(X172="Mourões", BQ172&gt;=6.5),AND(X172="Postes", BQ172&gt;=9.6),AND(X172="Dormentes", BQ172&gt;=9.6),AND(X172="Estacas", BQ172&gt;=6.5),AND(X172="Cruzetas", BQ172&gt;=6.5),AND(X172="Outros - Solo", BQ172&gt;=6.5),AND(X172="Outros - Suspenso",BQ172&gt;=4),AND(X172="Deck",BQ172&gt;=4)),'Listas suspensas'!$C$21,'Listas suspensas'!$C$22)</f>
        <v>Os resultados da análise química apresentaram uma retenção do produto inferior ao padrão mínimo exigido pela norma ABNT NBR 16143</v>
      </c>
    </row>
    <row r="173" spans="2:70" x14ac:dyDescent="0.25">
      <c r="B173" s="8" t="s">
        <v>478</v>
      </c>
      <c r="C173" s="8" t="s">
        <v>71</v>
      </c>
      <c r="F173" s="11">
        <v>45866</v>
      </c>
      <c r="G173" s="11">
        <v>45866</v>
      </c>
      <c r="H173" s="11">
        <v>45870</v>
      </c>
      <c r="I173" s="8" t="s">
        <v>241</v>
      </c>
      <c r="J173" s="8" t="s">
        <v>242</v>
      </c>
      <c r="K173" s="8" t="s">
        <v>243</v>
      </c>
      <c r="L173" s="8" t="s">
        <v>15</v>
      </c>
      <c r="M173" s="30" t="s">
        <v>361</v>
      </c>
      <c r="N173" s="8" t="s">
        <v>75</v>
      </c>
      <c r="O173" s="8" t="s">
        <v>94</v>
      </c>
      <c r="P173" s="28" t="s">
        <v>77</v>
      </c>
      <c r="Q173" s="16" t="s">
        <v>479</v>
      </c>
      <c r="X173" s="8" t="s">
        <v>180</v>
      </c>
      <c r="Y173" s="34">
        <f>IF(X173='Listas suspensas'!$A$21,'Listas suspensas'!$B$23,IF(X173='Listas suspensas'!$A$22,'Listas suspensas'!$B$23,IF(X173='Listas suspensas'!$A$23,'Listas suspensas'!$B$22,IF(X173='Listas suspensas'!$A$26,'Listas suspensas'!$B$22,IF(X173='Listas suspensas'!$A$32,'Listas suspensas'!$B$22,IF(X173='Listas suspensas'!$A$33,'Listas suspensas'!$B$21,IF(X173='Listas suspensas'!$A$24,'Listas suspensas'!$B$22,IF(X173='Listas suspensas'!$A$30,'Listas suspensas'!$B$21,""))))))))</f>
        <v>6.5</v>
      </c>
      <c r="Z173" s="8" t="s">
        <v>80</v>
      </c>
      <c r="AA173" s="8">
        <v>2</v>
      </c>
      <c r="AB173" s="8" t="str">
        <f>IF(AA173='Listas suspensas'!$A$2,'Listas suspensas'!$B$2,IF(AA173='Listas suspensas'!$A$3,'Listas suspensas'!$B$3,IF(AA173='Listas suspensas'!$A$4,'Listas suspensas'!$B$4,IF(AA173='Listas suspensas'!$A$5,'Listas suspensas'!$B$5,IF(AA173='Listas suspensas'!$A$6,'Listas suspensas'!$B$6,"")))))</f>
        <v>Profunda e irregular</v>
      </c>
      <c r="AC173" s="8" t="str">
        <f>IF(AA173='Listas suspensas'!$A$2,'Listas suspensas'!$C$2,IF(AA173='Listas suspensas'!$A$3,'Listas suspensas'!$C$3,IF(AA173='Listas suspensas'!$A$4,'Listas suspensas'!$C$4,IF(AA173='Listas suspensas'!$A$5,'Listas suspensas'!$C$5,IF(AA173='Listas suspensas'!$A$6,'Listas suspensas'!$C$6,"")))))</f>
        <v>Indica a penetração profunda, mas desuniforme em toda a extensão do alburno.</v>
      </c>
      <c r="AP173" s="8" t="e">
        <f t="shared" si="42"/>
        <v>#DIV/0!</v>
      </c>
      <c r="AV173" s="8" t="e">
        <f t="shared" si="43"/>
        <v>#DIV/0!</v>
      </c>
      <c r="BB173" s="20" t="e">
        <f t="shared" si="47"/>
        <v>#DIV/0!</v>
      </c>
      <c r="BC173" s="20" t="e">
        <f t="shared" si="46"/>
        <v>#DIV/0!</v>
      </c>
      <c r="BD173" s="13">
        <v>0.84599999999999997</v>
      </c>
      <c r="BE173" s="18">
        <f t="shared" si="41"/>
        <v>846</v>
      </c>
      <c r="BF173" s="8">
        <v>0.35099999999999998</v>
      </c>
      <c r="BG173" s="8">
        <v>0.17599999999999999</v>
      </c>
      <c r="BH173" s="8">
        <v>0.31</v>
      </c>
      <c r="BI173" s="13">
        <f t="shared" si="45"/>
        <v>0.83699999999999997</v>
      </c>
      <c r="BJ173" s="14">
        <v>41.9</v>
      </c>
      <c r="BK173" s="14">
        <v>21</v>
      </c>
      <c r="BL173" s="14">
        <v>37.1</v>
      </c>
      <c r="BM173" s="16">
        <f t="shared" si="48"/>
        <v>100</v>
      </c>
      <c r="BN173" s="21">
        <f t="shared" si="49"/>
        <v>2.97</v>
      </c>
      <c r="BO173" s="21">
        <f t="shared" si="50"/>
        <v>1.49</v>
      </c>
      <c r="BP173" s="21">
        <f t="shared" si="51"/>
        <v>2.62</v>
      </c>
      <c r="BQ173" s="14">
        <f t="shared" si="52"/>
        <v>7.08</v>
      </c>
      <c r="BR173" s="22" t="str">
        <f>IF(OR(AND(X173="Mourões", BQ173&gt;=6.5),AND(X173="Postes", BQ173&gt;=9.6),AND(X173="Dormentes", BQ173&gt;=9.6),AND(X173="Estacas", BQ173&gt;=6.5),AND(X173="Cruzetas", BQ173&gt;=6.5),AND(X173="Outros - Solo", BQ173&gt;=6.5),AND(X173="Outros - Suspenso",BQ173&gt;=4),AND(X173="Deck",BQ173&gt;=4)),'Listas suspensas'!$C$21,'Listas suspensas'!$C$22)</f>
        <v>Os resultados da análise química apresentaram uma retenção do produto inferior ao padrão mínimo exigido pela norma ABNT NBR 16143</v>
      </c>
    </row>
    <row r="174" spans="2:70" x14ac:dyDescent="0.25">
      <c r="B174" s="8" t="s">
        <v>480</v>
      </c>
      <c r="C174" s="8" t="s">
        <v>71</v>
      </c>
      <c r="F174" s="11">
        <v>45866</v>
      </c>
      <c r="G174" s="11">
        <v>45866</v>
      </c>
      <c r="H174" s="11">
        <v>45870</v>
      </c>
      <c r="I174" s="8" t="s">
        <v>241</v>
      </c>
      <c r="J174" s="8" t="s">
        <v>242</v>
      </c>
      <c r="K174" s="8" t="s">
        <v>243</v>
      </c>
      <c r="L174" s="8" t="s">
        <v>15</v>
      </c>
      <c r="M174" s="30" t="s">
        <v>361</v>
      </c>
      <c r="N174" s="8" t="s">
        <v>75</v>
      </c>
      <c r="O174" s="8" t="s">
        <v>94</v>
      </c>
      <c r="P174" s="28" t="s">
        <v>77</v>
      </c>
      <c r="Q174" s="16" t="s">
        <v>481</v>
      </c>
      <c r="X174" s="8" t="s">
        <v>180</v>
      </c>
      <c r="Y174" s="34">
        <f>IF(X174='Listas suspensas'!$A$21,'Listas suspensas'!$B$23,IF(X174='Listas suspensas'!$A$22,'Listas suspensas'!$B$23,IF(X174='Listas suspensas'!$A$23,'Listas suspensas'!$B$22,IF(X174='Listas suspensas'!$A$26,'Listas suspensas'!$B$22,IF(X174='Listas suspensas'!$A$32,'Listas suspensas'!$B$22,IF(X174='Listas suspensas'!$A$33,'Listas suspensas'!$B$21,IF(X174='Listas suspensas'!$A$24,'Listas suspensas'!$B$22,IF(X174='Listas suspensas'!$A$30,'Listas suspensas'!$B$21,""))))))))</f>
        <v>6.5</v>
      </c>
      <c r="Z174" s="8" t="s">
        <v>80</v>
      </c>
      <c r="AA174" s="8">
        <v>2</v>
      </c>
      <c r="AB174" s="8" t="str">
        <f>IF(AA174='Listas suspensas'!$A$2,'Listas suspensas'!$B$2,IF(AA174='Listas suspensas'!$A$3,'Listas suspensas'!$B$3,IF(AA174='Listas suspensas'!$A$4,'Listas suspensas'!$B$4,IF(AA174='Listas suspensas'!$A$5,'Listas suspensas'!$B$5,IF(AA174='Listas suspensas'!$A$6,'Listas suspensas'!$B$6,"")))))</f>
        <v>Profunda e irregular</v>
      </c>
      <c r="AC174" s="8" t="str">
        <f>IF(AA174='Listas suspensas'!$A$2,'Listas suspensas'!$C$2,IF(AA174='Listas suspensas'!$A$3,'Listas suspensas'!$C$3,IF(AA174='Listas suspensas'!$A$4,'Listas suspensas'!$C$4,IF(AA174='Listas suspensas'!$A$5,'Listas suspensas'!$C$5,IF(AA174='Listas suspensas'!$A$6,'Listas suspensas'!$C$6,"")))))</f>
        <v>Indica a penetração profunda, mas desuniforme em toda a extensão do alburno.</v>
      </c>
      <c r="AP174" s="8" t="e">
        <f t="shared" si="42"/>
        <v>#DIV/0!</v>
      </c>
      <c r="AV174" s="8" t="e">
        <f t="shared" si="43"/>
        <v>#DIV/0!</v>
      </c>
      <c r="BB174" s="20" t="e">
        <f t="shared" si="47"/>
        <v>#DIV/0!</v>
      </c>
      <c r="BC174" s="20" t="e">
        <f t="shared" si="46"/>
        <v>#DIV/0!</v>
      </c>
      <c r="BD174" s="13">
        <v>0.82199999999999995</v>
      </c>
      <c r="BE174" s="18">
        <f t="shared" si="41"/>
        <v>822</v>
      </c>
      <c r="BF174" s="8">
        <v>0.378</v>
      </c>
      <c r="BG174" s="8">
        <v>0.19400000000000001</v>
      </c>
      <c r="BH174" s="8">
        <v>0.35099999999999998</v>
      </c>
      <c r="BI174" s="13">
        <f t="shared" si="45"/>
        <v>0.92300000000000004</v>
      </c>
      <c r="BJ174" s="14">
        <v>41</v>
      </c>
      <c r="BK174" s="14">
        <v>21</v>
      </c>
      <c r="BL174" s="14">
        <v>38</v>
      </c>
      <c r="BM174" s="16">
        <f t="shared" si="48"/>
        <v>100</v>
      </c>
      <c r="BN174" s="21">
        <f t="shared" si="49"/>
        <v>3.11</v>
      </c>
      <c r="BO174" s="21">
        <f t="shared" si="50"/>
        <v>1.59</v>
      </c>
      <c r="BP174" s="21">
        <f t="shared" si="51"/>
        <v>2.89</v>
      </c>
      <c r="BQ174" s="14">
        <f t="shared" si="52"/>
        <v>7.59</v>
      </c>
      <c r="BR174" s="22" t="str">
        <f>IF(OR(AND(X174="Mourões", BQ174&gt;=6.5),AND(X174="Postes", BQ174&gt;=9.6),AND(X174="Dormentes", BQ174&gt;=9.6),AND(X174="Estacas", BQ174&gt;=6.5),AND(X174="Cruzetas", BQ174&gt;=6.5),AND(X174="Outros - Solo", BQ174&gt;=6.5),AND(X174="Outros - Suspenso",BQ174&gt;=4),AND(X174="Deck",BQ174&gt;=4)),'Listas suspensas'!$C$21,'Listas suspensas'!$C$22)</f>
        <v>Os resultados da análise química apresentaram uma retenção do produto inferior ao padrão mínimo exigido pela norma ABNT NBR 16143</v>
      </c>
    </row>
    <row r="175" spans="2:70" x14ac:dyDescent="0.25">
      <c r="B175" s="8" t="s">
        <v>482</v>
      </c>
      <c r="C175" s="8" t="s">
        <v>71</v>
      </c>
      <c r="F175" s="11">
        <v>45866</v>
      </c>
      <c r="G175" s="11">
        <v>45866</v>
      </c>
      <c r="H175" s="11">
        <v>45870</v>
      </c>
      <c r="I175" s="8" t="s">
        <v>483</v>
      </c>
      <c r="J175" s="8" t="s">
        <v>484</v>
      </c>
      <c r="K175" s="8" t="s">
        <v>74</v>
      </c>
      <c r="L175" s="8" t="s">
        <v>15</v>
      </c>
      <c r="M175" s="30" t="s">
        <v>485</v>
      </c>
      <c r="N175" s="8" t="s">
        <v>75</v>
      </c>
      <c r="O175" s="8" t="s">
        <v>94</v>
      </c>
      <c r="P175" s="28" t="s">
        <v>146</v>
      </c>
      <c r="Q175" s="16" t="s">
        <v>486</v>
      </c>
      <c r="X175" s="8" t="s">
        <v>79</v>
      </c>
      <c r="Y175" s="34">
        <f>IF(X175='Listas suspensas'!$A$21,'Listas suspensas'!$B$23,IF(X175='Listas suspensas'!$A$22,'Listas suspensas'!$B$23,IF(X175='Listas suspensas'!$A$23,'Listas suspensas'!$B$22,IF(X175='Listas suspensas'!$A$26,'Listas suspensas'!$B$22,IF(X175='Listas suspensas'!$A$32,'Listas suspensas'!$B$22,IF(X175='Listas suspensas'!$A$33,'Listas suspensas'!$B$21,IF(X175='Listas suspensas'!$A$24,'Listas suspensas'!$B$22,IF(X175='Listas suspensas'!$A$30,'Listas suspensas'!$B$21,""))))))))</f>
        <v>6.5</v>
      </c>
      <c r="Z175" s="8" t="str">
        <f>IF(X175='Listas suspensas'!$A$23,'Listas suspensas'!$A$9,"")</f>
        <v>NBR 16143</v>
      </c>
      <c r="AA175" s="8">
        <v>4</v>
      </c>
      <c r="AB175" s="8" t="str">
        <f>IF(AA175='Listas suspensas'!$A$2,'Listas suspensas'!$B$2,IF(AA175='Listas suspensas'!$A$3,'Listas suspensas'!$B$3,IF(AA175='Listas suspensas'!$A$4,'Listas suspensas'!$B$4,IF(AA175='Listas suspensas'!$A$5,'Listas suspensas'!$B$5,IF(AA175='Listas suspensas'!$A$6,'Listas suspensas'!$B$6,"")))))</f>
        <v>Parcial e irregular</v>
      </c>
      <c r="AC175" s="8" t="str">
        <f>IF(AA175='Listas suspensas'!$A$2,'Listas suspensas'!$C$2,IF(AA175='Listas suspensas'!$A$3,'Listas suspensas'!$C$3,IF(AA175='Listas suspensas'!$A$4,'Listas suspensas'!$C$4,IF(AA175='Listas suspensas'!$A$5,'Listas suspensas'!$C$5,IF(AA175='Listas suspensas'!$A$6,'Listas suspensas'!$C$6,"")))))</f>
        <v>Indica a penetração desuniforme e não total pela extensão do alburno.</v>
      </c>
      <c r="AP175" s="8" t="e">
        <f t="shared" si="42"/>
        <v>#DIV/0!</v>
      </c>
      <c r="AV175" s="8" t="e">
        <f t="shared" si="43"/>
        <v>#DIV/0!</v>
      </c>
      <c r="BB175" s="20" t="e">
        <f t="shared" si="47"/>
        <v>#DIV/0!</v>
      </c>
      <c r="BC175" s="20" t="e">
        <f t="shared" si="46"/>
        <v>#DIV/0!</v>
      </c>
      <c r="BD175" s="13">
        <v>0.7</v>
      </c>
      <c r="BE175" s="18">
        <f t="shared" si="41"/>
        <v>700</v>
      </c>
      <c r="BF175" s="8">
        <v>0.19</v>
      </c>
      <c r="BG175" s="8">
        <v>7.4999999999999997E-2</v>
      </c>
      <c r="BH175" s="8">
        <v>9.1999999999999998E-2</v>
      </c>
      <c r="BI175" s="13">
        <f t="shared" si="45"/>
        <v>0.35699999999999998</v>
      </c>
      <c r="BJ175" s="14">
        <v>53.1</v>
      </c>
      <c r="BK175" s="14">
        <v>21</v>
      </c>
      <c r="BL175" s="14">
        <v>25.9</v>
      </c>
      <c r="BM175" s="16">
        <f t="shared" si="48"/>
        <v>100</v>
      </c>
      <c r="BN175" s="21">
        <f t="shared" si="49"/>
        <v>1.33</v>
      </c>
      <c r="BO175" s="21">
        <f t="shared" si="50"/>
        <v>0.53</v>
      </c>
      <c r="BP175" s="21">
        <f t="shared" si="51"/>
        <v>0.64</v>
      </c>
      <c r="BQ175" s="14">
        <f t="shared" si="52"/>
        <v>2.5</v>
      </c>
      <c r="BR175" s="22" t="str">
        <f>IF(OR(AND(X175="Mourões", BQ175&gt;=6.5),AND(X175="Postes", BQ175&gt;=9.6),AND(X175="Dormentes", BQ175&gt;=9.6),AND(X175="Estacas", BQ175&gt;=6.5),AND(X175="Cruzetas", BQ175&gt;=6.5),AND(X175="Outros - Solo", BQ175&gt;=6.5),AND(X175="Outros - Suspenso",BQ175&gt;=4),AND(X175="Deck",BQ175&gt;=4)),'Listas suspensas'!$C$21,'Listas suspensas'!$C$22)</f>
        <v>Os resultados da análise química apresentaram uma retenção do produto inferior ao padrão mínimo exigido pela norma ABNT NBR 16143</v>
      </c>
    </row>
    <row r="176" spans="2:70" x14ac:dyDescent="0.25">
      <c r="B176" s="8" t="s">
        <v>487</v>
      </c>
      <c r="C176" s="8" t="s">
        <v>71</v>
      </c>
      <c r="F176" s="11">
        <v>45866</v>
      </c>
      <c r="G176" s="11">
        <v>45866</v>
      </c>
      <c r="H176" s="11">
        <v>45870</v>
      </c>
      <c r="I176" s="8" t="s">
        <v>130</v>
      </c>
      <c r="J176" s="8" t="s">
        <v>131</v>
      </c>
      <c r="K176" s="8" t="s">
        <v>74</v>
      </c>
      <c r="L176" s="8" t="s">
        <v>15</v>
      </c>
      <c r="M176" s="30" t="s">
        <v>132</v>
      </c>
      <c r="N176" s="8" t="s">
        <v>75</v>
      </c>
      <c r="O176" s="8" t="s">
        <v>76</v>
      </c>
      <c r="P176" s="28" t="s">
        <v>146</v>
      </c>
      <c r="Q176" s="16" t="s">
        <v>488</v>
      </c>
      <c r="X176" s="8" t="s">
        <v>79</v>
      </c>
      <c r="Y176" s="34">
        <f>IF(X176='Listas suspensas'!$A$21,'Listas suspensas'!$B$23,IF(X176='Listas suspensas'!$A$22,'Listas suspensas'!$B$23,IF(X176='Listas suspensas'!$A$23,'Listas suspensas'!$B$22,IF(X176='Listas suspensas'!$A$26,'Listas suspensas'!$B$22,IF(X176='Listas suspensas'!$A$32,'Listas suspensas'!$B$22,IF(X176='Listas suspensas'!$A$33,'Listas suspensas'!$B$21,IF(X176='Listas suspensas'!$A$24,'Listas suspensas'!$B$22,IF(X176='Listas suspensas'!$A$30,'Listas suspensas'!$B$21,""))))))))</f>
        <v>6.5</v>
      </c>
      <c r="Z176" s="8" t="str">
        <f>IF(X176='Listas suspensas'!$A$23,'Listas suspensas'!$A$9,"")</f>
        <v>NBR 16143</v>
      </c>
      <c r="AA176" s="8">
        <v>3</v>
      </c>
      <c r="AB176" s="8" t="str">
        <f>IF(AA176='Listas suspensas'!$A$2,'Listas suspensas'!$B$2,IF(AA176='Listas suspensas'!$A$3,'Listas suspensas'!$B$3,IF(AA176='Listas suspensas'!$A$4,'Listas suspensas'!$B$4,IF(AA176='Listas suspensas'!$A$5,'Listas suspensas'!$B$5,IF(AA176='Listas suspensas'!$A$6,'Listas suspensas'!$B$6,"")))))</f>
        <v xml:space="preserve"> Parcial e regular</v>
      </c>
      <c r="AC176" s="8" t="str">
        <f>IF(AA176='Listas suspensas'!$A$2,'Listas suspensas'!$C$2,IF(AA176='Listas suspensas'!$A$3,'Listas suspensas'!$C$3,IF(AA176='Listas suspensas'!$A$4,'Listas suspensas'!$C$4,IF(AA176='Listas suspensas'!$A$5,'Listas suspensas'!$C$5,IF(AA176='Listas suspensas'!$A$6,'Listas suspensas'!$C$6,"")))))</f>
        <v>Indica a penetração uniforme, mas não total pela extensão do alburno.</v>
      </c>
      <c r="AP176" s="8" t="e">
        <f t="shared" si="42"/>
        <v>#DIV/0!</v>
      </c>
      <c r="AV176" s="8" t="e">
        <f t="shared" si="43"/>
        <v>#DIV/0!</v>
      </c>
      <c r="BB176" s="20" t="e">
        <f t="shared" si="47"/>
        <v>#DIV/0!</v>
      </c>
      <c r="BC176" s="20" t="e">
        <f t="shared" si="46"/>
        <v>#DIV/0!</v>
      </c>
      <c r="BD176" s="13">
        <v>0.74199999999999999</v>
      </c>
      <c r="BE176" s="18">
        <f t="shared" si="41"/>
        <v>742</v>
      </c>
      <c r="BF176" s="8">
        <v>0.27400000000000002</v>
      </c>
      <c r="BG176" s="8">
        <v>0.10299999999999999</v>
      </c>
      <c r="BH176" s="8">
        <v>0.218</v>
      </c>
      <c r="BI176" s="13">
        <f t="shared" si="45"/>
        <v>0.59499999999999997</v>
      </c>
      <c r="BJ176" s="14">
        <v>46</v>
      </c>
      <c r="BK176" s="14">
        <v>17.399999999999999</v>
      </c>
      <c r="BL176" s="14">
        <v>36.6</v>
      </c>
      <c r="BM176" s="16">
        <f t="shared" si="48"/>
        <v>100</v>
      </c>
      <c r="BN176" s="21">
        <f t="shared" si="49"/>
        <v>2.0299999999999998</v>
      </c>
      <c r="BO176" s="21">
        <f t="shared" si="50"/>
        <v>0.76</v>
      </c>
      <c r="BP176" s="21">
        <f t="shared" si="51"/>
        <v>1.62</v>
      </c>
      <c r="BQ176" s="14">
        <f t="shared" si="52"/>
        <v>4.41</v>
      </c>
      <c r="BR176" s="22" t="str">
        <f>IF(OR(AND(X176="Mourões", BQ176&gt;=6.5),AND(X176="Postes", BQ176&gt;=9.6),AND(X176="Dormentes", BQ176&gt;=9.6),AND(X176="Estacas", BQ176&gt;=6.5),AND(X176="Cruzetas", BQ176&gt;=6.5),AND(X176="Outros - Solo", BQ176&gt;=6.5),AND(X176="Outros - Suspenso",BQ176&gt;=4),AND(X176="Deck",BQ176&gt;=4)),'Listas suspensas'!$C$21,'Listas suspensas'!$C$22)</f>
        <v>Os resultados da análise química apresentaram uma retenção do produto inferior ao padrão mínimo exigido pela norma ABNT NBR 16143</v>
      </c>
    </row>
    <row r="177" spans="2:70" x14ac:dyDescent="0.25">
      <c r="B177" s="8" t="s">
        <v>489</v>
      </c>
      <c r="C177" s="8" t="s">
        <v>71</v>
      </c>
      <c r="F177" s="11">
        <v>45866</v>
      </c>
      <c r="G177" s="11">
        <v>45866</v>
      </c>
      <c r="H177" s="11">
        <v>45870</v>
      </c>
      <c r="I177" s="8" t="s">
        <v>130</v>
      </c>
      <c r="J177" s="8" t="s">
        <v>131</v>
      </c>
      <c r="K177" s="8" t="s">
        <v>74</v>
      </c>
      <c r="L177" s="8" t="s">
        <v>15</v>
      </c>
      <c r="M177" s="30" t="s">
        <v>132</v>
      </c>
      <c r="N177" s="8" t="s">
        <v>75</v>
      </c>
      <c r="O177" s="8" t="s">
        <v>76</v>
      </c>
      <c r="P177" s="28" t="s">
        <v>146</v>
      </c>
      <c r="Q177" s="16" t="s">
        <v>424</v>
      </c>
      <c r="X177" s="8" t="s">
        <v>79</v>
      </c>
      <c r="Y177" s="34">
        <f>IF(X177='Listas suspensas'!$A$21,'Listas suspensas'!$B$23,IF(X177='Listas suspensas'!$A$22,'Listas suspensas'!$B$23,IF(X177='Listas suspensas'!$A$23,'Listas suspensas'!$B$22,IF(X177='Listas suspensas'!$A$26,'Listas suspensas'!$B$22,IF(X177='Listas suspensas'!$A$32,'Listas suspensas'!$B$22,IF(X177='Listas suspensas'!$A$33,'Listas suspensas'!$B$21,IF(X177='Listas suspensas'!$A$24,'Listas suspensas'!$B$22,IF(X177='Listas suspensas'!$A$30,'Listas suspensas'!$B$21,""))))))))</f>
        <v>6.5</v>
      </c>
      <c r="Z177" s="8" t="str">
        <f>IF(X177='Listas suspensas'!$A$23,'Listas suspensas'!$A$9,"")</f>
        <v>NBR 16143</v>
      </c>
      <c r="AA177" s="8">
        <v>4</v>
      </c>
      <c r="AB177" s="8" t="str">
        <f>IF(AA177='Listas suspensas'!$A$2,'Listas suspensas'!$B$2,IF(AA177='Listas suspensas'!$A$3,'Listas suspensas'!$B$3,IF(AA177='Listas suspensas'!$A$4,'Listas suspensas'!$B$4,IF(AA177='Listas suspensas'!$A$5,'Listas suspensas'!$B$5,IF(AA177='Listas suspensas'!$A$6,'Listas suspensas'!$B$6,"")))))</f>
        <v>Parcial e irregular</v>
      </c>
      <c r="AC177" s="8" t="str">
        <f>IF(AA177='Listas suspensas'!$A$2,'Listas suspensas'!$C$2,IF(AA177='Listas suspensas'!$A$3,'Listas suspensas'!$C$3,IF(AA177='Listas suspensas'!$A$4,'Listas suspensas'!$C$4,IF(AA177='Listas suspensas'!$A$5,'Listas suspensas'!$C$5,IF(AA177='Listas suspensas'!$A$6,'Listas suspensas'!$C$6,"")))))</f>
        <v>Indica a penetração desuniforme e não total pela extensão do alburno.</v>
      </c>
      <c r="AP177" s="8" t="e">
        <f t="shared" si="42"/>
        <v>#DIV/0!</v>
      </c>
      <c r="AV177" s="8" t="e">
        <f t="shared" si="43"/>
        <v>#DIV/0!</v>
      </c>
      <c r="BB177" s="20" t="e">
        <f t="shared" si="47"/>
        <v>#DIV/0!</v>
      </c>
      <c r="BC177" s="20" t="e">
        <f t="shared" si="46"/>
        <v>#DIV/0!</v>
      </c>
      <c r="BD177" s="13">
        <v>0.71499999999999997</v>
      </c>
      <c r="BE177" s="18">
        <f t="shared" si="41"/>
        <v>715</v>
      </c>
      <c r="BF177" s="8">
        <v>0.215</v>
      </c>
      <c r="BG177" s="8">
        <v>9.5000000000000001E-2</v>
      </c>
      <c r="BH177" s="8">
        <v>0.187</v>
      </c>
      <c r="BI177" s="13">
        <f t="shared" si="45"/>
        <v>0.497</v>
      </c>
      <c r="BJ177" s="14">
        <v>43.2</v>
      </c>
      <c r="BK177" s="14">
        <v>19.100000000000001</v>
      </c>
      <c r="BL177" s="14">
        <v>37.700000000000003</v>
      </c>
      <c r="BM177" s="16">
        <f t="shared" si="48"/>
        <v>100</v>
      </c>
      <c r="BN177" s="21">
        <f t="shared" si="49"/>
        <v>1.54</v>
      </c>
      <c r="BO177" s="21">
        <f t="shared" si="50"/>
        <v>0.68</v>
      </c>
      <c r="BP177" s="21">
        <f t="shared" si="51"/>
        <v>1.34</v>
      </c>
      <c r="BQ177" s="14">
        <f t="shared" si="52"/>
        <v>3.56</v>
      </c>
      <c r="BR177" s="22" t="str">
        <f>IF(OR(AND(X177="Mourões", BQ177&gt;=6.5),AND(X177="Postes", BQ177&gt;=9.6),AND(X177="Dormentes", BQ177&gt;=9.6),AND(X177="Estacas", BQ177&gt;=6.5),AND(X177="Cruzetas", BQ177&gt;=6.5),AND(X177="Outros - Solo", BQ177&gt;=6.5),AND(X177="Outros - Suspenso",BQ177&gt;=4),AND(X177="Deck",BQ177&gt;=4)),'Listas suspensas'!$C$21,'Listas suspensas'!$C$22)</f>
        <v>Os resultados da análise química apresentaram uma retenção do produto inferior ao padrão mínimo exigido pela norma ABNT NBR 16143</v>
      </c>
    </row>
    <row r="178" spans="2:70" x14ac:dyDescent="0.25">
      <c r="B178" s="8" t="s">
        <v>490</v>
      </c>
      <c r="C178" s="8" t="s">
        <v>71</v>
      </c>
      <c r="F178" s="11">
        <v>45866</v>
      </c>
      <c r="G178" s="11">
        <v>45866</v>
      </c>
      <c r="H178" s="11">
        <v>45870</v>
      </c>
      <c r="I178" s="8" t="s">
        <v>130</v>
      </c>
      <c r="J178" s="8" t="s">
        <v>131</v>
      </c>
      <c r="K178" s="8" t="s">
        <v>74</v>
      </c>
      <c r="L178" s="8" t="s">
        <v>15</v>
      </c>
      <c r="M178" s="30" t="s">
        <v>132</v>
      </c>
      <c r="N178" s="8" t="s">
        <v>75</v>
      </c>
      <c r="O178" s="8" t="s">
        <v>76</v>
      </c>
      <c r="P178" s="28" t="s">
        <v>146</v>
      </c>
      <c r="Q178" s="16" t="s">
        <v>491</v>
      </c>
      <c r="X178" s="8" t="s">
        <v>79</v>
      </c>
      <c r="Y178" s="34">
        <f>IF(X178='Listas suspensas'!$A$21,'Listas suspensas'!$B$23,IF(X178='Listas suspensas'!$A$22,'Listas suspensas'!$B$23,IF(X178='Listas suspensas'!$A$23,'Listas suspensas'!$B$22,IF(X178='Listas suspensas'!$A$26,'Listas suspensas'!$B$22,IF(X178='Listas suspensas'!$A$32,'Listas suspensas'!$B$22,IF(X178='Listas suspensas'!$A$33,'Listas suspensas'!$B$21,IF(X178='Listas suspensas'!$A$24,'Listas suspensas'!$B$22,IF(X178='Listas suspensas'!$A$30,'Listas suspensas'!$B$21,""))))))))</f>
        <v>6.5</v>
      </c>
      <c r="Z178" s="8" t="str">
        <f>IF(X178='Listas suspensas'!$A$23,'Listas suspensas'!$A$9,"")</f>
        <v>NBR 16143</v>
      </c>
      <c r="AA178" s="8">
        <v>3</v>
      </c>
      <c r="AB178" s="8" t="str">
        <f>IF(AA178='Listas suspensas'!$A$2,'Listas suspensas'!$B$2,IF(AA178='Listas suspensas'!$A$3,'Listas suspensas'!$B$3,IF(AA178='Listas suspensas'!$A$4,'Listas suspensas'!$B$4,IF(AA178='Listas suspensas'!$A$5,'Listas suspensas'!$B$5,IF(AA178='Listas suspensas'!$A$6,'Listas suspensas'!$B$6,"")))))</f>
        <v xml:space="preserve"> Parcial e regular</v>
      </c>
      <c r="AC178" s="8" t="str">
        <f>IF(AA178='Listas suspensas'!$A$2,'Listas suspensas'!$C$2,IF(AA178='Listas suspensas'!$A$3,'Listas suspensas'!$C$3,IF(AA178='Listas suspensas'!$A$4,'Listas suspensas'!$C$4,IF(AA178='Listas suspensas'!$A$5,'Listas suspensas'!$C$5,IF(AA178='Listas suspensas'!$A$6,'Listas suspensas'!$C$6,"")))))</f>
        <v>Indica a penetração uniforme, mas não total pela extensão do alburno.</v>
      </c>
      <c r="AP178" s="8" t="e">
        <f t="shared" si="42"/>
        <v>#DIV/0!</v>
      </c>
      <c r="AV178" s="8" t="e">
        <f t="shared" si="43"/>
        <v>#DIV/0!</v>
      </c>
      <c r="BB178" s="20" t="e">
        <f t="shared" si="47"/>
        <v>#DIV/0!</v>
      </c>
      <c r="BC178" s="20" t="e">
        <f t="shared" si="46"/>
        <v>#DIV/0!</v>
      </c>
      <c r="BD178" s="13">
        <v>0.63</v>
      </c>
      <c r="BE178" s="18">
        <f t="shared" si="41"/>
        <v>630</v>
      </c>
      <c r="BF178" s="8">
        <v>0.41299999999999998</v>
      </c>
      <c r="BG178" s="8">
        <v>0.17799999999999999</v>
      </c>
      <c r="BH178" s="8">
        <v>0.32600000000000001</v>
      </c>
      <c r="BI178" s="13">
        <f t="shared" si="45"/>
        <v>0.91700000000000004</v>
      </c>
      <c r="BJ178" s="14">
        <v>45</v>
      </c>
      <c r="BK178" s="14">
        <v>19.399999999999999</v>
      </c>
      <c r="BL178" s="14">
        <v>35.6</v>
      </c>
      <c r="BM178" s="16">
        <f t="shared" si="48"/>
        <v>100</v>
      </c>
      <c r="BN178" s="21">
        <f t="shared" si="49"/>
        <v>2.6</v>
      </c>
      <c r="BO178" s="21">
        <f t="shared" si="50"/>
        <v>1.1200000000000001</v>
      </c>
      <c r="BP178" s="21">
        <f t="shared" si="51"/>
        <v>2.0499999999999998</v>
      </c>
      <c r="BQ178" s="14">
        <f t="shared" si="52"/>
        <v>5.77</v>
      </c>
      <c r="BR178" s="22" t="str">
        <f>IF(OR(AND(X178="Mourões", BQ178&gt;=6.5),AND(X178="Postes", BQ178&gt;=9.6),AND(X178="Dormentes", BQ178&gt;=9.6),AND(X178="Estacas", BQ178&gt;=6.5),AND(X178="Cruzetas", BQ178&gt;=6.5),AND(X178="Outros - Solo", BQ178&gt;=6.5),AND(X178="Outros - Suspenso",BQ178&gt;=4),AND(X178="Deck",BQ178&gt;=4)),'Listas suspensas'!$C$21,'Listas suspensas'!$C$22)</f>
        <v>Os resultados da análise química apresentaram uma retenção do produto inferior ao padrão mínimo exigido pela norma ABNT NBR 16143</v>
      </c>
    </row>
    <row r="179" spans="2:70" x14ac:dyDescent="0.25">
      <c r="B179" s="8" t="s">
        <v>492</v>
      </c>
      <c r="C179" s="8" t="s">
        <v>71</v>
      </c>
      <c r="F179" s="11">
        <v>45869</v>
      </c>
      <c r="G179" s="11">
        <v>45873</v>
      </c>
      <c r="H179" s="11">
        <v>45880</v>
      </c>
      <c r="I179" s="8" t="s">
        <v>241</v>
      </c>
      <c r="J179" s="8" t="s">
        <v>242</v>
      </c>
      <c r="K179" s="8" t="s">
        <v>243</v>
      </c>
      <c r="L179" s="8" t="s">
        <v>15</v>
      </c>
      <c r="M179" s="30" t="s">
        <v>361</v>
      </c>
      <c r="N179" s="8" t="s">
        <v>75</v>
      </c>
      <c r="O179" s="8" t="s">
        <v>94</v>
      </c>
      <c r="P179" s="28" t="s">
        <v>77</v>
      </c>
      <c r="Q179" s="16" t="s">
        <v>493</v>
      </c>
      <c r="X179" s="8" t="s">
        <v>180</v>
      </c>
      <c r="Y179" s="34">
        <f>IF(X179='Listas suspensas'!$A$21,'Listas suspensas'!$B$23,IF(X179='Listas suspensas'!$A$22,'Listas suspensas'!$B$23,IF(X179='Listas suspensas'!$A$23,'Listas suspensas'!$B$22,IF(X179='Listas suspensas'!$A$26,'Listas suspensas'!$B$22,IF(X179='Listas suspensas'!$A$32,'Listas suspensas'!$B$22,IF(X179='Listas suspensas'!$A$33,'Listas suspensas'!$B$21,IF(X179='Listas suspensas'!$A$24,'Listas suspensas'!$B$22,IF(X179='Listas suspensas'!$A$30,'Listas suspensas'!$B$21,""))))))))</f>
        <v>6.5</v>
      </c>
      <c r="Z179" s="8" t="s">
        <v>80</v>
      </c>
      <c r="AA179" s="8">
        <v>3</v>
      </c>
      <c r="AB179" s="8" t="str">
        <f>IF(AA179='Listas suspensas'!$A$2,'Listas suspensas'!$B$2,IF(AA179='Listas suspensas'!$A$3,'Listas suspensas'!$B$3,IF(AA179='Listas suspensas'!$A$4,'Listas suspensas'!$B$4,IF(AA179='Listas suspensas'!$A$5,'Listas suspensas'!$B$5,IF(AA179='Listas suspensas'!$A$6,'Listas suspensas'!$B$6,"")))))</f>
        <v xml:space="preserve"> Parcial e regular</v>
      </c>
      <c r="AC179" s="8" t="str">
        <f>IF(AA179='Listas suspensas'!$A$2,'Listas suspensas'!$C$2,IF(AA179='Listas suspensas'!$A$3,'Listas suspensas'!$C$3,IF(AA179='Listas suspensas'!$A$4,'Listas suspensas'!$C$4,IF(AA179='Listas suspensas'!$A$5,'Listas suspensas'!$C$5,IF(AA179='Listas suspensas'!$A$6,'Listas suspensas'!$C$6,"")))))</f>
        <v>Indica a penetração uniforme, mas não total pela extensão do alburno.</v>
      </c>
      <c r="AP179" s="8" t="e">
        <f t="shared" si="42"/>
        <v>#DIV/0!</v>
      </c>
      <c r="AV179" s="8" t="e">
        <f t="shared" si="43"/>
        <v>#DIV/0!</v>
      </c>
      <c r="BB179" s="20" t="e">
        <f t="shared" si="47"/>
        <v>#DIV/0!</v>
      </c>
      <c r="BC179" s="20" t="e">
        <f t="shared" si="46"/>
        <v>#DIV/0!</v>
      </c>
      <c r="BD179" s="13">
        <v>0.81499999999999995</v>
      </c>
      <c r="BE179" s="18">
        <f t="shared" si="41"/>
        <v>815</v>
      </c>
      <c r="BF179" s="8">
        <v>0.26300000000000001</v>
      </c>
      <c r="BG179" s="8">
        <v>0.13600000000000001</v>
      </c>
      <c r="BH179" s="8">
        <v>0.253</v>
      </c>
      <c r="BI179" s="13">
        <f t="shared" si="45"/>
        <v>0.65200000000000002</v>
      </c>
      <c r="BJ179" s="14">
        <v>40.4</v>
      </c>
      <c r="BK179" s="14">
        <v>20.9</v>
      </c>
      <c r="BL179" s="14">
        <v>38.700000000000003</v>
      </c>
      <c r="BM179" s="16">
        <f t="shared" si="48"/>
        <v>100</v>
      </c>
      <c r="BN179" s="21">
        <f t="shared" si="49"/>
        <v>2.14</v>
      </c>
      <c r="BO179" s="21">
        <f t="shared" si="50"/>
        <v>1.1100000000000001</v>
      </c>
      <c r="BP179" s="21">
        <f t="shared" si="51"/>
        <v>2.06</v>
      </c>
      <c r="BQ179" s="14">
        <f t="shared" si="52"/>
        <v>5.31</v>
      </c>
      <c r="BR179" s="22" t="str">
        <f>IF(OR(AND(X179="Mourões", BQ179&gt;=6.5),AND(X179="Postes", BQ179&gt;=9.6),AND(X179="Dormentes", BQ179&gt;=9.6),AND(X179="Estacas", BQ179&gt;=6.5),AND(X179="Cruzetas", BQ179&gt;=6.5),AND(X179="Outros - Solo", BQ179&gt;=6.5),AND(X179="Outros - Suspenso",BQ179&gt;=4),AND(X179="Deck",BQ179&gt;=4)),'Listas suspensas'!$C$21,'Listas suspensas'!$C$22)</f>
        <v>Os resultados da análise química apresentaram uma retenção do produto inferior ao padrão mínimo exigido pela norma ABNT NBR 16143</v>
      </c>
    </row>
    <row r="180" spans="2:70" x14ac:dyDescent="0.25">
      <c r="B180" s="8" t="s">
        <v>494</v>
      </c>
      <c r="C180" s="8" t="s">
        <v>71</v>
      </c>
      <c r="F180" s="11">
        <v>45869</v>
      </c>
      <c r="G180" s="11">
        <v>45873</v>
      </c>
      <c r="H180" s="11">
        <v>45880</v>
      </c>
      <c r="I180" s="8" t="s">
        <v>241</v>
      </c>
      <c r="J180" s="8" t="s">
        <v>242</v>
      </c>
      <c r="K180" s="8" t="s">
        <v>243</v>
      </c>
      <c r="L180" s="8" t="s">
        <v>15</v>
      </c>
      <c r="M180" s="30" t="s">
        <v>361</v>
      </c>
      <c r="N180" s="8" t="s">
        <v>75</v>
      </c>
      <c r="O180" s="8" t="s">
        <v>94</v>
      </c>
      <c r="P180" s="28" t="s">
        <v>77</v>
      </c>
      <c r="Q180" s="16" t="s">
        <v>495</v>
      </c>
      <c r="X180" s="8" t="s">
        <v>180</v>
      </c>
      <c r="Y180" s="34">
        <f>IF(X180='Listas suspensas'!$A$21,'Listas suspensas'!$B$23,IF(X180='Listas suspensas'!$A$22,'Listas suspensas'!$B$23,IF(X180='Listas suspensas'!$A$23,'Listas suspensas'!$B$22,IF(X180='Listas suspensas'!$A$26,'Listas suspensas'!$B$22,IF(X180='Listas suspensas'!$A$32,'Listas suspensas'!$B$22,IF(X180='Listas suspensas'!$A$33,'Listas suspensas'!$B$21,IF(X180='Listas suspensas'!$A$24,'Listas suspensas'!$B$22,IF(X180='Listas suspensas'!$A$30,'Listas suspensas'!$B$21,""))))))))</f>
        <v>6.5</v>
      </c>
      <c r="Z180" s="8" t="s">
        <v>80</v>
      </c>
      <c r="AA180" s="8">
        <v>2</v>
      </c>
      <c r="AB180" s="8" t="str">
        <f>IF(AA180='Listas suspensas'!$A$2,'Listas suspensas'!$B$2,IF(AA180='Listas suspensas'!$A$3,'Listas suspensas'!$B$3,IF(AA180='Listas suspensas'!$A$4,'Listas suspensas'!$B$4,IF(AA180='Listas suspensas'!$A$5,'Listas suspensas'!$B$5,IF(AA180='Listas suspensas'!$A$6,'Listas suspensas'!$B$6,"")))))</f>
        <v>Profunda e irregular</v>
      </c>
      <c r="AC180" s="8" t="str">
        <f>IF(AA180='Listas suspensas'!$A$2,'Listas suspensas'!$C$2,IF(AA180='Listas suspensas'!$A$3,'Listas suspensas'!$C$3,IF(AA180='Listas suspensas'!$A$4,'Listas suspensas'!$C$4,IF(AA180='Listas suspensas'!$A$5,'Listas suspensas'!$C$5,IF(AA180='Listas suspensas'!$A$6,'Listas suspensas'!$C$6,"")))))</f>
        <v>Indica a penetração profunda, mas desuniforme em toda a extensão do alburno.</v>
      </c>
      <c r="BD180" s="13">
        <v>0.78700000000000003</v>
      </c>
      <c r="BE180" s="18">
        <f t="shared" si="41"/>
        <v>787</v>
      </c>
      <c r="BF180" s="8">
        <v>0.377</v>
      </c>
      <c r="BG180" s="8">
        <v>0.17799999999999999</v>
      </c>
      <c r="BH180" s="8">
        <v>0.308</v>
      </c>
      <c r="BI180" s="13">
        <f t="shared" si="45"/>
        <v>0.86299999999999999</v>
      </c>
      <c r="BJ180" s="14">
        <v>43.6</v>
      </c>
      <c r="BK180" s="14">
        <v>20.6</v>
      </c>
      <c r="BL180" s="14">
        <v>35.799999999999997</v>
      </c>
      <c r="BM180" s="16">
        <f t="shared" si="48"/>
        <v>100</v>
      </c>
      <c r="BN180" s="21">
        <f t="shared" si="49"/>
        <v>2.97</v>
      </c>
      <c r="BO180" s="21">
        <f t="shared" si="50"/>
        <v>1.4</v>
      </c>
      <c r="BP180" s="21">
        <f t="shared" si="51"/>
        <v>2.42</v>
      </c>
      <c r="BQ180" s="14">
        <f t="shared" si="52"/>
        <v>6.79</v>
      </c>
      <c r="BR180" s="22" t="str">
        <f>IF(OR(AND(X180="Mourões", BQ180&gt;=6.5),AND(X180="Postes", BQ180&gt;=9.6),AND(X180="Dormentes", BQ180&gt;=9.6),AND(X180="Estacas", BQ180&gt;=6.5),AND(X180="Cruzetas", BQ180&gt;=6.5),AND(X180="Outros - Solo", BQ180&gt;=6.5),AND(X180="Outros - Suspenso",BQ180&gt;=4),AND(X180="Deck",BQ180&gt;=4)),'Listas suspensas'!$C$21,'Listas suspensas'!$C$22)</f>
        <v>Os resultados da análise química apresentaram uma retenção do produto inferior ao padrão mínimo exigido pela norma ABNT NBR 16143</v>
      </c>
    </row>
    <row r="181" spans="2:70" x14ac:dyDescent="0.25">
      <c r="B181" s="8" t="s">
        <v>496</v>
      </c>
      <c r="C181" s="8" t="s">
        <v>71</v>
      </c>
      <c r="F181" s="11">
        <v>45869</v>
      </c>
      <c r="G181" s="11">
        <v>45873</v>
      </c>
      <c r="H181" s="11">
        <v>45880</v>
      </c>
      <c r="I181" s="8" t="s">
        <v>241</v>
      </c>
      <c r="J181" s="8" t="s">
        <v>242</v>
      </c>
      <c r="K181" s="8" t="s">
        <v>243</v>
      </c>
      <c r="L181" s="8" t="s">
        <v>15</v>
      </c>
      <c r="M181" s="30" t="s">
        <v>361</v>
      </c>
      <c r="N181" s="8" t="s">
        <v>75</v>
      </c>
      <c r="O181" s="8" t="s">
        <v>94</v>
      </c>
      <c r="P181" s="28" t="s">
        <v>77</v>
      </c>
      <c r="Q181" s="16" t="s">
        <v>497</v>
      </c>
      <c r="X181" s="8" t="s">
        <v>180</v>
      </c>
      <c r="Y181" s="34">
        <f>IF(X181='Listas suspensas'!$A$21,'Listas suspensas'!$B$23,IF(X181='Listas suspensas'!$A$22,'Listas suspensas'!$B$23,IF(X181='Listas suspensas'!$A$23,'Listas suspensas'!$B$22,IF(X181='Listas suspensas'!$A$26,'Listas suspensas'!$B$22,IF(X181='Listas suspensas'!$A$32,'Listas suspensas'!$B$22,IF(X181='Listas suspensas'!$A$33,'Listas suspensas'!$B$21,IF(X181='Listas suspensas'!$A$24,'Listas suspensas'!$B$22,IF(X181='Listas suspensas'!$A$30,'Listas suspensas'!$B$21,""))))))))</f>
        <v>6.5</v>
      </c>
      <c r="Z181" s="8" t="s">
        <v>80</v>
      </c>
      <c r="AA181" s="8">
        <v>2</v>
      </c>
      <c r="AB181" s="8" t="str">
        <f>IF(AA181='Listas suspensas'!$A$2,'Listas suspensas'!$B$2,IF(AA181='Listas suspensas'!$A$3,'Listas suspensas'!$B$3,IF(AA181='Listas suspensas'!$A$4,'Listas suspensas'!$B$4,IF(AA181='Listas suspensas'!$A$5,'Listas suspensas'!$B$5,IF(AA181='Listas suspensas'!$A$6,'Listas suspensas'!$B$6,"")))))</f>
        <v>Profunda e irregular</v>
      </c>
      <c r="AC181" s="8" t="str">
        <f>IF(AA181='Listas suspensas'!$A$2,'Listas suspensas'!$C$2,IF(AA181='Listas suspensas'!$A$3,'Listas suspensas'!$C$3,IF(AA181='Listas suspensas'!$A$4,'Listas suspensas'!$C$4,IF(AA181='Listas suspensas'!$A$5,'Listas suspensas'!$C$5,IF(AA181='Listas suspensas'!$A$6,'Listas suspensas'!$C$6,"")))))</f>
        <v>Indica a penetração profunda, mas desuniforme em toda a extensão do alburno.</v>
      </c>
      <c r="BD181" s="13">
        <v>0.78900000000000003</v>
      </c>
      <c r="BE181" s="18">
        <f t="shared" si="41"/>
        <v>789</v>
      </c>
      <c r="BF181" s="8">
        <v>0.45800000000000002</v>
      </c>
      <c r="BG181" s="8">
        <v>0.23</v>
      </c>
      <c r="BH181" s="8">
        <v>0.48499999999999999</v>
      </c>
      <c r="BI181" s="13">
        <f t="shared" si="45"/>
        <v>1.173</v>
      </c>
      <c r="BJ181" s="14">
        <v>39</v>
      </c>
      <c r="BK181" s="14">
        <v>19.600000000000001</v>
      </c>
      <c r="BL181" s="14">
        <v>41.4</v>
      </c>
      <c r="BM181" s="16">
        <f t="shared" si="48"/>
        <v>100</v>
      </c>
      <c r="BN181" s="21">
        <f t="shared" si="49"/>
        <v>3.61</v>
      </c>
      <c r="BO181" s="21">
        <f t="shared" si="50"/>
        <v>1.81</v>
      </c>
      <c r="BP181" s="21">
        <f t="shared" si="51"/>
        <v>3.83</v>
      </c>
      <c r="BQ181" s="14">
        <f t="shared" si="52"/>
        <v>9.25</v>
      </c>
      <c r="BR181" s="22" t="str">
        <f>IF(OR(AND(X181="Mourões", BQ181&gt;=6.5),AND(X181="Postes", BQ181&gt;=9.6),AND(X181="Dormentes", BQ181&gt;=9.6),AND(X181="Estacas", BQ181&gt;=6.5),AND(X181="Cruzetas", BQ181&gt;=6.5),AND(X181="Outros - Solo", BQ181&gt;=6.5),AND(X181="Outros - Suspenso",BQ181&gt;=4),AND(X181="Deck",BQ181&gt;=4)),'Listas suspensas'!$C$21,'Listas suspensas'!$C$22)</f>
        <v>Os resultados da análise química apresentaram uma retenção do produto inferior ao padrão mínimo exigido pela norma ABNT NBR 16143</v>
      </c>
    </row>
    <row r="182" spans="2:70" x14ac:dyDescent="0.25">
      <c r="B182" s="8" t="s">
        <v>498</v>
      </c>
      <c r="C182" s="8" t="s">
        <v>71</v>
      </c>
      <c r="F182" s="11">
        <v>45869</v>
      </c>
      <c r="G182" s="11">
        <v>45873</v>
      </c>
      <c r="H182" s="11">
        <v>45880</v>
      </c>
      <c r="I182" s="8" t="s">
        <v>241</v>
      </c>
      <c r="J182" s="8" t="s">
        <v>242</v>
      </c>
      <c r="K182" s="8" t="s">
        <v>243</v>
      </c>
      <c r="L182" s="8" t="s">
        <v>15</v>
      </c>
      <c r="M182" s="30" t="s">
        <v>361</v>
      </c>
      <c r="N182" s="8" t="s">
        <v>75</v>
      </c>
      <c r="O182" s="8" t="s">
        <v>94</v>
      </c>
      <c r="P182" s="28" t="s">
        <v>77</v>
      </c>
      <c r="Q182" s="16" t="s">
        <v>499</v>
      </c>
      <c r="X182" s="8" t="s">
        <v>180</v>
      </c>
      <c r="Y182" s="34">
        <f>IF(X182='Listas suspensas'!$A$21,'Listas suspensas'!$B$23,IF(X182='Listas suspensas'!$A$22,'Listas suspensas'!$B$23,IF(X182='Listas suspensas'!$A$23,'Listas suspensas'!$B$22,IF(X182='Listas suspensas'!$A$26,'Listas suspensas'!$B$22,IF(X182='Listas suspensas'!$A$32,'Listas suspensas'!$B$22,IF(X182='Listas suspensas'!$A$33,'Listas suspensas'!$B$21,IF(X182='Listas suspensas'!$A$24,'Listas suspensas'!$B$22,IF(X182='Listas suspensas'!$A$30,'Listas suspensas'!$B$21,""))))))))</f>
        <v>6.5</v>
      </c>
      <c r="Z182" s="8" t="s">
        <v>80</v>
      </c>
      <c r="AA182" s="8">
        <v>2</v>
      </c>
      <c r="AB182" s="8" t="str">
        <f>IF(AA182='Listas suspensas'!$A$2,'Listas suspensas'!$B$2,IF(AA182='Listas suspensas'!$A$3,'Listas suspensas'!$B$3,IF(AA182='Listas suspensas'!$A$4,'Listas suspensas'!$B$4,IF(AA182='Listas suspensas'!$A$5,'Listas suspensas'!$B$5,IF(AA182='Listas suspensas'!$A$6,'Listas suspensas'!$B$6,"")))))</f>
        <v>Profunda e irregular</v>
      </c>
      <c r="AC182" s="8" t="str">
        <f>IF(AA182='Listas suspensas'!$A$2,'Listas suspensas'!$C$2,IF(AA182='Listas suspensas'!$A$3,'Listas suspensas'!$C$3,IF(AA182='Listas suspensas'!$A$4,'Listas suspensas'!$C$4,IF(AA182='Listas suspensas'!$A$5,'Listas suspensas'!$C$5,IF(AA182='Listas suspensas'!$A$6,'Listas suspensas'!$C$6,"")))))</f>
        <v>Indica a penetração profunda, mas desuniforme em toda a extensão do alburno.</v>
      </c>
      <c r="BD182" s="13">
        <v>0.82699999999999996</v>
      </c>
      <c r="BE182" s="18">
        <f t="shared" si="41"/>
        <v>827</v>
      </c>
      <c r="BF182" s="8">
        <v>0.48599999999999999</v>
      </c>
      <c r="BG182" s="8">
        <v>0.222</v>
      </c>
      <c r="BH182" s="8">
        <v>0.41299999999999998</v>
      </c>
      <c r="BI182" s="13">
        <f t="shared" si="45"/>
        <v>1.121</v>
      </c>
      <c r="BJ182" s="14">
        <v>43.3</v>
      </c>
      <c r="BK182" s="14">
        <v>19.8</v>
      </c>
      <c r="BL182" s="14">
        <v>36.9</v>
      </c>
      <c r="BM182" s="16">
        <f t="shared" si="48"/>
        <v>100</v>
      </c>
      <c r="BN182" s="21">
        <f t="shared" si="49"/>
        <v>4.0199999999999996</v>
      </c>
      <c r="BO182" s="21">
        <f t="shared" si="50"/>
        <v>1.84</v>
      </c>
      <c r="BP182" s="21">
        <f t="shared" si="51"/>
        <v>3.42</v>
      </c>
      <c r="BQ182" s="14">
        <f t="shared" si="52"/>
        <v>9.2799999999999994</v>
      </c>
      <c r="BR182" s="22" t="str">
        <f>IF(OR(AND(X182="Mourões", BQ182&gt;=6.5),AND(X182="Postes", BQ182&gt;=9.6),AND(X182="Dormentes", BQ182&gt;=9.6),AND(X182="Estacas", BQ182&gt;=6.5),AND(X182="Cruzetas", BQ182&gt;=6.5),AND(X182="Outros - Solo", BQ182&gt;=6.5),AND(X182="Outros - Suspenso",BQ182&gt;=4),AND(X182="Deck",BQ182&gt;=4)),'Listas suspensas'!$C$21,'Listas suspensas'!$C$22)</f>
        <v>Os resultados da análise química apresentaram uma retenção do produto inferior ao padrão mínimo exigido pela norma ABNT NBR 16143</v>
      </c>
    </row>
    <row r="183" spans="2:70" x14ac:dyDescent="0.25">
      <c r="B183" s="8" t="s">
        <v>500</v>
      </c>
      <c r="C183" s="8" t="s">
        <v>71</v>
      </c>
      <c r="F183" s="11">
        <v>45869</v>
      </c>
      <c r="G183" s="11">
        <v>45873</v>
      </c>
      <c r="H183" s="11">
        <v>45880</v>
      </c>
      <c r="I183" s="8" t="s">
        <v>241</v>
      </c>
      <c r="J183" s="8" t="s">
        <v>242</v>
      </c>
      <c r="K183" s="8" t="s">
        <v>243</v>
      </c>
      <c r="L183" s="8" t="s">
        <v>15</v>
      </c>
      <c r="M183" s="30" t="s">
        <v>361</v>
      </c>
      <c r="N183" s="8" t="s">
        <v>75</v>
      </c>
      <c r="O183" s="8" t="s">
        <v>94</v>
      </c>
      <c r="P183" s="28" t="s">
        <v>77</v>
      </c>
      <c r="Q183" s="16" t="s">
        <v>501</v>
      </c>
      <c r="X183" s="8" t="s">
        <v>180</v>
      </c>
      <c r="Y183" s="34">
        <f>IF(X183='Listas suspensas'!$A$21,'Listas suspensas'!$B$23,IF(X183='Listas suspensas'!$A$22,'Listas suspensas'!$B$23,IF(X183='Listas suspensas'!$A$23,'Listas suspensas'!$B$22,IF(X183='Listas suspensas'!$A$26,'Listas suspensas'!$B$22,IF(X183='Listas suspensas'!$A$32,'Listas suspensas'!$B$22,IF(X183='Listas suspensas'!$A$33,'Listas suspensas'!$B$21,IF(X183='Listas suspensas'!$A$24,'Listas suspensas'!$B$22,IF(X183='Listas suspensas'!$A$30,'Listas suspensas'!$B$21,""))))))))</f>
        <v>6.5</v>
      </c>
      <c r="Z183" s="8" t="s">
        <v>80</v>
      </c>
      <c r="AA183" s="8">
        <v>2</v>
      </c>
      <c r="AB183" s="8" t="str">
        <f>IF(AA183='Listas suspensas'!$A$2,'Listas suspensas'!$B$2,IF(AA183='Listas suspensas'!$A$3,'Listas suspensas'!$B$3,IF(AA183='Listas suspensas'!$A$4,'Listas suspensas'!$B$4,IF(AA183='Listas suspensas'!$A$5,'Listas suspensas'!$B$5,IF(AA183='Listas suspensas'!$A$6,'Listas suspensas'!$B$6,"")))))</f>
        <v>Profunda e irregular</v>
      </c>
      <c r="AC183" s="8" t="str">
        <f>IF(AA183='Listas suspensas'!$A$2,'Listas suspensas'!$C$2,IF(AA183='Listas suspensas'!$A$3,'Listas suspensas'!$C$3,IF(AA183='Listas suspensas'!$A$4,'Listas suspensas'!$C$4,IF(AA183='Listas suspensas'!$A$5,'Listas suspensas'!$C$5,IF(AA183='Listas suspensas'!$A$6,'Listas suspensas'!$C$6,"")))))</f>
        <v>Indica a penetração profunda, mas desuniforme em toda a extensão do alburno.</v>
      </c>
      <c r="BD183" s="13">
        <v>0.77600000000000002</v>
      </c>
      <c r="BE183" s="18">
        <f t="shared" si="41"/>
        <v>776</v>
      </c>
      <c r="BF183" s="8">
        <v>0.58099999999999996</v>
      </c>
      <c r="BG183" s="8">
        <v>0.25</v>
      </c>
      <c r="BH183" s="8">
        <v>0.55900000000000005</v>
      </c>
      <c r="BI183" s="13">
        <f t="shared" si="45"/>
        <v>1.3900000000000001</v>
      </c>
      <c r="BJ183" s="14">
        <v>41.8</v>
      </c>
      <c r="BK183" s="14">
        <v>18</v>
      </c>
      <c r="BL183" s="14">
        <v>40.200000000000003</v>
      </c>
      <c r="BM183" s="16">
        <f t="shared" si="48"/>
        <v>100</v>
      </c>
      <c r="BN183" s="21">
        <f t="shared" si="49"/>
        <v>4.51</v>
      </c>
      <c r="BO183" s="21">
        <f t="shared" si="50"/>
        <v>1.94</v>
      </c>
      <c r="BP183" s="21">
        <f t="shared" si="51"/>
        <v>4.34</v>
      </c>
      <c r="BQ183" s="14">
        <f t="shared" si="52"/>
        <v>10.79</v>
      </c>
      <c r="BR183" s="22" t="str">
        <f>IF(OR(AND(X183="Mourões", BQ183&gt;=6.5),AND(X183="Postes", BQ183&gt;=9.6),AND(X183="Dormentes", BQ183&gt;=9.6),AND(X183="Estacas", BQ183&gt;=6.5),AND(X183="Cruzetas", BQ183&gt;=6.5),AND(X183="Outros - Solo", BQ183&gt;=6.5),AND(X183="Outros - Suspenso",BQ183&gt;=4),AND(X183="Deck",BQ183&gt;=4)),'Listas suspensas'!$C$21,'Listas suspensas'!$C$22)</f>
        <v>Os resultados da análise química apresentaram uma retenção do produto inferior ao padrão mínimo exigido pela norma ABNT NBR 16143</v>
      </c>
    </row>
    <row r="184" spans="2:70" x14ac:dyDescent="0.25">
      <c r="B184" s="8" t="s">
        <v>502</v>
      </c>
      <c r="C184" s="8" t="s">
        <v>71</v>
      </c>
      <c r="F184" s="11">
        <v>45870</v>
      </c>
      <c r="G184" s="11">
        <v>45873</v>
      </c>
      <c r="H184" s="11">
        <v>45880</v>
      </c>
      <c r="I184" s="8" t="s">
        <v>503</v>
      </c>
      <c r="J184" s="8" t="s">
        <v>504</v>
      </c>
      <c r="K184" s="8" t="s">
        <v>92</v>
      </c>
      <c r="L184" s="8" t="s">
        <v>15</v>
      </c>
      <c r="N184" s="8" t="s">
        <v>75</v>
      </c>
      <c r="O184" s="8" t="s">
        <v>76</v>
      </c>
      <c r="P184" s="28" t="s">
        <v>146</v>
      </c>
      <c r="Q184" s="16" t="s">
        <v>505</v>
      </c>
      <c r="X184" s="8" t="s">
        <v>79</v>
      </c>
      <c r="Y184" s="34">
        <f>IF(X184='Listas suspensas'!$A$21,'Listas suspensas'!$B$23,IF(X184='Listas suspensas'!$A$22,'Listas suspensas'!$B$23,IF(X184='Listas suspensas'!$A$23,'Listas suspensas'!$B$22,IF(X184='Listas suspensas'!$A$26,'Listas suspensas'!$B$22,IF(X184='Listas suspensas'!$A$32,'Listas suspensas'!$B$22,IF(X184='Listas suspensas'!$A$33,'Listas suspensas'!$B$21,IF(X184='Listas suspensas'!$A$24,'Listas suspensas'!$B$22,IF(X184='Listas suspensas'!$A$30,'Listas suspensas'!$B$21,""))))))))</f>
        <v>6.5</v>
      </c>
      <c r="Z184" s="8" t="s">
        <v>80</v>
      </c>
      <c r="AA184" s="8">
        <v>2</v>
      </c>
      <c r="AB184" s="8" t="str">
        <f>IF(AA184='Listas suspensas'!$A$2,'Listas suspensas'!$B$2,IF(AA184='Listas suspensas'!$A$3,'Listas suspensas'!$B$3,IF(AA184='Listas suspensas'!$A$4,'Listas suspensas'!$B$4,IF(AA184='Listas suspensas'!$A$5,'Listas suspensas'!$B$5,IF(AA184='Listas suspensas'!$A$6,'Listas suspensas'!$B$6,"")))))</f>
        <v>Profunda e irregular</v>
      </c>
      <c r="AC184" s="8" t="str">
        <f>IF(AA184='Listas suspensas'!$A$2,'Listas suspensas'!$C$2,IF(AA184='Listas suspensas'!$A$3,'Listas suspensas'!$C$3,IF(AA184='Listas suspensas'!$A$4,'Listas suspensas'!$C$4,IF(AA184='Listas suspensas'!$A$5,'Listas suspensas'!$C$5,IF(AA184='Listas suspensas'!$A$6,'Listas suspensas'!$C$6,"")))))</f>
        <v>Indica a penetração profunda, mas desuniforme em toda a extensão do alburno.</v>
      </c>
      <c r="BD184" s="13">
        <v>0.68600000000000005</v>
      </c>
      <c r="BE184" s="18">
        <f t="shared" si="41"/>
        <v>686</v>
      </c>
      <c r="BF184" s="8">
        <v>0.26</v>
      </c>
      <c r="BG184" s="8">
        <v>0.10100000000000001</v>
      </c>
      <c r="BH184" s="8">
        <v>0.191</v>
      </c>
      <c r="BI184" s="13">
        <f t="shared" si="45"/>
        <v>0.55200000000000005</v>
      </c>
      <c r="BJ184" s="14">
        <v>47.1</v>
      </c>
      <c r="BK184" s="14">
        <v>18.3</v>
      </c>
      <c r="BL184" s="14">
        <v>34.6</v>
      </c>
      <c r="BM184" s="16">
        <f t="shared" si="48"/>
        <v>100</v>
      </c>
      <c r="BN184" s="21">
        <f t="shared" si="49"/>
        <v>1.78</v>
      </c>
      <c r="BO184" s="21">
        <f t="shared" si="50"/>
        <v>0.69</v>
      </c>
      <c r="BP184" s="21">
        <f t="shared" si="51"/>
        <v>1.31</v>
      </c>
      <c r="BQ184" s="14">
        <f t="shared" si="52"/>
        <v>3.78</v>
      </c>
      <c r="BR184" s="22" t="str">
        <f>IF(OR(AND(X184="Mourões", BQ184&gt;=6.5),AND(X184="Postes", BQ184&gt;=9.6),AND(X184="Dormentes", BQ184&gt;=9.6),AND(X184="Estacas", BQ184&gt;=6.5),AND(X184="Cruzetas", BQ184&gt;=6.5),AND(X184="Outros - Solo", BQ184&gt;=6.5),AND(X184="Outros - Suspenso",BQ184&gt;=4),AND(X184="Deck",BQ184&gt;=4)),'Listas suspensas'!$C$21,'Listas suspensas'!$C$22)</f>
        <v>Os resultados da análise química apresentaram uma retenção do produto inferior ao padrão mínimo exigido pela norma ABNT NBR 16143</v>
      </c>
    </row>
    <row r="185" spans="2:70" x14ac:dyDescent="0.25">
      <c r="B185" s="8" t="s">
        <v>506</v>
      </c>
      <c r="C185" s="8" t="s">
        <v>71</v>
      </c>
      <c r="F185" s="11">
        <v>45870</v>
      </c>
      <c r="G185" s="11">
        <v>45873</v>
      </c>
      <c r="H185" s="11">
        <v>45880</v>
      </c>
      <c r="I185" s="8" t="s">
        <v>503</v>
      </c>
      <c r="J185" s="8" t="s">
        <v>504</v>
      </c>
      <c r="K185" s="8" t="s">
        <v>92</v>
      </c>
      <c r="L185" s="8" t="s">
        <v>15</v>
      </c>
      <c r="N185" s="8" t="s">
        <v>75</v>
      </c>
      <c r="O185" s="8" t="s">
        <v>76</v>
      </c>
      <c r="P185" s="28" t="s">
        <v>146</v>
      </c>
      <c r="Q185" s="16" t="s">
        <v>507</v>
      </c>
      <c r="X185" s="8" t="s">
        <v>79</v>
      </c>
      <c r="Y185" s="34">
        <f>IF(X185='Listas suspensas'!$A$21,'Listas suspensas'!$B$23,IF(X185='Listas suspensas'!$A$22,'Listas suspensas'!$B$23,IF(X185='Listas suspensas'!$A$23,'Listas suspensas'!$B$22,IF(X185='Listas suspensas'!$A$26,'Listas suspensas'!$B$22,IF(X185='Listas suspensas'!$A$32,'Listas suspensas'!$B$22,IF(X185='Listas suspensas'!$A$33,'Listas suspensas'!$B$21,IF(X185='Listas suspensas'!$A$24,'Listas suspensas'!$B$22,IF(X185='Listas suspensas'!$A$30,'Listas suspensas'!$B$21,""))))))))</f>
        <v>6.5</v>
      </c>
      <c r="Z185" s="8" t="s">
        <v>80</v>
      </c>
      <c r="AA185" s="8">
        <v>1</v>
      </c>
      <c r="AB185" s="8" t="str">
        <f>IF(AA185='Listas suspensas'!$A$2,'Listas suspensas'!$B$2,IF(AA185='Listas suspensas'!$A$3,'Listas suspensas'!$B$3,IF(AA185='Listas suspensas'!$A$4,'Listas suspensas'!$B$4,IF(AA185='Listas suspensas'!$A$5,'Listas suspensas'!$B$5,IF(AA185='Listas suspensas'!$A$6,'Listas suspensas'!$B$6,"")))))</f>
        <v>Profunda e regular</v>
      </c>
      <c r="AC185" s="8" t="str">
        <f>IF(AA185='Listas suspensas'!$A$2,'Listas suspensas'!$C$2,IF(AA185='Listas suspensas'!$A$3,'Listas suspensas'!$C$3,IF(AA185='Listas suspensas'!$A$4,'Listas suspensas'!$C$4,IF(AA185='Listas suspensas'!$A$5,'Listas suspensas'!$C$5,IF(AA185='Listas suspensas'!$A$6,'Listas suspensas'!$C$6,"")))))</f>
        <v>Indica a penetração profunda e uniforme em toda a extensão do alburno.</v>
      </c>
      <c r="BD185" s="13">
        <v>0.72299999999999998</v>
      </c>
      <c r="BE185" s="18">
        <f t="shared" ref="BE185:BE248" si="53">BD185*1000</f>
        <v>723</v>
      </c>
      <c r="BF185" s="8">
        <v>0.42699999999999999</v>
      </c>
      <c r="BG185" s="8">
        <v>0.23100000000000001</v>
      </c>
      <c r="BH185" s="8">
        <v>0.42899999999999999</v>
      </c>
      <c r="BI185" s="13">
        <f t="shared" si="45"/>
        <v>1.087</v>
      </c>
      <c r="BJ185" s="14">
        <v>39.299999999999997</v>
      </c>
      <c r="BK185" s="14">
        <v>21.3</v>
      </c>
      <c r="BL185" s="14">
        <v>39.4</v>
      </c>
      <c r="BM185" s="16">
        <f t="shared" si="48"/>
        <v>100</v>
      </c>
      <c r="BN185" s="21">
        <f t="shared" si="49"/>
        <v>3.09</v>
      </c>
      <c r="BO185" s="21">
        <f t="shared" si="50"/>
        <v>1.67</v>
      </c>
      <c r="BP185" s="21">
        <f t="shared" si="51"/>
        <v>3.1</v>
      </c>
      <c r="BQ185" s="14">
        <f t="shared" si="52"/>
        <v>7.86</v>
      </c>
      <c r="BR185" s="22" t="str">
        <f>IF(OR(AND(X185="Mourões", BQ185&gt;=6.5),AND(X185="Postes", BQ185&gt;=9.6),AND(X185="Dormentes", BQ185&gt;=9.6),AND(X185="Estacas", BQ185&gt;=6.5),AND(X185="Cruzetas", BQ185&gt;=6.5),AND(X185="Outros - Solo", BQ185&gt;=6.5),AND(X185="Outros - Suspenso",BQ185&gt;=4),AND(X185="Deck",BQ185&gt;=4)),'Listas suspensas'!$C$21,'Listas suspensas'!$C$22)</f>
        <v>Os resultados da análise química apresentaram uma retenção do produto de acordo com o padrão mínimo exigido pela norma ABNT NBR 16143</v>
      </c>
    </row>
    <row r="186" spans="2:70" x14ac:dyDescent="0.25">
      <c r="B186" s="8" t="s">
        <v>508</v>
      </c>
      <c r="C186" s="8" t="s">
        <v>71</v>
      </c>
      <c r="F186" s="11">
        <v>45870</v>
      </c>
      <c r="G186" s="11">
        <v>45873</v>
      </c>
      <c r="H186" s="11">
        <v>45880</v>
      </c>
      <c r="I186" s="8" t="s">
        <v>503</v>
      </c>
      <c r="J186" s="8" t="s">
        <v>504</v>
      </c>
      <c r="K186" s="8" t="s">
        <v>92</v>
      </c>
      <c r="L186" s="8" t="s">
        <v>15</v>
      </c>
      <c r="N186" s="8" t="s">
        <v>75</v>
      </c>
      <c r="O186" s="8" t="s">
        <v>76</v>
      </c>
      <c r="P186" s="28" t="s">
        <v>146</v>
      </c>
      <c r="Q186" s="16" t="s">
        <v>509</v>
      </c>
      <c r="X186" s="8" t="s">
        <v>473</v>
      </c>
      <c r="Y186" s="34">
        <f>IF(X186='Listas suspensas'!$A$21,'Listas suspensas'!$B$23,IF(X186='Listas suspensas'!$A$22,'Listas suspensas'!$B$23,IF(X186='Listas suspensas'!$A$23,'Listas suspensas'!$B$22,IF(X186='Listas suspensas'!$A$26,'Listas suspensas'!$B$22,IF(X186='Listas suspensas'!$A$32,'Listas suspensas'!$B$22,IF(X186='Listas suspensas'!$A$33,'Listas suspensas'!$B$21,IF(X186='Listas suspensas'!$A$24,'Listas suspensas'!$B$22,IF(X186='Listas suspensas'!$A$30,'Listas suspensas'!$B$21,""))))))))</f>
        <v>4</v>
      </c>
      <c r="Z186" s="8" t="s">
        <v>80</v>
      </c>
      <c r="AA186" s="8">
        <v>1</v>
      </c>
      <c r="AB186" s="8" t="str">
        <f>IF(AA186='Listas suspensas'!$A$2,'Listas suspensas'!$B$2,IF(AA186='Listas suspensas'!$A$3,'Listas suspensas'!$B$3,IF(AA186='Listas suspensas'!$A$4,'Listas suspensas'!$B$4,IF(AA186='Listas suspensas'!$A$5,'Listas suspensas'!$B$5,IF(AA186='Listas suspensas'!$A$6,'Listas suspensas'!$B$6,"")))))</f>
        <v>Profunda e regular</v>
      </c>
      <c r="AC186" s="8" t="str">
        <f>IF(AA186='Listas suspensas'!$A$2,'Listas suspensas'!$C$2,IF(AA186='Listas suspensas'!$A$3,'Listas suspensas'!$C$3,IF(AA186='Listas suspensas'!$A$4,'Listas suspensas'!$C$4,IF(AA186='Listas suspensas'!$A$5,'Listas suspensas'!$C$5,IF(AA186='Listas suspensas'!$A$6,'Listas suspensas'!$C$6,"")))))</f>
        <v>Indica a penetração profunda e uniforme em toda a extensão do alburno.</v>
      </c>
      <c r="BD186" s="13">
        <v>0.41399999999999998</v>
      </c>
      <c r="BE186" s="18">
        <f t="shared" si="53"/>
        <v>414</v>
      </c>
      <c r="BF186" s="8">
        <v>0.35499999999999998</v>
      </c>
      <c r="BG186" s="8">
        <v>0.16500000000000001</v>
      </c>
      <c r="BH186" s="8">
        <v>0.33300000000000002</v>
      </c>
      <c r="BI186" s="13">
        <f t="shared" si="45"/>
        <v>0.85299999999999998</v>
      </c>
      <c r="BJ186" s="14">
        <v>41.7</v>
      </c>
      <c r="BK186" s="14">
        <v>19.3</v>
      </c>
      <c r="BL186" s="14">
        <v>39</v>
      </c>
      <c r="BM186" s="16">
        <f t="shared" si="48"/>
        <v>100</v>
      </c>
      <c r="BN186" s="21">
        <f t="shared" si="49"/>
        <v>1.47</v>
      </c>
      <c r="BO186" s="21">
        <f t="shared" si="50"/>
        <v>0.68</v>
      </c>
      <c r="BP186" s="21">
        <f t="shared" si="51"/>
        <v>1.38</v>
      </c>
      <c r="BQ186" s="14">
        <f t="shared" si="52"/>
        <v>3.53</v>
      </c>
      <c r="BR186" s="22" t="str">
        <f>IF(OR(AND(X186="Mourões", BQ186&gt;=6.5),AND(X186="Postes", BQ186&gt;=9.6),AND(X186="Dormentes", BQ186&gt;=9.6),AND(X186="Estacas", BQ186&gt;=6.5),AND(X186="Cruzetas", BQ186&gt;=6.5),AND(X186="Outros - Solo", BQ186&gt;=6.5),AND(X186="Outros - Suspenso",BQ186&gt;=4),AND(X186="Deck",BQ186&gt;=4)),'Listas suspensas'!$C$21,'Listas suspensas'!$C$22)</f>
        <v>Os resultados da análise química apresentaram uma retenção do produto inferior ao padrão mínimo exigido pela norma ABNT NBR 16143</v>
      </c>
    </row>
    <row r="187" spans="2:70" x14ac:dyDescent="0.25">
      <c r="B187" s="8" t="s">
        <v>510</v>
      </c>
      <c r="C187" s="8" t="s">
        <v>71</v>
      </c>
      <c r="F187" s="11">
        <v>45870</v>
      </c>
      <c r="G187" s="11">
        <v>45873</v>
      </c>
      <c r="H187" s="11">
        <v>45880</v>
      </c>
      <c r="I187" s="8" t="s">
        <v>466</v>
      </c>
      <c r="J187" s="8" t="s">
        <v>467</v>
      </c>
      <c r="K187" s="8" t="s">
        <v>144</v>
      </c>
      <c r="L187" s="8" t="s">
        <v>15</v>
      </c>
      <c r="N187" s="8" t="s">
        <v>75</v>
      </c>
      <c r="O187" s="8" t="s">
        <v>104</v>
      </c>
      <c r="P187" s="28" t="s">
        <v>471</v>
      </c>
      <c r="Q187" s="16" t="s">
        <v>511</v>
      </c>
      <c r="X187" s="8" t="s">
        <v>473</v>
      </c>
      <c r="Y187" s="34">
        <f>IF(X187='Listas suspensas'!$A$21,'Listas suspensas'!$B$23,IF(X187='Listas suspensas'!$A$22,'Listas suspensas'!$B$23,IF(X187='Listas suspensas'!$A$23,'Listas suspensas'!$B$22,IF(X187='Listas suspensas'!$A$26,'Listas suspensas'!$B$22,IF(X187='Listas suspensas'!$A$32,'Listas suspensas'!$B$22,IF(X187='Listas suspensas'!$A$33,'Listas suspensas'!$B$21,IF(X187='Listas suspensas'!$A$24,'Listas suspensas'!$B$22,IF(X187='Listas suspensas'!$A$30,'Listas suspensas'!$B$21,""))))))))</f>
        <v>4</v>
      </c>
      <c r="Z187" s="8" t="s">
        <v>80</v>
      </c>
      <c r="AA187" s="8">
        <v>2</v>
      </c>
      <c r="AB187" s="8" t="str">
        <f>IF(AA187='Listas suspensas'!$A$2,'Listas suspensas'!$B$2,IF(AA187='Listas suspensas'!$A$3,'Listas suspensas'!$B$3,IF(AA187='Listas suspensas'!$A$4,'Listas suspensas'!$B$4,IF(AA187='Listas suspensas'!$A$5,'Listas suspensas'!$B$5,IF(AA187='Listas suspensas'!$A$6,'Listas suspensas'!$B$6,"")))))</f>
        <v>Profunda e irregular</v>
      </c>
      <c r="AC187" s="8" t="str">
        <f>IF(AA187='Listas suspensas'!$A$2,'Listas suspensas'!$C$2,IF(AA187='Listas suspensas'!$A$3,'Listas suspensas'!$C$3,IF(AA187='Listas suspensas'!$A$4,'Listas suspensas'!$C$4,IF(AA187='Listas suspensas'!$A$5,'Listas suspensas'!$C$5,IF(AA187='Listas suspensas'!$A$6,'Listas suspensas'!$C$6,"")))))</f>
        <v>Indica a penetração profunda, mas desuniforme em toda a extensão do alburno.</v>
      </c>
      <c r="BD187" s="13">
        <v>0.59299999999999997</v>
      </c>
      <c r="BE187" s="18">
        <f t="shared" si="53"/>
        <v>593</v>
      </c>
      <c r="BF187" s="8">
        <v>0.25700000000000001</v>
      </c>
      <c r="BG187" s="8">
        <v>0.152</v>
      </c>
      <c r="BH187" s="8">
        <v>0.33900000000000002</v>
      </c>
      <c r="BI187" s="13">
        <f t="shared" si="45"/>
        <v>0.748</v>
      </c>
      <c r="BJ187" s="14">
        <v>34.4</v>
      </c>
      <c r="BK187" s="14">
        <v>20.3</v>
      </c>
      <c r="BL187" s="14">
        <v>45.3</v>
      </c>
      <c r="BM187" s="16">
        <f t="shared" si="48"/>
        <v>100</v>
      </c>
      <c r="BN187" s="21">
        <f t="shared" si="49"/>
        <v>1.52</v>
      </c>
      <c r="BO187" s="21">
        <f t="shared" si="50"/>
        <v>0.9</v>
      </c>
      <c r="BP187" s="21">
        <f t="shared" si="51"/>
        <v>2.0099999999999998</v>
      </c>
      <c r="BQ187" s="14">
        <f t="shared" si="52"/>
        <v>4.43</v>
      </c>
      <c r="BR187" s="22" t="str">
        <f>IF(OR(AND(X187="Mourões", BQ187&gt;=6.5),AND(X187="Postes", BQ187&gt;=9.6),AND(X187="Dormentes", BQ187&gt;=9.6),AND(X187="Estacas", BQ187&gt;=6.5),AND(X187="Cruzetas", BQ187&gt;=6.5),AND(X187="Outros - Solo", BQ187&gt;=6.5),AND(X187="Outros - Suspenso",BQ187&gt;=4),AND(X187="Deck",BQ187&gt;=4)),'Listas suspensas'!$C$21,'Listas suspensas'!$C$22)</f>
        <v>Os resultados da análise química apresentaram uma retenção do produto de acordo com o padrão mínimo exigido pela norma ABNT NBR 16143</v>
      </c>
    </row>
    <row r="188" spans="2:70" x14ac:dyDescent="0.25">
      <c r="B188" s="8" t="s">
        <v>512</v>
      </c>
      <c r="C188" s="8" t="s">
        <v>71</v>
      </c>
      <c r="F188" s="11">
        <v>45870</v>
      </c>
      <c r="G188" s="11">
        <v>45873</v>
      </c>
      <c r="H188" s="11">
        <v>45880</v>
      </c>
      <c r="I188" s="8" t="s">
        <v>466</v>
      </c>
      <c r="J188" s="8" t="s">
        <v>467</v>
      </c>
      <c r="K188" s="8" t="s">
        <v>144</v>
      </c>
      <c r="L188" s="8" t="s">
        <v>15</v>
      </c>
      <c r="N188" s="8" t="s">
        <v>75</v>
      </c>
      <c r="O188" s="8" t="s">
        <v>104</v>
      </c>
      <c r="P188" s="28" t="s">
        <v>471</v>
      </c>
      <c r="Q188" s="16" t="s">
        <v>513</v>
      </c>
      <c r="X188" s="8" t="s">
        <v>101</v>
      </c>
      <c r="Y188" s="34">
        <f>IF(X188='Listas suspensas'!$A$21,'Listas suspensas'!$B$23,IF(X188='Listas suspensas'!$A$22,'Listas suspensas'!$B$23,IF(X188='Listas suspensas'!$A$23,'Listas suspensas'!$B$22,IF(X188='Listas suspensas'!$A$26,'Listas suspensas'!$B$22,IF(X188='Listas suspensas'!$A$32,'Listas suspensas'!$B$22,IF(X188='Listas suspensas'!$A$33,'Listas suspensas'!$B$21,IF(X188='Listas suspensas'!$A$24,'Listas suspensas'!$B$22,IF(X188='Listas suspensas'!$A$30,'Listas suspensas'!$B$21,""))))))))</f>
        <v>6.5</v>
      </c>
      <c r="Z188" s="8" t="s">
        <v>80</v>
      </c>
      <c r="AA188" s="8">
        <v>2</v>
      </c>
      <c r="AB188" s="8" t="str">
        <f>IF(AA188='Listas suspensas'!$A$2,'Listas suspensas'!$B$2,IF(AA188='Listas suspensas'!$A$3,'Listas suspensas'!$B$3,IF(AA188='Listas suspensas'!$A$4,'Listas suspensas'!$B$4,IF(AA188='Listas suspensas'!$A$5,'Listas suspensas'!$B$5,IF(AA188='Listas suspensas'!$A$6,'Listas suspensas'!$B$6,"")))))</f>
        <v>Profunda e irregular</v>
      </c>
      <c r="AC188" s="8" t="str">
        <f>IF(AA188='Listas suspensas'!$A$2,'Listas suspensas'!$C$2,IF(AA188='Listas suspensas'!$A$3,'Listas suspensas'!$C$3,IF(AA188='Listas suspensas'!$A$4,'Listas suspensas'!$C$4,IF(AA188='Listas suspensas'!$A$5,'Listas suspensas'!$C$5,IF(AA188='Listas suspensas'!$A$6,'Listas suspensas'!$C$6,"")))))</f>
        <v>Indica a penetração profunda, mas desuniforme em toda a extensão do alburno.</v>
      </c>
      <c r="BD188" s="13">
        <v>0.65300000000000002</v>
      </c>
      <c r="BE188" s="18">
        <f t="shared" si="53"/>
        <v>653</v>
      </c>
      <c r="BF188" s="8">
        <v>0.25600000000000001</v>
      </c>
      <c r="BG188" s="8">
        <v>8.6999999999999994E-2</v>
      </c>
      <c r="BH188" s="8">
        <v>0.161</v>
      </c>
      <c r="BI188" s="13">
        <f t="shared" si="45"/>
        <v>0.504</v>
      </c>
      <c r="BJ188" s="14">
        <v>50.9</v>
      </c>
      <c r="BK188" s="14">
        <v>17.2</v>
      </c>
      <c r="BL188" s="14">
        <v>31.9</v>
      </c>
      <c r="BM188" s="16">
        <f t="shared" si="48"/>
        <v>100</v>
      </c>
      <c r="BN188" s="21">
        <f t="shared" si="49"/>
        <v>1.67</v>
      </c>
      <c r="BO188" s="21">
        <f t="shared" si="50"/>
        <v>0.56999999999999995</v>
      </c>
      <c r="BP188" s="21">
        <f t="shared" si="51"/>
        <v>1.05</v>
      </c>
      <c r="BQ188" s="14">
        <f t="shared" si="52"/>
        <v>3.29</v>
      </c>
      <c r="BR188" s="22" t="str">
        <f>IF(OR(AND(X188="Mourões", BQ188&gt;=6.5),AND(X188="Postes", BQ188&gt;=9.6),AND(X188="Dormentes", BQ188&gt;=9.6),AND(X188="Estacas", BQ188&gt;=6.5),AND(X188="Cruzetas", BQ188&gt;=6.5),AND(X188="Outros - Solo", BQ188&gt;=6.5),AND(X188="Outros - Suspenso",BQ188&gt;=4),AND(X188="Deck",BQ188&gt;=4)),'Listas suspensas'!$C$21,'Listas suspensas'!$C$22)</f>
        <v>Os resultados da análise química apresentaram uma retenção do produto inferior ao padrão mínimo exigido pela norma ABNT NBR 16143</v>
      </c>
    </row>
    <row r="189" spans="2:70" x14ac:dyDescent="0.25">
      <c r="B189" s="8" t="s">
        <v>514</v>
      </c>
      <c r="C189" s="8" t="s">
        <v>71</v>
      </c>
      <c r="F189" s="11">
        <v>45870</v>
      </c>
      <c r="G189" s="11">
        <v>45873</v>
      </c>
      <c r="H189" s="11">
        <v>45880</v>
      </c>
      <c r="I189" s="8" t="s">
        <v>466</v>
      </c>
      <c r="J189" s="8" t="s">
        <v>467</v>
      </c>
      <c r="K189" s="8" t="s">
        <v>144</v>
      </c>
      <c r="L189" s="8" t="s">
        <v>15</v>
      </c>
      <c r="N189" s="8" t="s">
        <v>75</v>
      </c>
      <c r="O189" s="8" t="s">
        <v>104</v>
      </c>
      <c r="P189" s="28" t="s">
        <v>471</v>
      </c>
      <c r="Q189" s="16" t="s">
        <v>515</v>
      </c>
      <c r="X189" s="8" t="s">
        <v>101</v>
      </c>
      <c r="Y189" s="34">
        <f>IF(X189='Listas suspensas'!$A$21,'Listas suspensas'!$B$23,IF(X189='Listas suspensas'!$A$22,'Listas suspensas'!$B$23,IF(X189='Listas suspensas'!$A$23,'Listas suspensas'!$B$22,IF(X189='Listas suspensas'!$A$26,'Listas suspensas'!$B$22,IF(X189='Listas suspensas'!$A$32,'Listas suspensas'!$B$22,IF(X189='Listas suspensas'!$A$33,'Listas suspensas'!$B$21,IF(X189='Listas suspensas'!$A$24,'Listas suspensas'!$B$22,IF(X189='Listas suspensas'!$A$30,'Listas suspensas'!$B$21,""))))))))</f>
        <v>6.5</v>
      </c>
      <c r="Z189" s="8" t="s">
        <v>80</v>
      </c>
      <c r="AA189" s="8">
        <v>2</v>
      </c>
      <c r="AB189" s="8" t="str">
        <f>IF(AA189='Listas suspensas'!$A$2,'Listas suspensas'!$B$2,IF(AA189='Listas suspensas'!$A$3,'Listas suspensas'!$B$3,IF(AA189='Listas suspensas'!$A$4,'Listas suspensas'!$B$4,IF(AA189='Listas suspensas'!$A$5,'Listas suspensas'!$B$5,IF(AA189='Listas suspensas'!$A$6,'Listas suspensas'!$B$6,"")))))</f>
        <v>Profunda e irregular</v>
      </c>
      <c r="AC189" s="8" t="str">
        <f>IF(AA189='Listas suspensas'!$A$2,'Listas suspensas'!$C$2,IF(AA189='Listas suspensas'!$A$3,'Listas suspensas'!$C$3,IF(AA189='Listas suspensas'!$A$4,'Listas suspensas'!$C$4,IF(AA189='Listas suspensas'!$A$5,'Listas suspensas'!$C$5,IF(AA189='Listas suspensas'!$A$6,'Listas suspensas'!$C$6,"")))))</f>
        <v>Indica a penetração profunda, mas desuniforme em toda a extensão do alburno.</v>
      </c>
      <c r="BD189" s="13">
        <v>0.42499999999999999</v>
      </c>
      <c r="BE189" s="18">
        <f t="shared" si="53"/>
        <v>425</v>
      </c>
      <c r="BF189" s="8">
        <v>0.33800000000000002</v>
      </c>
      <c r="BG189" s="8">
        <v>9.2999999999999999E-2</v>
      </c>
      <c r="BH189" s="8">
        <v>0.159</v>
      </c>
      <c r="BI189" s="13">
        <f t="shared" si="45"/>
        <v>0.59000000000000008</v>
      </c>
      <c r="BJ189" s="14">
        <v>57.4</v>
      </c>
      <c r="BK189" s="14">
        <v>15.7</v>
      </c>
      <c r="BL189" s="14">
        <v>26.9</v>
      </c>
      <c r="BM189" s="16">
        <f t="shared" si="48"/>
        <v>100</v>
      </c>
      <c r="BN189" s="21">
        <f t="shared" si="49"/>
        <v>1.44</v>
      </c>
      <c r="BO189" s="21">
        <f t="shared" si="50"/>
        <v>0.4</v>
      </c>
      <c r="BP189" s="21">
        <f t="shared" si="51"/>
        <v>0.68</v>
      </c>
      <c r="BQ189" s="14">
        <f t="shared" si="52"/>
        <v>2.52</v>
      </c>
      <c r="BR189" s="22" t="str">
        <f>IF(OR(AND(X189="Mourões", BQ189&gt;=6.5),AND(X189="Postes", BQ189&gt;=9.6),AND(X189="Dormentes", BQ189&gt;=9.6),AND(X189="Estacas", BQ189&gt;=6.5),AND(X189="Cruzetas", BQ189&gt;=6.5),AND(X189="Outros - Solo", BQ189&gt;=6.5),AND(X189="Outros - Suspenso",BQ189&gt;=4),AND(X189="Deck",BQ189&gt;=4)),'Listas suspensas'!$C$21,'Listas suspensas'!$C$22)</f>
        <v>Os resultados da análise química apresentaram uma retenção do produto inferior ao padrão mínimo exigido pela norma ABNT NBR 16143</v>
      </c>
    </row>
    <row r="190" spans="2:70" x14ac:dyDescent="0.25">
      <c r="B190" s="8" t="s">
        <v>516</v>
      </c>
      <c r="C190" s="8" t="s">
        <v>71</v>
      </c>
      <c r="F190" s="11">
        <v>45870</v>
      </c>
      <c r="G190" s="11">
        <v>45873</v>
      </c>
      <c r="H190" s="11">
        <v>45880</v>
      </c>
      <c r="I190" s="8" t="s">
        <v>466</v>
      </c>
      <c r="J190" s="8" t="s">
        <v>467</v>
      </c>
      <c r="K190" s="8" t="s">
        <v>144</v>
      </c>
      <c r="L190" s="8" t="s">
        <v>15</v>
      </c>
      <c r="N190" s="8" t="s">
        <v>75</v>
      </c>
      <c r="O190" s="8" t="s">
        <v>104</v>
      </c>
      <c r="P190" s="28" t="s">
        <v>471</v>
      </c>
      <c r="Q190" s="16" t="s">
        <v>517</v>
      </c>
      <c r="X190" s="8" t="s">
        <v>473</v>
      </c>
      <c r="Y190" s="34">
        <f>IF(X190='Listas suspensas'!$A$21,'Listas suspensas'!$B$23,IF(X190='Listas suspensas'!$A$22,'Listas suspensas'!$B$23,IF(X190='Listas suspensas'!$A$23,'Listas suspensas'!$B$22,IF(X190='Listas suspensas'!$A$26,'Listas suspensas'!$B$22,IF(X190='Listas suspensas'!$A$32,'Listas suspensas'!$B$22,IF(X190='Listas suspensas'!$A$33,'Listas suspensas'!$B$21,IF(X190='Listas suspensas'!$A$24,'Listas suspensas'!$B$22,IF(X190='Listas suspensas'!$A$30,'Listas suspensas'!$B$21,""))))))))</f>
        <v>4</v>
      </c>
      <c r="Z190" s="8" t="s">
        <v>80</v>
      </c>
      <c r="AA190" s="8">
        <v>2</v>
      </c>
      <c r="AB190" s="8" t="str">
        <f>IF(AA190='Listas suspensas'!$A$2,'Listas suspensas'!$B$2,IF(AA190='Listas suspensas'!$A$3,'Listas suspensas'!$B$3,IF(AA190='Listas suspensas'!$A$4,'Listas suspensas'!$B$4,IF(AA190='Listas suspensas'!$A$5,'Listas suspensas'!$B$5,IF(AA190='Listas suspensas'!$A$6,'Listas suspensas'!$B$6,"")))))</f>
        <v>Profunda e irregular</v>
      </c>
      <c r="AC190" s="8" t="str">
        <f>IF(AA190='Listas suspensas'!$A$2,'Listas suspensas'!$C$2,IF(AA190='Listas suspensas'!$A$3,'Listas suspensas'!$C$3,IF(AA190='Listas suspensas'!$A$4,'Listas suspensas'!$C$4,IF(AA190='Listas suspensas'!$A$5,'Listas suspensas'!$C$5,IF(AA190='Listas suspensas'!$A$6,'Listas suspensas'!$C$6,"")))))</f>
        <v>Indica a penetração profunda, mas desuniforme em toda a extensão do alburno.</v>
      </c>
      <c r="BD190" s="13">
        <v>0.36499999999999999</v>
      </c>
      <c r="BE190" s="18">
        <f t="shared" si="53"/>
        <v>365</v>
      </c>
      <c r="BF190" s="8">
        <v>0.312</v>
      </c>
      <c r="BG190" s="8">
        <v>0.112</v>
      </c>
      <c r="BH190" s="8">
        <v>0.20499999999999999</v>
      </c>
      <c r="BI190" s="13">
        <f t="shared" si="45"/>
        <v>0.629</v>
      </c>
      <c r="BJ190" s="14">
        <v>49.6</v>
      </c>
      <c r="BK190" s="14">
        <v>17.8</v>
      </c>
      <c r="BL190" s="14">
        <v>32.6</v>
      </c>
      <c r="BM190" s="16">
        <f t="shared" si="48"/>
        <v>100</v>
      </c>
      <c r="BN190" s="21">
        <f t="shared" si="49"/>
        <v>1.1399999999999999</v>
      </c>
      <c r="BO190" s="21">
        <f t="shared" si="50"/>
        <v>0.41</v>
      </c>
      <c r="BP190" s="21">
        <f t="shared" si="51"/>
        <v>0.75</v>
      </c>
      <c r="BQ190" s="14">
        <f t="shared" si="52"/>
        <v>2.2999999999999998</v>
      </c>
      <c r="BR190" s="22" t="str">
        <f>IF(OR(AND(X190="Mourões", BQ190&gt;=6.5),AND(X190="Postes", BQ190&gt;=9.6),AND(X190="Dormentes", BQ190&gt;=9.6),AND(X190="Estacas", BQ190&gt;=6.5),AND(X190="Cruzetas", BQ190&gt;=6.5),AND(X190="Outros - Solo", BQ190&gt;=6.5),AND(X190="Outros - Suspenso",BQ190&gt;=4),AND(X190="Deck",BQ190&gt;=4)),'Listas suspensas'!$C$21,'Listas suspensas'!$C$22)</f>
        <v>Os resultados da análise química apresentaram uma retenção do produto inferior ao padrão mínimo exigido pela norma ABNT NBR 16143</v>
      </c>
    </row>
    <row r="191" spans="2:70" x14ac:dyDescent="0.25">
      <c r="B191" s="8" t="s">
        <v>518</v>
      </c>
      <c r="C191" s="8" t="s">
        <v>71</v>
      </c>
      <c r="F191" s="11">
        <v>45870</v>
      </c>
      <c r="G191" s="11">
        <v>45873</v>
      </c>
      <c r="H191" s="11">
        <v>45880</v>
      </c>
      <c r="I191" s="8" t="s">
        <v>466</v>
      </c>
      <c r="J191" s="8" t="s">
        <v>467</v>
      </c>
      <c r="K191" s="8" t="s">
        <v>144</v>
      </c>
      <c r="L191" s="8" t="s">
        <v>15</v>
      </c>
      <c r="N191" s="8" t="s">
        <v>75</v>
      </c>
      <c r="O191" s="8" t="s">
        <v>104</v>
      </c>
      <c r="P191" s="28" t="s">
        <v>471</v>
      </c>
      <c r="Q191" s="16" t="s">
        <v>519</v>
      </c>
      <c r="X191" s="8" t="s">
        <v>473</v>
      </c>
      <c r="Y191" s="34">
        <f>IF(X191='Listas suspensas'!$A$21,'Listas suspensas'!$B$23,IF(X191='Listas suspensas'!$A$22,'Listas suspensas'!$B$23,IF(X191='Listas suspensas'!$A$23,'Listas suspensas'!$B$22,IF(X191='Listas suspensas'!$A$26,'Listas suspensas'!$B$22,IF(X191='Listas suspensas'!$A$32,'Listas suspensas'!$B$22,IF(X191='Listas suspensas'!$A$33,'Listas suspensas'!$B$21,IF(X191='Listas suspensas'!$A$24,'Listas suspensas'!$B$22,IF(X191='Listas suspensas'!$A$30,'Listas suspensas'!$B$21,""))))))))</f>
        <v>4</v>
      </c>
      <c r="Z191" s="8" t="s">
        <v>80</v>
      </c>
      <c r="AA191" s="8">
        <v>2</v>
      </c>
      <c r="AB191" s="8" t="str">
        <f>IF(AA191='Listas suspensas'!$A$2,'Listas suspensas'!$B$2,IF(AA191='Listas suspensas'!$A$3,'Listas suspensas'!$B$3,IF(AA191='Listas suspensas'!$A$4,'Listas suspensas'!$B$4,IF(AA191='Listas suspensas'!$A$5,'Listas suspensas'!$B$5,IF(AA191='Listas suspensas'!$A$6,'Listas suspensas'!$B$6,"")))))</f>
        <v>Profunda e irregular</v>
      </c>
      <c r="AC191" s="8" t="str">
        <f>IF(AA191='Listas suspensas'!$A$2,'Listas suspensas'!$C$2,IF(AA191='Listas suspensas'!$A$3,'Listas suspensas'!$C$3,IF(AA191='Listas suspensas'!$A$4,'Listas suspensas'!$C$4,IF(AA191='Listas suspensas'!$A$5,'Listas suspensas'!$C$5,IF(AA191='Listas suspensas'!$A$6,'Listas suspensas'!$C$6,"")))))</f>
        <v>Indica a penetração profunda, mas desuniforme em toda a extensão do alburno.</v>
      </c>
      <c r="BD191" s="13">
        <v>0.45300000000000001</v>
      </c>
      <c r="BE191" s="18">
        <f t="shared" si="53"/>
        <v>453</v>
      </c>
      <c r="BF191" s="8">
        <v>0.32400000000000001</v>
      </c>
      <c r="BG191" s="8">
        <v>0.113</v>
      </c>
      <c r="BH191" s="8">
        <v>0.19400000000000001</v>
      </c>
      <c r="BI191" s="13">
        <f t="shared" si="45"/>
        <v>0.63100000000000001</v>
      </c>
      <c r="BJ191" s="14">
        <v>51.4</v>
      </c>
      <c r="BK191" s="14">
        <v>17.899999999999999</v>
      </c>
      <c r="BL191" s="14">
        <v>30.7</v>
      </c>
      <c r="BM191" s="16">
        <f t="shared" si="48"/>
        <v>100</v>
      </c>
      <c r="BN191" s="21">
        <f t="shared" si="49"/>
        <v>1.47</v>
      </c>
      <c r="BO191" s="21">
        <f t="shared" si="50"/>
        <v>0.51</v>
      </c>
      <c r="BP191" s="21">
        <f t="shared" si="51"/>
        <v>0.88</v>
      </c>
      <c r="BQ191" s="14">
        <f t="shared" si="52"/>
        <v>2.86</v>
      </c>
      <c r="BR191" s="22" t="str">
        <f>IF(OR(AND(X191="Mourões", BQ191&gt;=6.5),AND(X191="Postes", BQ191&gt;=9.6),AND(X191="Dormentes", BQ191&gt;=9.6),AND(X191="Estacas", BQ191&gt;=6.5),AND(X191="Cruzetas", BQ191&gt;=6.5),AND(X191="Outros - Solo", BQ191&gt;=6.5),AND(X191="Outros - Suspenso",BQ191&gt;=4),AND(X191="Deck",BQ191&gt;=4)),'Listas suspensas'!$C$21,'Listas suspensas'!$C$22)</f>
        <v>Os resultados da análise química apresentaram uma retenção do produto inferior ao padrão mínimo exigido pela norma ABNT NBR 16143</v>
      </c>
    </row>
    <row r="192" spans="2:70" x14ac:dyDescent="0.25">
      <c r="B192" s="8" t="s">
        <v>520</v>
      </c>
      <c r="C192" s="8" t="s">
        <v>71</v>
      </c>
      <c r="F192" s="11">
        <v>45870</v>
      </c>
      <c r="G192" s="11">
        <v>45873</v>
      </c>
      <c r="H192" s="11">
        <v>45880</v>
      </c>
      <c r="I192" s="8" t="s">
        <v>521</v>
      </c>
      <c r="J192" s="8" t="s">
        <v>522</v>
      </c>
      <c r="K192" s="8" t="s">
        <v>523</v>
      </c>
      <c r="L192" s="8" t="s">
        <v>15</v>
      </c>
      <c r="M192" s="30" t="s">
        <v>524</v>
      </c>
      <c r="N192" s="8" t="s">
        <v>75</v>
      </c>
      <c r="O192" s="8" t="s">
        <v>94</v>
      </c>
      <c r="P192" s="28" t="s">
        <v>77</v>
      </c>
      <c r="Q192" s="16" t="s">
        <v>525</v>
      </c>
      <c r="X192" s="8" t="s">
        <v>79</v>
      </c>
      <c r="Y192" s="34">
        <f>IF(X192='Listas suspensas'!$A$21,'Listas suspensas'!$B$23,IF(X192='Listas suspensas'!$A$22,'Listas suspensas'!$B$23,IF(X192='Listas suspensas'!$A$23,'Listas suspensas'!$B$22,IF(X192='Listas suspensas'!$A$26,'Listas suspensas'!$B$22,IF(X192='Listas suspensas'!$A$32,'Listas suspensas'!$B$22,IF(X192='Listas suspensas'!$A$33,'Listas suspensas'!$B$21,IF(X192='Listas suspensas'!$A$24,'Listas suspensas'!$B$22,IF(X192='Listas suspensas'!$A$30,'Listas suspensas'!$B$21,""))))))))</f>
        <v>6.5</v>
      </c>
      <c r="Z192" s="8" t="str">
        <f>IF(X192='Listas suspensas'!$A$23,'Listas suspensas'!$A$9,"")</f>
        <v>NBR 16143</v>
      </c>
      <c r="AA192" s="8">
        <v>2</v>
      </c>
      <c r="AB192" s="8" t="str">
        <f>IF(AA192='Listas suspensas'!$A$2,'Listas suspensas'!$B$2,IF(AA192='Listas suspensas'!$A$3,'Listas suspensas'!$B$3,IF(AA192='Listas suspensas'!$A$4,'Listas suspensas'!$B$4,IF(AA192='Listas suspensas'!$A$5,'Listas suspensas'!$B$5,IF(AA192='Listas suspensas'!$A$6,'Listas suspensas'!$B$6,"")))))</f>
        <v>Profunda e irregular</v>
      </c>
      <c r="AC192" s="8" t="str">
        <f>IF(AA192='Listas suspensas'!$A$2,'Listas suspensas'!$C$2,IF(AA192='Listas suspensas'!$A$3,'Listas suspensas'!$C$3,IF(AA192='Listas suspensas'!$A$4,'Listas suspensas'!$C$4,IF(AA192='Listas suspensas'!$A$5,'Listas suspensas'!$C$5,IF(AA192='Listas suspensas'!$A$6,'Listas suspensas'!$C$6,"")))))</f>
        <v>Indica a penetração profunda, mas desuniforme em toda a extensão do alburno.</v>
      </c>
      <c r="BD192" s="13">
        <v>0.80200000000000005</v>
      </c>
      <c r="BE192" s="18">
        <f t="shared" si="53"/>
        <v>802</v>
      </c>
      <c r="BF192" s="8">
        <v>0.38100000000000001</v>
      </c>
      <c r="BG192" s="8">
        <v>0.158</v>
      </c>
      <c r="BH192" s="8">
        <v>0.318</v>
      </c>
      <c r="BI192" s="13">
        <f t="shared" si="45"/>
        <v>0.85699999999999998</v>
      </c>
      <c r="BJ192" s="14">
        <v>44.4</v>
      </c>
      <c r="BK192" s="14">
        <v>18.5</v>
      </c>
      <c r="BL192" s="14">
        <v>37.1</v>
      </c>
      <c r="BM192" s="16">
        <f t="shared" si="48"/>
        <v>100</v>
      </c>
      <c r="BN192" s="21">
        <f t="shared" si="49"/>
        <v>3.06</v>
      </c>
      <c r="BO192" s="21">
        <f t="shared" si="50"/>
        <v>1.27</v>
      </c>
      <c r="BP192" s="21">
        <f t="shared" si="51"/>
        <v>2.5499999999999998</v>
      </c>
      <c r="BQ192" s="14">
        <f t="shared" si="52"/>
        <v>6.88</v>
      </c>
      <c r="BR192" s="22" t="str">
        <f>IF(OR(AND(X192="Mourões", BQ192&gt;=6.5),AND(X192="Postes", BQ192&gt;=9.6),AND(X192="Dormentes", BQ192&gt;=9.6),AND(X192="Estacas", BQ192&gt;=6.5),AND(X192="Cruzetas", BQ192&gt;=6.5),AND(X192="Outros - Solo", BQ192&gt;=6.5),AND(X192="Outros - Suspenso",BQ192&gt;=4),AND(X192="Deck",BQ192&gt;=4)),'Listas suspensas'!$C$21,'Listas suspensas'!$C$22)</f>
        <v>Os resultados da análise química apresentaram uma retenção do produto de acordo com o padrão mínimo exigido pela norma ABNT NBR 16143</v>
      </c>
    </row>
    <row r="193" spans="2:70" x14ac:dyDescent="0.25">
      <c r="B193" s="8" t="s">
        <v>526</v>
      </c>
      <c r="C193" s="8" t="s">
        <v>71</v>
      </c>
      <c r="F193" s="11">
        <v>45870</v>
      </c>
      <c r="G193" s="11">
        <v>45873</v>
      </c>
      <c r="H193" s="11">
        <v>45880</v>
      </c>
      <c r="I193" s="8" t="s">
        <v>521</v>
      </c>
      <c r="J193" s="8" t="s">
        <v>522</v>
      </c>
      <c r="K193" s="8" t="s">
        <v>523</v>
      </c>
      <c r="L193" s="8" t="s">
        <v>15</v>
      </c>
      <c r="M193" s="30" t="s">
        <v>524</v>
      </c>
      <c r="N193" s="8" t="s">
        <v>75</v>
      </c>
      <c r="O193" s="8" t="s">
        <v>94</v>
      </c>
      <c r="P193" s="28" t="s">
        <v>77</v>
      </c>
      <c r="Q193" s="16" t="s">
        <v>527</v>
      </c>
      <c r="X193" s="8" t="s">
        <v>79</v>
      </c>
      <c r="Y193" s="34">
        <f>IF(X193='Listas suspensas'!$A$21,'Listas suspensas'!$B$23,IF(X193='Listas suspensas'!$A$22,'Listas suspensas'!$B$23,IF(X193='Listas suspensas'!$A$23,'Listas suspensas'!$B$22,IF(X193='Listas suspensas'!$A$26,'Listas suspensas'!$B$22,IF(X193='Listas suspensas'!$A$32,'Listas suspensas'!$B$22,IF(X193='Listas suspensas'!$A$33,'Listas suspensas'!$B$21,IF(X193='Listas suspensas'!$A$24,'Listas suspensas'!$B$22,IF(X193='Listas suspensas'!$A$30,'Listas suspensas'!$B$21,""))))))))</f>
        <v>6.5</v>
      </c>
      <c r="Z193" s="8" t="str">
        <f>IF(X193='Listas suspensas'!$A$23,'Listas suspensas'!$A$9,"")</f>
        <v>NBR 16143</v>
      </c>
      <c r="AA193" s="8">
        <v>2</v>
      </c>
      <c r="AB193" s="8" t="str">
        <f>IF(AA193='Listas suspensas'!$A$2,'Listas suspensas'!$B$2,IF(AA193='Listas suspensas'!$A$3,'Listas suspensas'!$B$3,IF(AA193='Listas suspensas'!$A$4,'Listas suspensas'!$B$4,IF(AA193='Listas suspensas'!$A$5,'Listas suspensas'!$B$5,IF(AA193='Listas suspensas'!$A$6,'Listas suspensas'!$B$6,"")))))</f>
        <v>Profunda e irregular</v>
      </c>
      <c r="AC193" s="8" t="str">
        <f>IF(AA193='Listas suspensas'!$A$2,'Listas suspensas'!$C$2,IF(AA193='Listas suspensas'!$A$3,'Listas suspensas'!$C$3,IF(AA193='Listas suspensas'!$A$4,'Listas suspensas'!$C$4,IF(AA193='Listas suspensas'!$A$5,'Listas suspensas'!$C$5,IF(AA193='Listas suspensas'!$A$6,'Listas suspensas'!$C$6,"")))))</f>
        <v>Indica a penetração profunda, mas desuniforme em toda a extensão do alburno.</v>
      </c>
      <c r="BD193" s="13">
        <v>0.89600000000000002</v>
      </c>
      <c r="BE193" s="18">
        <f t="shared" si="53"/>
        <v>896</v>
      </c>
      <c r="BF193" s="8">
        <v>0.312</v>
      </c>
      <c r="BG193" s="8">
        <v>0.17100000000000001</v>
      </c>
      <c r="BH193" s="8">
        <v>0.38500000000000001</v>
      </c>
      <c r="BI193" s="13">
        <f t="shared" si="45"/>
        <v>0.86799999999999999</v>
      </c>
      <c r="BJ193" s="14">
        <v>36</v>
      </c>
      <c r="BK193" s="14">
        <v>19.7</v>
      </c>
      <c r="BL193" s="14">
        <v>44.3</v>
      </c>
      <c r="BM193" s="16">
        <f t="shared" si="48"/>
        <v>100</v>
      </c>
      <c r="BN193" s="21">
        <f t="shared" si="49"/>
        <v>2.8</v>
      </c>
      <c r="BO193" s="21">
        <f t="shared" si="50"/>
        <v>1.53</v>
      </c>
      <c r="BP193" s="21">
        <f t="shared" si="51"/>
        <v>3.45</v>
      </c>
      <c r="BQ193" s="14">
        <f t="shared" si="52"/>
        <v>7.78</v>
      </c>
      <c r="BR193" s="22" t="str">
        <f>IF(OR(AND(X193="Mourões", BQ193&gt;=6.5),AND(X193="Postes", BQ193&gt;=9.6),AND(X193="Dormentes", BQ193&gt;=9.6),AND(X193="Estacas", BQ193&gt;=6.5),AND(X193="Cruzetas", BQ193&gt;=6.5),AND(X193="Outros - Solo", BQ193&gt;=6.5),AND(X193="Outros - Suspenso",BQ193&gt;=4),AND(X193="Deck",BQ193&gt;=4)),'Listas suspensas'!$C$21,'Listas suspensas'!$C$22)</f>
        <v>Os resultados da análise química apresentaram uma retenção do produto de acordo com o padrão mínimo exigido pela norma ABNT NBR 16143</v>
      </c>
    </row>
    <row r="194" spans="2:70" x14ac:dyDescent="0.25">
      <c r="B194" s="8" t="s">
        <v>528</v>
      </c>
      <c r="C194" s="8" t="s">
        <v>71</v>
      </c>
      <c r="F194" s="11">
        <v>45870</v>
      </c>
      <c r="G194" s="11">
        <v>45873</v>
      </c>
      <c r="H194" s="11">
        <v>45880</v>
      </c>
      <c r="I194" s="8" t="s">
        <v>521</v>
      </c>
      <c r="J194" s="8" t="s">
        <v>522</v>
      </c>
      <c r="K194" s="8" t="s">
        <v>523</v>
      </c>
      <c r="L194" s="8" t="s">
        <v>15</v>
      </c>
      <c r="M194" s="30" t="s">
        <v>524</v>
      </c>
      <c r="N194" s="8" t="s">
        <v>75</v>
      </c>
      <c r="O194" s="8" t="s">
        <v>94</v>
      </c>
      <c r="P194" s="28" t="s">
        <v>77</v>
      </c>
      <c r="Q194" s="16" t="s">
        <v>529</v>
      </c>
      <c r="X194" s="8" t="s">
        <v>79</v>
      </c>
      <c r="Y194" s="34">
        <f>IF(X194='Listas suspensas'!$A$21,'Listas suspensas'!$B$23,IF(X194='Listas suspensas'!$A$22,'Listas suspensas'!$B$23,IF(X194='Listas suspensas'!$A$23,'Listas suspensas'!$B$22,IF(X194='Listas suspensas'!$A$26,'Listas suspensas'!$B$22,IF(X194='Listas suspensas'!$A$32,'Listas suspensas'!$B$22,IF(X194='Listas suspensas'!$A$33,'Listas suspensas'!$B$21,IF(X194='Listas suspensas'!$A$24,'Listas suspensas'!$B$22,IF(X194='Listas suspensas'!$A$30,'Listas suspensas'!$B$21,""))))))))</f>
        <v>6.5</v>
      </c>
      <c r="Z194" s="8" t="str">
        <f>IF(X194='Listas suspensas'!$A$23,'Listas suspensas'!$A$9,"")</f>
        <v>NBR 16143</v>
      </c>
      <c r="AA194" s="8">
        <v>2</v>
      </c>
      <c r="AB194" s="8" t="str">
        <f>IF(AA194='Listas suspensas'!$A$2,'Listas suspensas'!$B$2,IF(AA194='Listas suspensas'!$A$3,'Listas suspensas'!$B$3,IF(AA194='Listas suspensas'!$A$4,'Listas suspensas'!$B$4,IF(AA194='Listas suspensas'!$A$5,'Listas suspensas'!$B$5,IF(AA194='Listas suspensas'!$A$6,'Listas suspensas'!$B$6,"")))))</f>
        <v>Profunda e irregular</v>
      </c>
      <c r="AC194" s="8" t="str">
        <f>IF(AA194='Listas suspensas'!$A$2,'Listas suspensas'!$C$2,IF(AA194='Listas suspensas'!$A$3,'Listas suspensas'!$C$3,IF(AA194='Listas suspensas'!$A$4,'Listas suspensas'!$C$4,IF(AA194='Listas suspensas'!$A$5,'Listas suspensas'!$C$5,IF(AA194='Listas suspensas'!$A$6,'Listas suspensas'!$C$6,"")))))</f>
        <v>Indica a penetração profunda, mas desuniforme em toda a extensão do alburno.</v>
      </c>
      <c r="BD194" s="13">
        <v>0.84</v>
      </c>
      <c r="BE194" s="18">
        <f t="shared" si="53"/>
        <v>840</v>
      </c>
      <c r="BF194" s="8">
        <v>0.308</v>
      </c>
      <c r="BG194" s="8">
        <v>0.182</v>
      </c>
      <c r="BH194" s="8">
        <v>0.39400000000000002</v>
      </c>
      <c r="BI194" s="13">
        <f t="shared" ref="BI194:BI257" si="54">SUM(BF194:BH194)</f>
        <v>0.88400000000000001</v>
      </c>
      <c r="BJ194" s="14">
        <v>34.799999999999997</v>
      </c>
      <c r="BK194" s="14">
        <v>20.6</v>
      </c>
      <c r="BL194" s="14">
        <v>44.6</v>
      </c>
      <c r="BM194" s="16">
        <f t="shared" si="48"/>
        <v>100</v>
      </c>
      <c r="BN194" s="21">
        <f t="shared" si="49"/>
        <v>2.59</v>
      </c>
      <c r="BO194" s="21">
        <f t="shared" si="50"/>
        <v>1.53</v>
      </c>
      <c r="BP194" s="21">
        <f t="shared" si="51"/>
        <v>3.31</v>
      </c>
      <c r="BQ194" s="14">
        <f t="shared" si="52"/>
        <v>7.43</v>
      </c>
      <c r="BR194" s="22" t="str">
        <f>IF(OR(AND(X194="Mourões", BQ194&gt;=6.5),AND(X194="Postes", BQ194&gt;=9.6),AND(X194="Dormentes", BQ194&gt;=9.6),AND(X194="Estacas", BQ194&gt;=6.5),AND(X194="Cruzetas", BQ194&gt;=6.5),AND(X194="Outros - Solo", BQ194&gt;=6.5),AND(X194="Outros - Suspenso",BQ194&gt;=4),AND(X194="Deck",BQ194&gt;=4)),'Listas suspensas'!$C$21,'Listas suspensas'!$C$22)</f>
        <v>Os resultados da análise química apresentaram uma retenção do produto de acordo com o padrão mínimo exigido pela norma ABNT NBR 16143</v>
      </c>
    </row>
    <row r="195" spans="2:70" x14ac:dyDescent="0.25">
      <c r="B195" s="8" t="s">
        <v>530</v>
      </c>
      <c r="C195" s="8" t="s">
        <v>71</v>
      </c>
      <c r="F195" s="11">
        <v>45870</v>
      </c>
      <c r="G195" s="11">
        <v>45873</v>
      </c>
      <c r="H195" s="11">
        <v>45880</v>
      </c>
      <c r="I195" s="8" t="s">
        <v>521</v>
      </c>
      <c r="J195" s="8" t="s">
        <v>522</v>
      </c>
      <c r="K195" s="8" t="s">
        <v>523</v>
      </c>
      <c r="L195" s="8" t="s">
        <v>15</v>
      </c>
      <c r="M195" s="30" t="s">
        <v>524</v>
      </c>
      <c r="N195" s="8" t="s">
        <v>75</v>
      </c>
      <c r="O195" s="8" t="s">
        <v>94</v>
      </c>
      <c r="P195" s="28" t="s">
        <v>77</v>
      </c>
      <c r="Q195" s="16" t="s">
        <v>531</v>
      </c>
      <c r="X195" s="8" t="s">
        <v>79</v>
      </c>
      <c r="Y195" s="34">
        <f>IF(X195='Listas suspensas'!$A$21,'Listas suspensas'!$B$23,IF(X195='Listas suspensas'!$A$22,'Listas suspensas'!$B$23,IF(X195='Listas suspensas'!$A$23,'Listas suspensas'!$B$22,IF(X195='Listas suspensas'!$A$26,'Listas suspensas'!$B$22,IF(X195='Listas suspensas'!$A$32,'Listas suspensas'!$B$22,IF(X195='Listas suspensas'!$A$33,'Listas suspensas'!$B$21,IF(X195='Listas suspensas'!$A$24,'Listas suspensas'!$B$22,IF(X195='Listas suspensas'!$A$30,'Listas suspensas'!$B$21,""))))))))</f>
        <v>6.5</v>
      </c>
      <c r="Z195" s="8" t="str">
        <f>IF(X195='Listas suspensas'!$A$23,'Listas suspensas'!$A$9,"")</f>
        <v>NBR 16143</v>
      </c>
      <c r="AA195" s="8">
        <v>2</v>
      </c>
      <c r="AB195" s="8" t="str">
        <f>IF(AA195='Listas suspensas'!$A$2,'Listas suspensas'!$B$2,IF(AA195='Listas suspensas'!$A$3,'Listas suspensas'!$B$3,IF(AA195='Listas suspensas'!$A$4,'Listas suspensas'!$B$4,IF(AA195='Listas suspensas'!$A$5,'Listas suspensas'!$B$5,IF(AA195='Listas suspensas'!$A$6,'Listas suspensas'!$B$6,"")))))</f>
        <v>Profunda e irregular</v>
      </c>
      <c r="AC195" s="8" t="str">
        <f>IF(AA195='Listas suspensas'!$A$2,'Listas suspensas'!$C$2,IF(AA195='Listas suspensas'!$A$3,'Listas suspensas'!$C$3,IF(AA195='Listas suspensas'!$A$4,'Listas suspensas'!$C$4,IF(AA195='Listas suspensas'!$A$5,'Listas suspensas'!$C$5,IF(AA195='Listas suspensas'!$A$6,'Listas suspensas'!$C$6,"")))))</f>
        <v>Indica a penetração profunda, mas desuniforme em toda a extensão do alburno.</v>
      </c>
      <c r="BD195" s="13">
        <v>0.95599999999999996</v>
      </c>
      <c r="BE195" s="18">
        <f t="shared" si="53"/>
        <v>956</v>
      </c>
      <c r="BF195" s="8">
        <v>0.308</v>
      </c>
      <c r="BG195" s="8">
        <v>0.16800000000000001</v>
      </c>
      <c r="BH195" s="8">
        <v>0.374</v>
      </c>
      <c r="BI195" s="13">
        <f t="shared" si="54"/>
        <v>0.85</v>
      </c>
      <c r="BJ195" s="14">
        <v>36.299999999999997</v>
      </c>
      <c r="BK195" s="14">
        <v>19.7</v>
      </c>
      <c r="BL195" s="14">
        <v>44</v>
      </c>
      <c r="BM195" s="16">
        <f t="shared" si="48"/>
        <v>100</v>
      </c>
      <c r="BN195" s="21">
        <f t="shared" si="49"/>
        <v>2.94</v>
      </c>
      <c r="BO195" s="21">
        <f t="shared" si="50"/>
        <v>1.61</v>
      </c>
      <c r="BP195" s="21">
        <f t="shared" si="51"/>
        <v>3.58</v>
      </c>
      <c r="BQ195" s="14">
        <f t="shared" si="52"/>
        <v>8.1300000000000008</v>
      </c>
      <c r="BR195" s="22" t="str">
        <f>IF(OR(AND(X195="Mourões", BQ195&gt;=6.5),AND(X195="Postes", BQ195&gt;=9.6),AND(X195="Dormentes", BQ195&gt;=9.6),AND(X195="Estacas", BQ195&gt;=6.5),AND(X195="Cruzetas", BQ195&gt;=6.5),AND(X195="Outros - Solo", BQ195&gt;=6.5),AND(X195="Outros - Suspenso",BQ195&gt;=4),AND(X195="Deck",BQ195&gt;=4)),'Listas suspensas'!$C$21,'Listas suspensas'!$C$22)</f>
        <v>Os resultados da análise química apresentaram uma retenção do produto de acordo com o padrão mínimo exigido pela norma ABNT NBR 16143</v>
      </c>
    </row>
    <row r="196" spans="2:70" x14ac:dyDescent="0.25">
      <c r="B196" s="8" t="s">
        <v>532</v>
      </c>
      <c r="C196" s="8" t="s">
        <v>71</v>
      </c>
      <c r="F196" s="11">
        <v>45870</v>
      </c>
      <c r="G196" s="11">
        <v>45880</v>
      </c>
      <c r="H196" s="11">
        <v>45905</v>
      </c>
      <c r="I196" s="8" t="s">
        <v>533</v>
      </c>
      <c r="J196" s="8" t="s">
        <v>534</v>
      </c>
      <c r="K196" s="8" t="s">
        <v>189</v>
      </c>
      <c r="L196" s="8" t="s">
        <v>15</v>
      </c>
      <c r="M196" s="30" t="s">
        <v>535</v>
      </c>
      <c r="N196" s="8" t="s">
        <v>75</v>
      </c>
      <c r="O196" s="8" t="s">
        <v>94</v>
      </c>
      <c r="P196" s="28" t="s">
        <v>77</v>
      </c>
      <c r="Q196" s="16" t="s">
        <v>536</v>
      </c>
      <c r="X196" s="8" t="s">
        <v>180</v>
      </c>
      <c r="Y196" s="34">
        <f>IF(X196='Listas suspensas'!$A$21,'Listas suspensas'!$B$23,IF(X196='Listas suspensas'!$A$22,'Listas suspensas'!$B$23,IF(X196='Listas suspensas'!$A$23,'Listas suspensas'!$B$22,IF(X196='Listas suspensas'!$A$26,'Listas suspensas'!$B$22,IF(X196='Listas suspensas'!$A$32,'Listas suspensas'!$B$22,IF(X196='Listas suspensas'!$A$33,'Listas suspensas'!$B$21,IF(X196='Listas suspensas'!$A$24,'Listas suspensas'!$B$22,IF(X196='Listas suspensas'!$A$30,'Listas suspensas'!$B$21,""))))))))</f>
        <v>6.5</v>
      </c>
      <c r="Z196" s="8" t="s">
        <v>80</v>
      </c>
      <c r="AA196" s="8">
        <v>4</v>
      </c>
      <c r="AB196" s="8" t="str">
        <f>IF(AA196='Listas suspensas'!$A$2,'Listas suspensas'!$B$2,IF(AA196='Listas suspensas'!$A$3,'Listas suspensas'!$B$3,IF(AA196='Listas suspensas'!$A$4,'Listas suspensas'!$B$4,IF(AA196='Listas suspensas'!$A$5,'Listas suspensas'!$B$5,IF(AA196='Listas suspensas'!$A$6,'Listas suspensas'!$B$6,"")))))</f>
        <v>Parcial e irregular</v>
      </c>
      <c r="AC196" s="8" t="str">
        <f>IF(AA196='Listas suspensas'!$A$2,'Listas suspensas'!$C$2,IF(AA196='Listas suspensas'!$A$3,'Listas suspensas'!$C$3,IF(AA196='Listas suspensas'!$A$4,'Listas suspensas'!$C$4,IF(AA196='Listas suspensas'!$A$5,'Listas suspensas'!$C$5,IF(AA196='Listas suspensas'!$A$6,'Listas suspensas'!$C$6,"")))))</f>
        <v>Indica a penetração desuniforme e não total pela extensão do alburno.</v>
      </c>
      <c r="BD196" s="13">
        <v>0.879</v>
      </c>
      <c r="BE196" s="18">
        <f t="shared" si="53"/>
        <v>879</v>
      </c>
      <c r="BF196" s="8">
        <v>0.19500000000000001</v>
      </c>
      <c r="BG196" s="8">
        <v>6.9000000000000006E-2</v>
      </c>
      <c r="BH196" s="8">
        <v>0.13</v>
      </c>
      <c r="BI196" s="13">
        <f t="shared" si="54"/>
        <v>0.39400000000000002</v>
      </c>
      <c r="BJ196" s="14">
        <v>49.4</v>
      </c>
      <c r="BK196" s="14">
        <v>17.600000000000001</v>
      </c>
      <c r="BL196" s="14">
        <v>33</v>
      </c>
      <c r="BM196" s="16">
        <f t="shared" si="48"/>
        <v>100</v>
      </c>
      <c r="BN196" s="21">
        <f t="shared" si="49"/>
        <v>1.71</v>
      </c>
      <c r="BO196" s="21">
        <f t="shared" si="50"/>
        <v>0.61</v>
      </c>
      <c r="BP196" s="21">
        <f t="shared" si="51"/>
        <v>1.1399999999999999</v>
      </c>
      <c r="BQ196" s="14">
        <f t="shared" si="52"/>
        <v>3.46</v>
      </c>
      <c r="BR196" s="22" t="str">
        <f>IF(OR(AND(X196="Mourões", BQ196&gt;=6.5),AND(X196="Postes", BQ196&gt;=9.6),AND(X196="Dormentes", BQ196&gt;=9.6),AND(X196="Estacas", BQ196&gt;=6.5),AND(X196="Cruzetas", BQ196&gt;=6.5),AND(X196="Outros - Solo", BQ196&gt;=6.5),AND(X196="Outros - Suspenso",BQ196&gt;=4),AND(X196="Deck",BQ196&gt;=4)),'Listas suspensas'!$C$21,'Listas suspensas'!$C$22)</f>
        <v>Os resultados da análise química apresentaram uma retenção do produto inferior ao padrão mínimo exigido pela norma ABNT NBR 16143</v>
      </c>
    </row>
    <row r="197" spans="2:70" x14ac:dyDescent="0.25">
      <c r="B197" s="8" t="s">
        <v>537</v>
      </c>
      <c r="C197" s="8" t="s">
        <v>71</v>
      </c>
      <c r="F197" s="11">
        <v>45870</v>
      </c>
      <c r="G197" s="11">
        <v>45880</v>
      </c>
      <c r="H197" s="11">
        <v>45905</v>
      </c>
      <c r="I197" s="8" t="s">
        <v>533</v>
      </c>
      <c r="J197" s="8" t="s">
        <v>534</v>
      </c>
      <c r="K197" s="8" t="s">
        <v>189</v>
      </c>
      <c r="L197" s="8" t="s">
        <v>15</v>
      </c>
      <c r="M197" s="30" t="s">
        <v>535</v>
      </c>
      <c r="N197" s="8" t="s">
        <v>75</v>
      </c>
      <c r="O197" s="8" t="s">
        <v>94</v>
      </c>
      <c r="P197" s="28" t="s">
        <v>77</v>
      </c>
      <c r="Q197" s="16" t="s">
        <v>538</v>
      </c>
      <c r="X197" s="8" t="s">
        <v>79</v>
      </c>
      <c r="Y197" s="34">
        <f>IF(X197='Listas suspensas'!$A$21,'Listas suspensas'!$B$23,IF(X197='Listas suspensas'!$A$22,'Listas suspensas'!$B$23,IF(X197='Listas suspensas'!$A$23,'Listas suspensas'!$B$22,IF(X197='Listas suspensas'!$A$26,'Listas suspensas'!$B$22,IF(X197='Listas suspensas'!$A$32,'Listas suspensas'!$B$22,IF(X197='Listas suspensas'!$A$33,'Listas suspensas'!$B$21,IF(X197='Listas suspensas'!$A$24,'Listas suspensas'!$B$22,IF(X197='Listas suspensas'!$A$30,'Listas suspensas'!$B$21,""))))))))</f>
        <v>6.5</v>
      </c>
      <c r="Z197" s="8" t="s">
        <v>80</v>
      </c>
      <c r="AA197" s="8">
        <v>4</v>
      </c>
      <c r="AB197" s="8" t="str">
        <f>IF(AA197='Listas suspensas'!$A$2,'Listas suspensas'!$B$2,IF(AA197='Listas suspensas'!$A$3,'Listas suspensas'!$B$3,IF(AA197='Listas suspensas'!$A$4,'Listas suspensas'!$B$4,IF(AA197='Listas suspensas'!$A$5,'Listas suspensas'!$B$5,IF(AA197='Listas suspensas'!$A$6,'Listas suspensas'!$B$6,"")))))</f>
        <v>Parcial e irregular</v>
      </c>
      <c r="AC197" s="8" t="str">
        <f>IF(AA197='Listas suspensas'!$A$2,'Listas suspensas'!$C$2,IF(AA197='Listas suspensas'!$A$3,'Listas suspensas'!$C$3,IF(AA197='Listas suspensas'!$A$4,'Listas suspensas'!$C$4,IF(AA197='Listas suspensas'!$A$5,'Listas suspensas'!$C$5,IF(AA197='Listas suspensas'!$A$6,'Listas suspensas'!$C$6,"")))))</f>
        <v>Indica a penetração desuniforme e não total pela extensão do alburno.</v>
      </c>
      <c r="BD197" s="13">
        <v>0.91</v>
      </c>
      <c r="BE197" s="18">
        <f t="shared" si="53"/>
        <v>910</v>
      </c>
      <c r="BF197" s="8">
        <v>0.121</v>
      </c>
      <c r="BG197" s="8">
        <v>2.4E-2</v>
      </c>
      <c r="BH197" s="8">
        <v>3.5999999999999997E-2</v>
      </c>
      <c r="BI197" s="13">
        <f t="shared" si="54"/>
        <v>0.18099999999999999</v>
      </c>
      <c r="BJ197" s="14">
        <v>66.8</v>
      </c>
      <c r="BK197" s="14">
        <v>13.3</v>
      </c>
      <c r="BL197" s="14">
        <v>19.899999999999999</v>
      </c>
      <c r="BM197" s="16">
        <f t="shared" si="48"/>
        <v>100</v>
      </c>
      <c r="BN197" s="21">
        <f t="shared" si="49"/>
        <v>1.1000000000000001</v>
      </c>
      <c r="BO197" s="21">
        <f t="shared" si="50"/>
        <v>0.22</v>
      </c>
      <c r="BP197" s="21">
        <f t="shared" si="51"/>
        <v>0.33</v>
      </c>
      <c r="BQ197" s="14">
        <f t="shared" si="52"/>
        <v>1.65</v>
      </c>
      <c r="BR197" s="22" t="str">
        <f>IF(OR(AND(X197="Mourões", BQ197&gt;=6.5),AND(X197="Postes", BQ197&gt;=9.6),AND(X197="Dormentes", BQ197&gt;=9.6),AND(X197="Estacas", BQ197&gt;=6.5),AND(X197="Cruzetas", BQ197&gt;=6.5),AND(X197="Outros - Solo", BQ197&gt;=6.5),AND(X197="Outros - Suspenso",BQ197&gt;=4),AND(X197="Deck",BQ197&gt;=4)),'Listas suspensas'!$C$21,'Listas suspensas'!$C$22)</f>
        <v>Os resultados da análise química apresentaram uma retenção do produto inferior ao padrão mínimo exigido pela norma ABNT NBR 16143</v>
      </c>
    </row>
    <row r="198" spans="2:70" x14ac:dyDescent="0.25">
      <c r="B198" s="8" t="s">
        <v>539</v>
      </c>
      <c r="C198" s="8" t="s">
        <v>71</v>
      </c>
      <c r="F198" s="11">
        <v>45870</v>
      </c>
      <c r="G198" s="11">
        <v>45880</v>
      </c>
      <c r="H198" s="11">
        <v>45905</v>
      </c>
      <c r="I198" s="8" t="s">
        <v>533</v>
      </c>
      <c r="J198" s="8" t="s">
        <v>534</v>
      </c>
      <c r="K198" s="8" t="s">
        <v>189</v>
      </c>
      <c r="L198" s="8" t="s">
        <v>15</v>
      </c>
      <c r="M198" s="30" t="s">
        <v>535</v>
      </c>
      <c r="N198" s="8" t="s">
        <v>75</v>
      </c>
      <c r="O198" s="8" t="s">
        <v>94</v>
      </c>
      <c r="P198" s="28" t="s">
        <v>77</v>
      </c>
      <c r="Q198" s="16" t="s">
        <v>540</v>
      </c>
      <c r="X198" s="8" t="s">
        <v>180</v>
      </c>
      <c r="Y198" s="34">
        <f>IF(X198='Listas suspensas'!$A$21,'Listas suspensas'!$B$23,IF(X198='Listas suspensas'!$A$22,'Listas suspensas'!$B$23,IF(X198='Listas suspensas'!$A$23,'Listas suspensas'!$B$22,IF(X198='Listas suspensas'!$A$26,'Listas suspensas'!$B$22,IF(X198='Listas suspensas'!$A$32,'Listas suspensas'!$B$22,IF(X198='Listas suspensas'!$A$33,'Listas suspensas'!$B$21,IF(X198='Listas suspensas'!$A$24,'Listas suspensas'!$B$22,IF(X198='Listas suspensas'!$A$30,'Listas suspensas'!$B$21,""))))))))</f>
        <v>6.5</v>
      </c>
      <c r="Z198" s="8" t="s">
        <v>80</v>
      </c>
      <c r="AA198" s="8">
        <v>2</v>
      </c>
      <c r="AB198" s="8" t="str">
        <f>IF(AA198='Listas suspensas'!$A$2,'Listas suspensas'!$B$2,IF(AA198='Listas suspensas'!$A$3,'Listas suspensas'!$B$3,IF(AA198='Listas suspensas'!$A$4,'Listas suspensas'!$B$4,IF(AA198='Listas suspensas'!$A$5,'Listas suspensas'!$B$5,IF(AA198='Listas suspensas'!$A$6,'Listas suspensas'!$B$6,"")))))</f>
        <v>Profunda e irregular</v>
      </c>
      <c r="AC198" s="8" t="str">
        <f>IF(AA198='Listas suspensas'!$A$2,'Listas suspensas'!$C$2,IF(AA198='Listas suspensas'!$A$3,'Listas suspensas'!$C$3,IF(AA198='Listas suspensas'!$A$4,'Listas suspensas'!$C$4,IF(AA198='Listas suspensas'!$A$5,'Listas suspensas'!$C$5,IF(AA198='Listas suspensas'!$A$6,'Listas suspensas'!$C$6,"")))))</f>
        <v>Indica a penetração profunda, mas desuniforme em toda a extensão do alburno.</v>
      </c>
      <c r="BD198" s="13">
        <v>0.89600000000000002</v>
      </c>
      <c r="BE198" s="18">
        <f t="shared" si="53"/>
        <v>896</v>
      </c>
      <c r="BF198" s="8">
        <v>0.255</v>
      </c>
      <c r="BG198" s="8">
        <v>0.11700000000000001</v>
      </c>
      <c r="BH198" s="8">
        <v>0.223</v>
      </c>
      <c r="BI198" s="13">
        <f t="shared" si="54"/>
        <v>0.59499999999999997</v>
      </c>
      <c r="BJ198" s="14">
        <v>42.8</v>
      </c>
      <c r="BK198" s="14">
        <v>19.7</v>
      </c>
      <c r="BL198" s="14">
        <v>37.5</v>
      </c>
      <c r="BM198" s="16">
        <f t="shared" si="48"/>
        <v>100</v>
      </c>
      <c r="BN198" s="21">
        <f t="shared" si="49"/>
        <v>2.2799999999999998</v>
      </c>
      <c r="BO198" s="21">
        <f t="shared" si="50"/>
        <v>1.05</v>
      </c>
      <c r="BP198" s="21">
        <f t="shared" si="51"/>
        <v>2</v>
      </c>
      <c r="BQ198" s="14">
        <f t="shared" si="52"/>
        <v>5.33</v>
      </c>
      <c r="BR198" s="22" t="str">
        <f>IF(OR(AND(X198="Mourões", BQ198&gt;=6.5),AND(X198="Postes", BQ198&gt;=9.6),AND(X198="Dormentes", BQ198&gt;=9.6),AND(X198="Estacas", BQ198&gt;=6.5),AND(X198="Cruzetas", BQ198&gt;=6.5),AND(X198="Outros - Solo", BQ198&gt;=6.5),AND(X198="Outros - Suspenso",BQ198&gt;=4),AND(X198="Deck",BQ198&gt;=4)),'Listas suspensas'!$C$21,'Listas suspensas'!$C$22)</f>
        <v>Os resultados da análise química apresentaram uma retenção do produto inferior ao padrão mínimo exigido pela norma ABNT NBR 16143</v>
      </c>
    </row>
    <row r="199" spans="2:70" x14ac:dyDescent="0.25">
      <c r="B199" s="8" t="s">
        <v>541</v>
      </c>
      <c r="C199" s="8" t="s">
        <v>71</v>
      </c>
      <c r="F199" s="11">
        <v>45880</v>
      </c>
      <c r="G199" s="11">
        <v>45883</v>
      </c>
      <c r="H199" s="11">
        <v>45896</v>
      </c>
      <c r="I199" s="8" t="s">
        <v>542</v>
      </c>
      <c r="J199" s="8" t="s">
        <v>543</v>
      </c>
      <c r="K199" s="8" t="s">
        <v>74</v>
      </c>
      <c r="L199" s="8" t="s">
        <v>15</v>
      </c>
      <c r="M199" s="30" t="s">
        <v>544</v>
      </c>
      <c r="N199" s="8" t="s">
        <v>75</v>
      </c>
      <c r="O199" s="8" t="s">
        <v>545</v>
      </c>
      <c r="P199" s="28" t="s">
        <v>77</v>
      </c>
      <c r="Q199" s="16" t="s">
        <v>546</v>
      </c>
      <c r="X199" s="8" t="s">
        <v>79</v>
      </c>
      <c r="Y199" s="34">
        <f>IF(X199='Listas suspensas'!$A$21,'Listas suspensas'!$B$23,IF(X199='Listas suspensas'!$A$22,'Listas suspensas'!$B$23,IF(X199='Listas suspensas'!$A$23,'Listas suspensas'!$B$22,IF(X199='Listas suspensas'!$A$26,'Listas suspensas'!$B$22,IF(X199='Listas suspensas'!$A$32,'Listas suspensas'!$B$22,IF(X199='Listas suspensas'!$A$33,'Listas suspensas'!$B$21,IF(X199='Listas suspensas'!$A$24,'Listas suspensas'!$B$22,IF(X199='Listas suspensas'!$A$30,'Listas suspensas'!$B$21,""))))))))</f>
        <v>6.5</v>
      </c>
      <c r="Z199" s="8" t="s">
        <v>80</v>
      </c>
      <c r="AA199" s="8">
        <v>2</v>
      </c>
      <c r="AB199" s="8" t="str">
        <f>IF(AA199='Listas suspensas'!$A$2,'Listas suspensas'!$B$2,IF(AA199='Listas suspensas'!$A$3,'Listas suspensas'!$B$3,IF(AA199='Listas suspensas'!$A$4,'Listas suspensas'!$B$4,IF(AA199='Listas suspensas'!$A$5,'Listas suspensas'!$B$5,IF(AA199='Listas suspensas'!$A$6,'Listas suspensas'!$B$6,"")))))</f>
        <v>Profunda e irregular</v>
      </c>
      <c r="AC199" s="8" t="str">
        <f>IF(AA199='Listas suspensas'!$A$2,'Listas suspensas'!$C$2,IF(AA199='Listas suspensas'!$A$3,'Listas suspensas'!$C$3,IF(AA199='Listas suspensas'!$A$4,'Listas suspensas'!$C$4,IF(AA199='Listas suspensas'!$A$5,'Listas suspensas'!$C$5,IF(AA199='Listas suspensas'!$A$6,'Listas suspensas'!$C$6,"")))))</f>
        <v>Indica a penetração profunda, mas desuniforme em toda a extensão do alburno.</v>
      </c>
      <c r="BD199" s="13">
        <v>0.89200000000000002</v>
      </c>
      <c r="BE199" s="18">
        <f t="shared" si="53"/>
        <v>892</v>
      </c>
      <c r="BF199" s="8">
        <v>0.40400000000000003</v>
      </c>
      <c r="BG199" s="8">
        <v>0.13300000000000001</v>
      </c>
      <c r="BH199" s="8">
        <v>0.38400000000000001</v>
      </c>
      <c r="BI199" s="13">
        <f t="shared" si="54"/>
        <v>0.92100000000000004</v>
      </c>
      <c r="BJ199" s="14">
        <v>43.9</v>
      </c>
      <c r="BK199" s="14">
        <v>14.4</v>
      </c>
      <c r="BL199" s="14">
        <v>41.7</v>
      </c>
      <c r="BM199" s="16">
        <f t="shared" si="48"/>
        <v>100</v>
      </c>
      <c r="BN199" s="21">
        <f t="shared" si="49"/>
        <v>3.6</v>
      </c>
      <c r="BO199" s="21">
        <f t="shared" si="50"/>
        <v>1.19</v>
      </c>
      <c r="BP199" s="21">
        <f t="shared" si="51"/>
        <v>3.43</v>
      </c>
      <c r="BQ199" s="14">
        <f t="shared" si="52"/>
        <v>8.2200000000000006</v>
      </c>
      <c r="BR199" s="22" t="str">
        <f>IF(OR(AND(X199="Mourões", BQ199&gt;=6.5),AND(X199="Postes", BQ199&gt;=9.6),AND(X199="Dormentes", BQ199&gt;=9.6),AND(X199="Estacas", BQ199&gt;=6.5),AND(X199="Cruzetas", BQ199&gt;=6.5),AND(X199="Outros - Solo", BQ199&gt;=6.5),AND(X199="Outros - Suspenso",BQ199&gt;=4),AND(X199="Deck",BQ199&gt;=4)),'Listas suspensas'!$C$21,'Listas suspensas'!$C$22)</f>
        <v>Os resultados da análise química apresentaram uma retenção do produto de acordo com o padrão mínimo exigido pela norma ABNT NBR 16143</v>
      </c>
    </row>
    <row r="200" spans="2:70" x14ac:dyDescent="0.25">
      <c r="B200" s="8" t="s">
        <v>547</v>
      </c>
      <c r="C200" s="8" t="s">
        <v>71</v>
      </c>
      <c r="F200" s="11">
        <v>45880</v>
      </c>
      <c r="G200" s="11">
        <v>45883</v>
      </c>
      <c r="H200" s="11">
        <v>45896</v>
      </c>
      <c r="I200" s="8" t="s">
        <v>187</v>
      </c>
      <c r="J200" s="8" t="s">
        <v>323</v>
      </c>
      <c r="K200" s="8" t="s">
        <v>109</v>
      </c>
      <c r="L200" s="8" t="s">
        <v>15</v>
      </c>
      <c r="M200" s="30" t="s">
        <v>324</v>
      </c>
      <c r="N200" s="8" t="s">
        <v>75</v>
      </c>
      <c r="O200" s="8" t="s">
        <v>94</v>
      </c>
      <c r="P200" s="28" t="s">
        <v>146</v>
      </c>
      <c r="Q200" s="16" t="s">
        <v>548</v>
      </c>
      <c r="X200" s="8" t="s">
        <v>79</v>
      </c>
      <c r="Y200" s="34">
        <f>IF(X200='Listas suspensas'!$A$21,'Listas suspensas'!$B$23,IF(X200='Listas suspensas'!$A$22,'Listas suspensas'!$B$23,IF(X200='Listas suspensas'!$A$23,'Listas suspensas'!$B$22,IF(X200='Listas suspensas'!$A$26,'Listas suspensas'!$B$22,IF(X200='Listas suspensas'!$A$32,'Listas suspensas'!$B$22,IF(X200='Listas suspensas'!$A$33,'Listas suspensas'!$B$21,IF(X200='Listas suspensas'!$A$24,'Listas suspensas'!$B$22,IF(X200='Listas suspensas'!$A$30,'Listas suspensas'!$B$21,""))))))))</f>
        <v>6.5</v>
      </c>
      <c r="Z200" s="8" t="s">
        <v>80</v>
      </c>
      <c r="AA200" s="8">
        <v>3</v>
      </c>
      <c r="AB200" s="8" t="str">
        <f>IF(AA200='Listas suspensas'!$A$2,'Listas suspensas'!$B$2,IF(AA200='Listas suspensas'!$A$3,'Listas suspensas'!$B$3,IF(AA200='Listas suspensas'!$A$4,'Listas suspensas'!$B$4,IF(AA200='Listas suspensas'!$A$5,'Listas suspensas'!$B$5,IF(AA200='Listas suspensas'!$A$6,'Listas suspensas'!$B$6,"")))))</f>
        <v xml:space="preserve"> Parcial e regular</v>
      </c>
      <c r="AC200" s="8" t="str">
        <f>IF(AA200='Listas suspensas'!$A$2,'Listas suspensas'!$C$2,IF(AA200='Listas suspensas'!$A$3,'Listas suspensas'!$C$3,IF(AA200='Listas suspensas'!$A$4,'Listas suspensas'!$C$4,IF(AA200='Listas suspensas'!$A$5,'Listas suspensas'!$C$5,IF(AA200='Listas suspensas'!$A$6,'Listas suspensas'!$C$6,"")))))</f>
        <v>Indica a penetração uniforme, mas não total pela extensão do alburno.</v>
      </c>
      <c r="BD200" s="13">
        <v>0.82399999999999995</v>
      </c>
      <c r="BE200" s="18">
        <f t="shared" si="53"/>
        <v>824</v>
      </c>
      <c r="BF200" s="8">
        <v>0.35699999999999998</v>
      </c>
      <c r="BG200" s="8">
        <v>0.155</v>
      </c>
      <c r="BH200" s="8">
        <v>0.253</v>
      </c>
      <c r="BI200" s="13">
        <f t="shared" si="54"/>
        <v>0.76500000000000001</v>
      </c>
      <c r="BJ200" s="14">
        <v>46.6</v>
      </c>
      <c r="BK200" s="14">
        <v>20.3</v>
      </c>
      <c r="BL200" s="14">
        <v>33.1</v>
      </c>
      <c r="BM200" s="16">
        <f t="shared" si="48"/>
        <v>100</v>
      </c>
      <c r="BN200" s="21">
        <f t="shared" si="49"/>
        <v>2.94</v>
      </c>
      <c r="BO200" s="21">
        <f t="shared" si="50"/>
        <v>1.28</v>
      </c>
      <c r="BP200" s="21">
        <f t="shared" si="51"/>
        <v>2.08</v>
      </c>
      <c r="BQ200" s="14">
        <f t="shared" si="52"/>
        <v>6.3</v>
      </c>
      <c r="BR200" s="22" t="str">
        <f>IF(OR(AND(X200="Mourões", BQ200&gt;=6.5),AND(X200="Postes", BQ200&gt;=9.6),AND(X200="Dormentes", BQ200&gt;=9.6),AND(X200="Estacas", BQ200&gt;=6.5),AND(X200="Cruzetas", BQ200&gt;=6.5),AND(X200="Outros - Solo", BQ200&gt;=6.5),AND(X200="Outros - Suspenso",BQ200&gt;=4),AND(X200="Deck",BQ200&gt;=4)),'Listas suspensas'!$C$21,'Listas suspensas'!$C$22)</f>
        <v>Os resultados da análise química apresentaram uma retenção do produto inferior ao padrão mínimo exigido pela norma ABNT NBR 16143</v>
      </c>
    </row>
    <row r="201" spans="2:70" x14ac:dyDescent="0.25">
      <c r="B201" s="8" t="s">
        <v>549</v>
      </c>
      <c r="C201" s="8" t="s">
        <v>71</v>
      </c>
      <c r="F201" s="11">
        <v>45880</v>
      </c>
      <c r="G201" s="11">
        <v>45883</v>
      </c>
      <c r="H201" s="11">
        <v>45896</v>
      </c>
      <c r="I201" s="8" t="s">
        <v>187</v>
      </c>
      <c r="J201" s="8" t="s">
        <v>323</v>
      </c>
      <c r="K201" s="8" t="s">
        <v>109</v>
      </c>
      <c r="L201" s="8" t="s">
        <v>15</v>
      </c>
      <c r="M201" s="30" t="s">
        <v>324</v>
      </c>
      <c r="N201" s="8" t="s">
        <v>75</v>
      </c>
      <c r="O201" s="8" t="s">
        <v>94</v>
      </c>
      <c r="P201" s="28" t="s">
        <v>146</v>
      </c>
      <c r="Q201" s="16" t="s">
        <v>550</v>
      </c>
      <c r="X201" s="8" t="s">
        <v>79</v>
      </c>
      <c r="Y201" s="34">
        <f>IF(X201='Listas suspensas'!$A$21,'Listas suspensas'!$B$23,IF(X201='Listas suspensas'!$A$22,'Listas suspensas'!$B$23,IF(X201='Listas suspensas'!$A$23,'Listas suspensas'!$B$22,IF(X201='Listas suspensas'!$A$26,'Listas suspensas'!$B$22,IF(X201='Listas suspensas'!$A$32,'Listas suspensas'!$B$22,IF(X201='Listas suspensas'!$A$33,'Listas suspensas'!$B$21,IF(X201='Listas suspensas'!$A$24,'Listas suspensas'!$B$22,IF(X201='Listas suspensas'!$A$30,'Listas suspensas'!$B$21,""))))))))</f>
        <v>6.5</v>
      </c>
      <c r="Z201" s="8" t="s">
        <v>80</v>
      </c>
      <c r="AA201" s="8">
        <v>3</v>
      </c>
      <c r="AB201" s="8" t="str">
        <f>IF(AA201='Listas suspensas'!$A$2,'Listas suspensas'!$B$2,IF(AA201='Listas suspensas'!$A$3,'Listas suspensas'!$B$3,IF(AA201='Listas suspensas'!$A$4,'Listas suspensas'!$B$4,IF(AA201='Listas suspensas'!$A$5,'Listas suspensas'!$B$5,IF(AA201='Listas suspensas'!$A$6,'Listas suspensas'!$B$6,"")))))</f>
        <v xml:space="preserve"> Parcial e regular</v>
      </c>
      <c r="AC201" s="8" t="str">
        <f>IF(AA201='Listas suspensas'!$A$2,'Listas suspensas'!$C$2,IF(AA201='Listas suspensas'!$A$3,'Listas suspensas'!$C$3,IF(AA201='Listas suspensas'!$A$4,'Listas suspensas'!$C$4,IF(AA201='Listas suspensas'!$A$5,'Listas suspensas'!$C$5,IF(AA201='Listas suspensas'!$A$6,'Listas suspensas'!$C$6,"")))))</f>
        <v>Indica a penetração uniforme, mas não total pela extensão do alburno.</v>
      </c>
      <c r="BD201" s="13">
        <v>0.82399999999999995</v>
      </c>
      <c r="BE201" s="18">
        <f t="shared" si="53"/>
        <v>824</v>
      </c>
      <c r="BF201" s="8">
        <v>0.30399999999999999</v>
      </c>
      <c r="BG201" s="8">
        <v>0.157</v>
      </c>
      <c r="BH201" s="8">
        <v>0.25800000000000001</v>
      </c>
      <c r="BI201" s="13">
        <f t="shared" si="54"/>
        <v>0.71899999999999997</v>
      </c>
      <c r="BJ201" s="14">
        <v>42.3</v>
      </c>
      <c r="BK201" s="14">
        <v>21.8</v>
      </c>
      <c r="BL201" s="14">
        <v>35.9</v>
      </c>
      <c r="BM201" s="16">
        <f t="shared" si="48"/>
        <v>100</v>
      </c>
      <c r="BN201" s="21">
        <f t="shared" si="49"/>
        <v>2.5</v>
      </c>
      <c r="BO201" s="21">
        <f t="shared" si="50"/>
        <v>1.29</v>
      </c>
      <c r="BP201" s="21">
        <f t="shared" si="51"/>
        <v>2.13</v>
      </c>
      <c r="BQ201" s="14">
        <f t="shared" si="52"/>
        <v>5.92</v>
      </c>
      <c r="BR201" s="22" t="str">
        <f>IF(OR(AND(X201="Mourões", BQ201&gt;=6.5),AND(X201="Postes", BQ201&gt;=9.6),AND(X201="Dormentes", BQ201&gt;=9.6),AND(X201="Estacas", BQ201&gt;=6.5),AND(X201="Cruzetas", BQ201&gt;=6.5),AND(X201="Outros - Solo", BQ201&gt;=6.5),AND(X201="Outros - Suspenso",BQ201&gt;=4),AND(X201="Deck",BQ201&gt;=4)),'Listas suspensas'!$C$21,'Listas suspensas'!$C$22)</f>
        <v>Os resultados da análise química apresentaram uma retenção do produto inferior ao padrão mínimo exigido pela norma ABNT NBR 16143</v>
      </c>
    </row>
    <row r="202" spans="2:70" x14ac:dyDescent="0.25">
      <c r="B202" s="8" t="s">
        <v>551</v>
      </c>
      <c r="C202" s="8" t="s">
        <v>71</v>
      </c>
      <c r="F202" s="11">
        <v>45880</v>
      </c>
      <c r="G202" s="11">
        <v>45883</v>
      </c>
      <c r="H202" s="11">
        <v>45896</v>
      </c>
      <c r="I202" s="8" t="s">
        <v>552</v>
      </c>
      <c r="J202" s="8" t="s">
        <v>553</v>
      </c>
      <c r="K202" s="8" t="s">
        <v>74</v>
      </c>
      <c r="L202" s="8" t="s">
        <v>15</v>
      </c>
      <c r="N202" s="8" t="s">
        <v>75</v>
      </c>
      <c r="O202" s="8" t="s">
        <v>76</v>
      </c>
      <c r="P202" s="28" t="s">
        <v>146</v>
      </c>
      <c r="Q202" s="16" t="s">
        <v>554</v>
      </c>
      <c r="X202" s="8" t="s">
        <v>101</v>
      </c>
      <c r="Y202" s="34">
        <f>IF(X202='Listas suspensas'!$A$21,'Listas suspensas'!$B$23,IF(X202='Listas suspensas'!$A$22,'Listas suspensas'!$B$23,IF(X202='Listas suspensas'!$A$23,'Listas suspensas'!$B$22,IF(X202='Listas suspensas'!$A$26,'Listas suspensas'!$B$22,IF(X202='Listas suspensas'!$A$32,'Listas suspensas'!$B$22,IF(X202='Listas suspensas'!$A$33,'Listas suspensas'!$B$21,IF(X202='Listas suspensas'!$A$24,'Listas suspensas'!$B$22,IF(X202='Listas suspensas'!$A$30,'Listas suspensas'!$B$21,""))))))))</f>
        <v>6.5</v>
      </c>
      <c r="Z202" s="8" t="s">
        <v>80</v>
      </c>
      <c r="AA202" s="8">
        <v>4</v>
      </c>
      <c r="AB202" s="8" t="str">
        <f>IF(AA202='Listas suspensas'!$A$2,'Listas suspensas'!$B$2,IF(AA202='Listas suspensas'!$A$3,'Listas suspensas'!$B$3,IF(AA202='Listas suspensas'!$A$4,'Listas suspensas'!$B$4,IF(AA202='Listas suspensas'!$A$5,'Listas suspensas'!$B$5,IF(AA202='Listas suspensas'!$A$6,'Listas suspensas'!$B$6,"")))))</f>
        <v>Parcial e irregular</v>
      </c>
      <c r="AC202" s="8" t="str">
        <f>IF(AA202='Listas suspensas'!$A$2,'Listas suspensas'!$C$2,IF(AA202='Listas suspensas'!$A$3,'Listas suspensas'!$C$3,IF(AA202='Listas suspensas'!$A$4,'Listas suspensas'!$C$4,IF(AA202='Listas suspensas'!$A$5,'Listas suspensas'!$C$5,IF(AA202='Listas suspensas'!$A$6,'Listas suspensas'!$C$6,"")))))</f>
        <v>Indica a penetração desuniforme e não total pela extensão do alburno.</v>
      </c>
      <c r="BD202" s="13">
        <v>0.51200000000000001</v>
      </c>
      <c r="BE202" s="18">
        <f t="shared" si="53"/>
        <v>512</v>
      </c>
      <c r="BF202" s="8">
        <v>0.253</v>
      </c>
      <c r="BG202" s="8">
        <v>8.6999999999999994E-2</v>
      </c>
      <c r="BH202" s="8">
        <v>0.123</v>
      </c>
      <c r="BI202" s="13">
        <f t="shared" si="54"/>
        <v>0.46299999999999997</v>
      </c>
      <c r="BJ202" s="14">
        <v>54.7</v>
      </c>
      <c r="BK202" s="14">
        <v>18.7</v>
      </c>
      <c r="BL202" s="14">
        <v>26.6</v>
      </c>
      <c r="BM202" s="16">
        <f t="shared" si="48"/>
        <v>100</v>
      </c>
      <c r="BN202" s="21">
        <f t="shared" si="49"/>
        <v>1.3</v>
      </c>
      <c r="BO202" s="21">
        <f t="shared" si="50"/>
        <v>0.45</v>
      </c>
      <c r="BP202" s="21">
        <f t="shared" si="51"/>
        <v>0.63</v>
      </c>
      <c r="BQ202" s="14">
        <f t="shared" si="52"/>
        <v>2.38</v>
      </c>
      <c r="BR202" s="22" t="str">
        <f>IF(OR(AND(X202="Mourões", BQ202&gt;=6.5),AND(X202="Postes", BQ202&gt;=9.6),AND(X202="Dormentes", BQ202&gt;=9.6),AND(X202="Estacas", BQ202&gt;=6.5),AND(X202="Cruzetas", BQ202&gt;=6.5),AND(X202="Outros - Solo", BQ202&gt;=6.5),AND(X202="Outros - Suspenso",BQ202&gt;=4),AND(X202="Deck",BQ202&gt;=4)),'Listas suspensas'!$C$21,'Listas suspensas'!$C$22)</f>
        <v>Os resultados da análise química apresentaram uma retenção do produto inferior ao padrão mínimo exigido pela norma ABNT NBR 16143</v>
      </c>
    </row>
    <row r="203" spans="2:70" x14ac:dyDescent="0.25">
      <c r="B203" s="8" t="s">
        <v>555</v>
      </c>
      <c r="C203" s="8" t="s">
        <v>71</v>
      </c>
      <c r="F203" s="11">
        <v>45880</v>
      </c>
      <c r="G203" s="11">
        <v>45883</v>
      </c>
      <c r="H203" s="11">
        <v>45896</v>
      </c>
      <c r="I203" s="8" t="s">
        <v>521</v>
      </c>
      <c r="J203" s="8" t="s">
        <v>522</v>
      </c>
      <c r="K203" s="8" t="s">
        <v>523</v>
      </c>
      <c r="L203" s="8" t="s">
        <v>15</v>
      </c>
      <c r="M203" s="30" t="s">
        <v>524</v>
      </c>
      <c r="N203" s="8" t="s">
        <v>75</v>
      </c>
      <c r="O203" s="8" t="s">
        <v>94</v>
      </c>
      <c r="P203" s="28" t="s">
        <v>77</v>
      </c>
      <c r="Q203" s="16" t="s">
        <v>556</v>
      </c>
      <c r="X203" s="8" t="s">
        <v>79</v>
      </c>
      <c r="Y203" s="34">
        <f>IF(X203='Listas suspensas'!$A$21,'Listas suspensas'!$B$23,IF(X203='Listas suspensas'!$A$22,'Listas suspensas'!$B$23,IF(X203='Listas suspensas'!$A$23,'Listas suspensas'!$B$22,IF(X203='Listas suspensas'!$A$26,'Listas suspensas'!$B$22,IF(X203='Listas suspensas'!$A$32,'Listas suspensas'!$B$22,IF(X203='Listas suspensas'!$A$33,'Listas suspensas'!$B$21,IF(X203='Listas suspensas'!$A$24,'Listas suspensas'!$B$22,IF(X203='Listas suspensas'!$A$30,'Listas suspensas'!$B$21,""))))))))</f>
        <v>6.5</v>
      </c>
      <c r="Z203" s="8" t="s">
        <v>80</v>
      </c>
      <c r="AA203" s="8">
        <v>2</v>
      </c>
      <c r="AB203" s="8" t="str">
        <f>IF(AA203='Listas suspensas'!$A$2,'Listas suspensas'!$B$2,IF(AA203='Listas suspensas'!$A$3,'Listas suspensas'!$B$3,IF(AA203='Listas suspensas'!$A$4,'Listas suspensas'!$B$4,IF(AA203='Listas suspensas'!$A$5,'Listas suspensas'!$B$5,IF(AA203='Listas suspensas'!$A$6,'Listas suspensas'!$B$6,"")))))</f>
        <v>Profunda e irregular</v>
      </c>
      <c r="AC203" s="8" t="str">
        <f>IF(AA203='Listas suspensas'!$A$2,'Listas suspensas'!$C$2,IF(AA203='Listas suspensas'!$A$3,'Listas suspensas'!$C$3,IF(AA203='Listas suspensas'!$A$4,'Listas suspensas'!$C$4,IF(AA203='Listas suspensas'!$A$5,'Listas suspensas'!$C$5,IF(AA203='Listas suspensas'!$A$6,'Listas suspensas'!$C$6,"")))))</f>
        <v>Indica a penetração profunda, mas desuniforme em toda a extensão do alburno.</v>
      </c>
      <c r="BD203" s="13">
        <v>0.877</v>
      </c>
      <c r="BE203" s="18">
        <f t="shared" si="53"/>
        <v>877</v>
      </c>
      <c r="BF203" s="8">
        <v>0.29199999999999998</v>
      </c>
      <c r="BG203" s="8">
        <v>0.121</v>
      </c>
      <c r="BH203" s="8">
        <v>0.21099999999999999</v>
      </c>
      <c r="BI203" s="13">
        <f t="shared" si="54"/>
        <v>0.624</v>
      </c>
      <c r="BJ203" s="14">
        <v>46.8</v>
      </c>
      <c r="BK203" s="14">
        <v>19.399999999999999</v>
      </c>
      <c r="BL203" s="14">
        <v>33.799999999999997</v>
      </c>
      <c r="BM203" s="16">
        <f t="shared" si="48"/>
        <v>100</v>
      </c>
      <c r="BN203" s="21">
        <f t="shared" si="49"/>
        <v>2.56</v>
      </c>
      <c r="BO203" s="21">
        <f t="shared" si="50"/>
        <v>1.06</v>
      </c>
      <c r="BP203" s="21">
        <f t="shared" si="51"/>
        <v>1.85</v>
      </c>
      <c r="BQ203" s="14">
        <f t="shared" si="52"/>
        <v>5.47</v>
      </c>
      <c r="BR203" s="22" t="str">
        <f>IF(OR(AND(X203="Mourões", BQ203&gt;=6.5),AND(X203="Postes", BQ203&gt;=9.6),AND(X203="Dormentes", BQ203&gt;=9.6),AND(X203="Estacas", BQ203&gt;=6.5),AND(X203="Cruzetas", BQ203&gt;=6.5),AND(X203="Outros - Solo", BQ203&gt;=6.5),AND(X203="Outros - Suspenso",BQ203&gt;=4),AND(X203="Deck",BQ203&gt;=4)),'Listas suspensas'!$C$21,'Listas suspensas'!$C$22)</f>
        <v>Os resultados da análise química apresentaram uma retenção do produto inferior ao padrão mínimo exigido pela norma ABNT NBR 16143</v>
      </c>
    </row>
    <row r="204" spans="2:70" x14ac:dyDescent="0.25">
      <c r="B204" s="8" t="s">
        <v>557</v>
      </c>
      <c r="C204" s="8" t="s">
        <v>71</v>
      </c>
      <c r="F204" s="11">
        <v>45880</v>
      </c>
      <c r="G204" s="11">
        <v>45883</v>
      </c>
      <c r="H204" s="11">
        <v>45896</v>
      </c>
      <c r="I204" s="8" t="s">
        <v>521</v>
      </c>
      <c r="J204" s="8" t="s">
        <v>522</v>
      </c>
      <c r="K204" s="8" t="s">
        <v>523</v>
      </c>
      <c r="L204" s="8" t="s">
        <v>15</v>
      </c>
      <c r="M204" s="30" t="s">
        <v>524</v>
      </c>
      <c r="N204" s="8" t="s">
        <v>75</v>
      </c>
      <c r="O204" s="8" t="s">
        <v>94</v>
      </c>
      <c r="P204" s="28" t="s">
        <v>77</v>
      </c>
      <c r="Q204" s="16" t="s">
        <v>558</v>
      </c>
      <c r="X204" s="8" t="s">
        <v>79</v>
      </c>
      <c r="Y204" s="34">
        <f>IF(X204='Listas suspensas'!$A$21,'Listas suspensas'!$B$23,IF(X204='Listas suspensas'!$A$22,'Listas suspensas'!$B$23,IF(X204='Listas suspensas'!$A$23,'Listas suspensas'!$B$22,IF(X204='Listas suspensas'!$A$26,'Listas suspensas'!$B$22,IF(X204='Listas suspensas'!$A$32,'Listas suspensas'!$B$22,IF(X204='Listas suspensas'!$A$33,'Listas suspensas'!$B$21,IF(X204='Listas suspensas'!$A$24,'Listas suspensas'!$B$22,IF(X204='Listas suspensas'!$A$30,'Listas suspensas'!$B$21,""))))))))</f>
        <v>6.5</v>
      </c>
      <c r="Z204" s="8" t="s">
        <v>80</v>
      </c>
      <c r="AA204" s="8">
        <v>2</v>
      </c>
      <c r="AB204" s="8" t="str">
        <f>IF(AA204='Listas suspensas'!$A$2,'Listas suspensas'!$B$2,IF(AA204='Listas suspensas'!$A$3,'Listas suspensas'!$B$3,IF(AA204='Listas suspensas'!$A$4,'Listas suspensas'!$B$4,IF(AA204='Listas suspensas'!$A$5,'Listas suspensas'!$B$5,IF(AA204='Listas suspensas'!$A$6,'Listas suspensas'!$B$6,"")))))</f>
        <v>Profunda e irregular</v>
      </c>
      <c r="AC204" s="8" t="str">
        <f>IF(AA204='Listas suspensas'!$A$2,'Listas suspensas'!$C$2,IF(AA204='Listas suspensas'!$A$3,'Listas suspensas'!$C$3,IF(AA204='Listas suspensas'!$A$4,'Listas suspensas'!$C$4,IF(AA204='Listas suspensas'!$A$5,'Listas suspensas'!$C$5,IF(AA204='Listas suspensas'!$A$6,'Listas suspensas'!$C$6,"")))))</f>
        <v>Indica a penetração profunda, mas desuniforme em toda a extensão do alburno.</v>
      </c>
      <c r="BD204" s="13">
        <v>0.79600000000000004</v>
      </c>
      <c r="BE204" s="18">
        <f t="shared" si="53"/>
        <v>796</v>
      </c>
      <c r="BF204" s="8">
        <v>0.45800000000000002</v>
      </c>
      <c r="BG204" s="8">
        <v>0.221</v>
      </c>
      <c r="BH204" s="8">
        <v>0.38800000000000001</v>
      </c>
      <c r="BI204" s="13">
        <f t="shared" si="54"/>
        <v>1.0670000000000002</v>
      </c>
      <c r="BJ204" s="14">
        <v>42.9</v>
      </c>
      <c r="BK204" s="14">
        <v>20.7</v>
      </c>
      <c r="BL204" s="14">
        <v>36.4</v>
      </c>
      <c r="BM204" s="16">
        <f t="shared" si="48"/>
        <v>100</v>
      </c>
      <c r="BN204" s="21">
        <f t="shared" si="49"/>
        <v>3.65</v>
      </c>
      <c r="BO204" s="21">
        <f t="shared" si="50"/>
        <v>1.76</v>
      </c>
      <c r="BP204" s="21">
        <f t="shared" si="51"/>
        <v>3.09</v>
      </c>
      <c r="BQ204" s="14">
        <f t="shared" si="52"/>
        <v>8.5</v>
      </c>
      <c r="BR204" s="22" t="str">
        <f>IF(OR(AND(X204="Mourões", BQ204&gt;=6.5),AND(X204="Postes", BQ204&gt;=9.6),AND(X204="Dormentes", BQ204&gt;=9.6),AND(X204="Estacas", BQ204&gt;=6.5),AND(X204="Cruzetas", BQ204&gt;=6.5),AND(X204="Outros - Solo", BQ204&gt;=6.5),AND(X204="Outros - Suspenso",BQ204&gt;=4),AND(X204="Deck",BQ204&gt;=4)),'Listas suspensas'!$C$21,'Listas suspensas'!$C$22)</f>
        <v>Os resultados da análise química apresentaram uma retenção do produto de acordo com o padrão mínimo exigido pela norma ABNT NBR 16143</v>
      </c>
    </row>
    <row r="205" spans="2:70" x14ac:dyDescent="0.25">
      <c r="B205" s="8" t="s">
        <v>559</v>
      </c>
      <c r="C205" s="8" t="s">
        <v>71</v>
      </c>
      <c r="F205" s="11">
        <v>45880</v>
      </c>
      <c r="G205" s="11">
        <v>45883</v>
      </c>
      <c r="H205" s="11">
        <v>45896</v>
      </c>
      <c r="I205" s="8" t="s">
        <v>521</v>
      </c>
      <c r="J205" s="8" t="s">
        <v>522</v>
      </c>
      <c r="K205" s="8" t="s">
        <v>523</v>
      </c>
      <c r="L205" s="8" t="s">
        <v>15</v>
      </c>
      <c r="M205" s="30" t="s">
        <v>524</v>
      </c>
      <c r="N205" s="8" t="s">
        <v>75</v>
      </c>
      <c r="O205" s="8" t="s">
        <v>94</v>
      </c>
      <c r="P205" s="28" t="s">
        <v>77</v>
      </c>
      <c r="Q205" s="16" t="s">
        <v>560</v>
      </c>
      <c r="X205" s="8" t="s">
        <v>79</v>
      </c>
      <c r="Y205" s="34">
        <f>IF(X205='Listas suspensas'!$A$21,'Listas suspensas'!$B$23,IF(X205='Listas suspensas'!$A$22,'Listas suspensas'!$B$23,IF(X205='Listas suspensas'!$A$23,'Listas suspensas'!$B$22,IF(X205='Listas suspensas'!$A$26,'Listas suspensas'!$B$22,IF(X205='Listas suspensas'!$A$32,'Listas suspensas'!$B$22,IF(X205='Listas suspensas'!$A$33,'Listas suspensas'!$B$21,IF(X205='Listas suspensas'!$A$24,'Listas suspensas'!$B$22,IF(X205='Listas suspensas'!$A$30,'Listas suspensas'!$B$21,""))))))))</f>
        <v>6.5</v>
      </c>
      <c r="Z205" s="8" t="s">
        <v>80</v>
      </c>
      <c r="AA205" s="8">
        <v>2</v>
      </c>
      <c r="AB205" s="8" t="str">
        <f>IF(AA205='Listas suspensas'!$A$2,'Listas suspensas'!$B$2,IF(AA205='Listas suspensas'!$A$3,'Listas suspensas'!$B$3,IF(AA205='Listas suspensas'!$A$4,'Listas suspensas'!$B$4,IF(AA205='Listas suspensas'!$A$5,'Listas suspensas'!$B$5,IF(AA205='Listas suspensas'!$A$6,'Listas suspensas'!$B$6,"")))))</f>
        <v>Profunda e irregular</v>
      </c>
      <c r="AC205" s="8" t="str">
        <f>IF(AA205='Listas suspensas'!$A$2,'Listas suspensas'!$C$2,IF(AA205='Listas suspensas'!$A$3,'Listas suspensas'!$C$3,IF(AA205='Listas suspensas'!$A$4,'Listas suspensas'!$C$4,IF(AA205='Listas suspensas'!$A$5,'Listas suspensas'!$C$5,IF(AA205='Listas suspensas'!$A$6,'Listas suspensas'!$C$6,"")))))</f>
        <v>Indica a penetração profunda, mas desuniforme em toda a extensão do alburno.</v>
      </c>
      <c r="BD205" s="13">
        <v>0.89500000000000002</v>
      </c>
      <c r="BE205" s="18">
        <f t="shared" si="53"/>
        <v>895</v>
      </c>
      <c r="BF205" s="8">
        <v>0.32</v>
      </c>
      <c r="BG205" s="8">
        <v>0.13400000000000001</v>
      </c>
      <c r="BH205" s="8">
        <v>0.23699999999999999</v>
      </c>
      <c r="BI205" s="13">
        <f t="shared" si="54"/>
        <v>0.69100000000000006</v>
      </c>
      <c r="BJ205" s="14">
        <v>46.3</v>
      </c>
      <c r="BK205" s="14">
        <v>19.399999999999999</v>
      </c>
      <c r="BL205" s="14">
        <v>34.299999999999997</v>
      </c>
      <c r="BM205" s="16">
        <f t="shared" si="48"/>
        <v>100</v>
      </c>
      <c r="BN205" s="21">
        <f t="shared" si="49"/>
        <v>2.86</v>
      </c>
      <c r="BO205" s="21">
        <f t="shared" si="50"/>
        <v>1.2</v>
      </c>
      <c r="BP205" s="21">
        <f t="shared" si="51"/>
        <v>2.12</v>
      </c>
      <c r="BQ205" s="14">
        <f t="shared" si="52"/>
        <v>6.18</v>
      </c>
      <c r="BR205" s="22" t="str">
        <f>IF(OR(AND(X205="Mourões", BQ205&gt;=6.5),AND(X205="Postes", BQ205&gt;=9.6),AND(X205="Dormentes", BQ205&gt;=9.6),AND(X205="Estacas", BQ205&gt;=6.5),AND(X205="Cruzetas", BQ205&gt;=6.5),AND(X205="Outros - Solo", BQ205&gt;=6.5),AND(X205="Outros - Suspenso",BQ205&gt;=4),AND(X205="Deck",BQ205&gt;=4)),'Listas suspensas'!$C$21,'Listas suspensas'!$C$22)</f>
        <v>Os resultados da análise química apresentaram uma retenção do produto inferior ao padrão mínimo exigido pela norma ABNT NBR 16143</v>
      </c>
    </row>
    <row r="206" spans="2:70" x14ac:dyDescent="0.25">
      <c r="B206" s="8" t="s">
        <v>561</v>
      </c>
      <c r="C206" s="8" t="s">
        <v>71</v>
      </c>
      <c r="F206" s="11">
        <v>45880</v>
      </c>
      <c r="G206" s="11">
        <v>45883</v>
      </c>
      <c r="H206" s="11">
        <v>45896</v>
      </c>
      <c r="I206" s="8" t="s">
        <v>521</v>
      </c>
      <c r="J206" s="8" t="s">
        <v>522</v>
      </c>
      <c r="K206" s="8" t="s">
        <v>523</v>
      </c>
      <c r="L206" s="8" t="s">
        <v>15</v>
      </c>
      <c r="M206" s="30" t="s">
        <v>524</v>
      </c>
      <c r="N206" s="8" t="s">
        <v>75</v>
      </c>
      <c r="O206" s="8" t="s">
        <v>94</v>
      </c>
      <c r="P206" s="28" t="s">
        <v>77</v>
      </c>
      <c r="Q206" s="16" t="s">
        <v>562</v>
      </c>
      <c r="X206" s="8" t="s">
        <v>79</v>
      </c>
      <c r="Y206" s="34">
        <f>IF(X206='Listas suspensas'!$A$21,'Listas suspensas'!$B$23,IF(X206='Listas suspensas'!$A$22,'Listas suspensas'!$B$23,IF(X206='Listas suspensas'!$A$23,'Listas suspensas'!$B$22,IF(X206='Listas suspensas'!$A$26,'Listas suspensas'!$B$22,IF(X206='Listas suspensas'!$A$32,'Listas suspensas'!$B$22,IF(X206='Listas suspensas'!$A$33,'Listas suspensas'!$B$21,IF(X206='Listas suspensas'!$A$24,'Listas suspensas'!$B$22,IF(X206='Listas suspensas'!$A$30,'Listas suspensas'!$B$21,""))))))))</f>
        <v>6.5</v>
      </c>
      <c r="Z206" s="8" t="s">
        <v>80</v>
      </c>
      <c r="AA206" s="8">
        <v>3</v>
      </c>
      <c r="AB206" s="8" t="str">
        <f>IF(AA206='Listas suspensas'!$A$2,'Listas suspensas'!$B$2,IF(AA206='Listas suspensas'!$A$3,'Listas suspensas'!$B$3,IF(AA206='Listas suspensas'!$A$4,'Listas suspensas'!$B$4,IF(AA206='Listas suspensas'!$A$5,'Listas suspensas'!$B$5,IF(AA206='Listas suspensas'!$A$6,'Listas suspensas'!$B$6,"")))))</f>
        <v xml:space="preserve"> Parcial e regular</v>
      </c>
      <c r="AC206" s="8" t="str">
        <f>IF(AA206='Listas suspensas'!$A$2,'Listas suspensas'!$C$2,IF(AA206='Listas suspensas'!$A$3,'Listas suspensas'!$C$3,IF(AA206='Listas suspensas'!$A$4,'Listas suspensas'!$C$4,IF(AA206='Listas suspensas'!$A$5,'Listas suspensas'!$C$5,IF(AA206='Listas suspensas'!$A$6,'Listas suspensas'!$C$6,"")))))</f>
        <v>Indica a penetração uniforme, mas não total pela extensão do alburno.</v>
      </c>
      <c r="BD206" s="13">
        <v>0.92800000000000005</v>
      </c>
      <c r="BE206" s="18">
        <f t="shared" si="53"/>
        <v>928</v>
      </c>
      <c r="BF206" s="8">
        <v>0.26200000000000001</v>
      </c>
      <c r="BG206" s="8">
        <v>0.111</v>
      </c>
      <c r="BH206" s="8">
        <v>0.185</v>
      </c>
      <c r="BI206" s="13">
        <f t="shared" si="54"/>
        <v>0.55800000000000005</v>
      </c>
      <c r="BJ206" s="14">
        <v>47</v>
      </c>
      <c r="BK206" s="14">
        <v>19.899999999999999</v>
      </c>
      <c r="BL206" s="14">
        <v>33.1</v>
      </c>
      <c r="BM206" s="16">
        <f t="shared" si="48"/>
        <v>100</v>
      </c>
      <c r="BN206" s="21">
        <f t="shared" si="49"/>
        <v>2.4300000000000002</v>
      </c>
      <c r="BO206" s="21">
        <f t="shared" si="50"/>
        <v>1.03</v>
      </c>
      <c r="BP206" s="21">
        <f t="shared" si="51"/>
        <v>1.72</v>
      </c>
      <c r="BQ206" s="14">
        <f t="shared" si="52"/>
        <v>5.18</v>
      </c>
      <c r="BR206" s="22" t="str">
        <f>IF(OR(AND(X206="Mourões", BQ206&gt;=6.5),AND(X206="Postes", BQ206&gt;=9.6),AND(X206="Dormentes", BQ206&gt;=9.6),AND(X206="Estacas", BQ206&gt;=6.5),AND(X206="Cruzetas", BQ206&gt;=6.5),AND(X206="Outros - Solo", BQ206&gt;=6.5),AND(X206="Outros - Suspenso",BQ206&gt;=4),AND(X206="Deck",BQ206&gt;=4)),'Listas suspensas'!$C$21,'Listas suspensas'!$C$22)</f>
        <v>Os resultados da análise química apresentaram uma retenção do produto inferior ao padrão mínimo exigido pela norma ABNT NBR 16143</v>
      </c>
    </row>
    <row r="207" spans="2:70" x14ac:dyDescent="0.25">
      <c r="B207" s="8" t="s">
        <v>563</v>
      </c>
      <c r="C207" s="8" t="s">
        <v>71</v>
      </c>
      <c r="F207" s="11">
        <v>45880</v>
      </c>
      <c r="G207" s="11">
        <v>45883</v>
      </c>
      <c r="H207" s="11">
        <v>45896</v>
      </c>
      <c r="I207" s="8" t="s">
        <v>564</v>
      </c>
      <c r="J207" s="8" t="s">
        <v>213</v>
      </c>
      <c r="K207" s="8" t="s">
        <v>74</v>
      </c>
      <c r="L207" s="8" t="s">
        <v>15</v>
      </c>
      <c r="N207" s="8" t="s">
        <v>75</v>
      </c>
      <c r="O207" s="8" t="s">
        <v>94</v>
      </c>
      <c r="P207" s="28" t="s">
        <v>146</v>
      </c>
      <c r="Q207" s="16" t="s">
        <v>565</v>
      </c>
      <c r="X207" s="8" t="s">
        <v>79</v>
      </c>
      <c r="Y207" s="34">
        <f>IF(X207='Listas suspensas'!$A$21,'Listas suspensas'!$B$23,IF(X207='Listas suspensas'!$A$22,'Listas suspensas'!$B$23,IF(X207='Listas suspensas'!$A$23,'Listas suspensas'!$B$22,IF(X207='Listas suspensas'!$A$26,'Listas suspensas'!$B$22,IF(X207='Listas suspensas'!$A$32,'Listas suspensas'!$B$22,IF(X207='Listas suspensas'!$A$33,'Listas suspensas'!$B$21,IF(X207='Listas suspensas'!$A$24,'Listas suspensas'!$B$22,IF(X207='Listas suspensas'!$A$30,'Listas suspensas'!$B$21,""))))))))</f>
        <v>6.5</v>
      </c>
      <c r="Z207" s="8" t="s">
        <v>80</v>
      </c>
      <c r="AA207" s="8">
        <v>2</v>
      </c>
      <c r="AB207" s="8" t="str">
        <f>IF(AA207='Listas suspensas'!$A$2,'Listas suspensas'!$B$2,IF(AA207='Listas suspensas'!$A$3,'Listas suspensas'!$B$3,IF(AA207='Listas suspensas'!$A$4,'Listas suspensas'!$B$4,IF(AA207='Listas suspensas'!$A$5,'Listas suspensas'!$B$5,IF(AA207='Listas suspensas'!$A$6,'Listas suspensas'!$B$6,"")))))</f>
        <v>Profunda e irregular</v>
      </c>
      <c r="AC207" s="8" t="str">
        <f>IF(AA207='Listas suspensas'!$A$2,'Listas suspensas'!$C$2,IF(AA207='Listas suspensas'!$A$3,'Listas suspensas'!$C$3,IF(AA207='Listas suspensas'!$A$4,'Listas suspensas'!$C$4,IF(AA207='Listas suspensas'!$A$5,'Listas suspensas'!$C$5,IF(AA207='Listas suspensas'!$A$6,'Listas suspensas'!$C$6,"")))))</f>
        <v>Indica a penetração profunda, mas desuniforme em toda a extensão do alburno.</v>
      </c>
      <c r="BD207" s="13">
        <v>0.61899999999999999</v>
      </c>
      <c r="BE207" s="18">
        <f t="shared" si="53"/>
        <v>619</v>
      </c>
      <c r="BF207" s="8">
        <v>0.52100000000000002</v>
      </c>
      <c r="BG207" s="8">
        <v>0.17899999999999999</v>
      </c>
      <c r="BH207" s="8">
        <v>0.32700000000000001</v>
      </c>
      <c r="BI207" s="13">
        <f t="shared" si="54"/>
        <v>1.0269999999999999</v>
      </c>
      <c r="BJ207" s="14">
        <v>50.7</v>
      </c>
      <c r="BK207" s="14">
        <v>17.399999999999999</v>
      </c>
      <c r="BL207" s="14">
        <v>31.9</v>
      </c>
      <c r="BM207" s="16">
        <f t="shared" si="48"/>
        <v>100</v>
      </c>
      <c r="BN207" s="21">
        <f t="shared" si="49"/>
        <v>3.22</v>
      </c>
      <c r="BO207" s="21">
        <f t="shared" si="50"/>
        <v>1.1100000000000001</v>
      </c>
      <c r="BP207" s="21">
        <f t="shared" si="51"/>
        <v>2.02</v>
      </c>
      <c r="BQ207" s="14">
        <f t="shared" si="52"/>
        <v>6.35</v>
      </c>
      <c r="BR207" s="22" t="str">
        <f>IF(OR(AND(X207="Mourões", BQ207&gt;=6.5),AND(X207="Postes", BQ207&gt;=9.6),AND(X207="Dormentes", BQ207&gt;=9.6),AND(X207="Estacas", BQ207&gt;=6.5),AND(X207="Cruzetas", BQ207&gt;=6.5),AND(X207="Outros - Solo", BQ207&gt;=6.5),AND(X207="Outros - Suspenso",BQ207&gt;=4),AND(X207="Deck",BQ207&gt;=4)),'Listas suspensas'!$C$21,'Listas suspensas'!$C$22)</f>
        <v>Os resultados da análise química apresentaram uma retenção do produto inferior ao padrão mínimo exigido pela norma ABNT NBR 16143</v>
      </c>
    </row>
    <row r="208" spans="2:70" x14ac:dyDescent="0.25">
      <c r="B208" s="8" t="s">
        <v>566</v>
      </c>
      <c r="C208" s="8" t="s">
        <v>71</v>
      </c>
      <c r="F208" s="11">
        <v>45880</v>
      </c>
      <c r="G208" s="11">
        <v>45883</v>
      </c>
      <c r="H208" s="11">
        <v>45896</v>
      </c>
      <c r="I208" s="8" t="s">
        <v>567</v>
      </c>
      <c r="J208" s="8" t="s">
        <v>568</v>
      </c>
      <c r="K208" s="8" t="s">
        <v>189</v>
      </c>
      <c r="L208" s="8" t="s">
        <v>15</v>
      </c>
      <c r="M208" s="30" t="s">
        <v>569</v>
      </c>
      <c r="N208" s="8" t="s">
        <v>75</v>
      </c>
      <c r="O208" s="8" t="s">
        <v>94</v>
      </c>
      <c r="P208" s="28" t="s">
        <v>146</v>
      </c>
      <c r="Q208" s="16" t="s">
        <v>146</v>
      </c>
      <c r="X208" s="8" t="s">
        <v>98</v>
      </c>
      <c r="Y208" s="34">
        <f>IF(X208='Listas suspensas'!$A$21,'Listas suspensas'!$B$23,IF(X208='Listas suspensas'!$A$22,'Listas suspensas'!$B$23,IF(X208='Listas suspensas'!$A$23,'Listas suspensas'!$B$22,IF(X208='Listas suspensas'!$A$26,'Listas suspensas'!$B$22,IF(X208='Listas suspensas'!$A$32,'Listas suspensas'!$B$22,IF(X208='Listas suspensas'!$A$33,'Listas suspensas'!$B$21,IF(X208='Listas suspensas'!$A$24,'Listas suspensas'!$B$22,IF(X208='Listas suspensas'!$A$30,'Listas suspensas'!$B$21,""))))))))</f>
        <v>9.6</v>
      </c>
      <c r="Z208" s="8" t="s">
        <v>80</v>
      </c>
      <c r="AA208" s="8">
        <v>4</v>
      </c>
      <c r="AB208" s="8" t="str">
        <f>IF(AA208='Listas suspensas'!$A$2,'Listas suspensas'!$B$2,IF(AA208='Listas suspensas'!$A$3,'Listas suspensas'!$B$3,IF(AA208='Listas suspensas'!$A$4,'Listas suspensas'!$B$4,IF(AA208='Listas suspensas'!$A$5,'Listas suspensas'!$B$5,IF(AA208='Listas suspensas'!$A$6,'Listas suspensas'!$B$6,"")))))</f>
        <v>Parcial e irregular</v>
      </c>
      <c r="AC208" s="8" t="str">
        <f>IF(AA208='Listas suspensas'!$A$2,'Listas suspensas'!$C$2,IF(AA208='Listas suspensas'!$A$3,'Listas suspensas'!$C$3,IF(AA208='Listas suspensas'!$A$4,'Listas suspensas'!$C$4,IF(AA208='Listas suspensas'!$A$5,'Listas suspensas'!$C$5,IF(AA208='Listas suspensas'!$A$6,'Listas suspensas'!$C$6,"")))))</f>
        <v>Indica a penetração desuniforme e não total pela extensão do alburno.</v>
      </c>
      <c r="BD208" s="13">
        <v>0.95399999999999996</v>
      </c>
      <c r="BE208" s="18">
        <f t="shared" si="53"/>
        <v>954</v>
      </c>
      <c r="BF208" s="8">
        <v>0.23799999999999999</v>
      </c>
      <c r="BG208" s="8">
        <v>0.13</v>
      </c>
      <c r="BH208" s="8">
        <v>0.245</v>
      </c>
      <c r="BI208" s="13">
        <f t="shared" si="54"/>
        <v>0.61299999999999999</v>
      </c>
      <c r="BJ208" s="14">
        <v>38.9</v>
      </c>
      <c r="BK208" s="14">
        <v>21.2</v>
      </c>
      <c r="BL208" s="14">
        <v>39.9</v>
      </c>
      <c r="BM208" s="16">
        <f t="shared" si="48"/>
        <v>100</v>
      </c>
      <c r="BN208" s="21">
        <f t="shared" si="49"/>
        <v>2.27</v>
      </c>
      <c r="BO208" s="21">
        <f t="shared" si="50"/>
        <v>1.24</v>
      </c>
      <c r="BP208" s="21">
        <f t="shared" si="51"/>
        <v>2.34</v>
      </c>
      <c r="BQ208" s="14">
        <f t="shared" si="52"/>
        <v>5.85</v>
      </c>
      <c r="BR208" s="22" t="str">
        <f>IF(OR(AND(X208="Mourões", BQ208&gt;=6.5),AND(X208="Postes", BQ208&gt;=9.6),AND(X208="Dormentes", BQ208&gt;=9.6),AND(X208="Estacas", BQ208&gt;=6.5),AND(X208="Cruzetas", BQ208&gt;=6.5),AND(X208="Outros - Solo", BQ208&gt;=6.5),AND(X208="Outros - Suspenso",BQ208&gt;=4),AND(X208="Deck",BQ208&gt;=4)),'Listas suspensas'!$C$21,'Listas suspensas'!$C$22)</f>
        <v>Os resultados da análise química apresentaram uma retenção do produto inferior ao padrão mínimo exigido pela norma ABNT NBR 16143</v>
      </c>
    </row>
    <row r="209" spans="2:70" x14ac:dyDescent="0.25">
      <c r="B209" s="8" t="s">
        <v>570</v>
      </c>
      <c r="C209" s="8" t="s">
        <v>71</v>
      </c>
      <c r="F209" s="11">
        <v>45880</v>
      </c>
      <c r="G209" s="11">
        <v>45883</v>
      </c>
      <c r="H209" s="11">
        <v>45896</v>
      </c>
      <c r="I209" s="8" t="s">
        <v>552</v>
      </c>
      <c r="J209" s="8" t="s">
        <v>553</v>
      </c>
      <c r="K209" s="8" t="s">
        <v>74</v>
      </c>
      <c r="L209" s="8" t="s">
        <v>15</v>
      </c>
      <c r="N209" s="8" t="s">
        <v>75</v>
      </c>
      <c r="O209" s="8" t="s">
        <v>76</v>
      </c>
      <c r="P209" s="28" t="s">
        <v>146</v>
      </c>
      <c r="Q209" s="16" t="s">
        <v>571</v>
      </c>
      <c r="X209" s="8" t="s">
        <v>101</v>
      </c>
      <c r="Y209" s="34">
        <f>IF(X209='Listas suspensas'!$A$21,'Listas suspensas'!$B$23,IF(X209='Listas suspensas'!$A$22,'Listas suspensas'!$B$23,IF(X209='Listas suspensas'!$A$23,'Listas suspensas'!$B$22,IF(X209='Listas suspensas'!$A$26,'Listas suspensas'!$B$22,IF(X209='Listas suspensas'!$A$32,'Listas suspensas'!$B$22,IF(X209='Listas suspensas'!$A$33,'Listas suspensas'!$B$21,IF(X209='Listas suspensas'!$A$24,'Listas suspensas'!$B$22,IF(X209='Listas suspensas'!$A$30,'Listas suspensas'!$B$21,""))))))))</f>
        <v>6.5</v>
      </c>
      <c r="Z209" s="8" t="s">
        <v>80</v>
      </c>
      <c r="AA209" s="8">
        <v>1</v>
      </c>
      <c r="AB209" s="8" t="str">
        <f>IF(AA209='Listas suspensas'!$A$2,'Listas suspensas'!$B$2,IF(AA209='Listas suspensas'!$A$3,'Listas suspensas'!$B$3,IF(AA209='Listas suspensas'!$A$4,'Listas suspensas'!$B$4,IF(AA209='Listas suspensas'!$A$5,'Listas suspensas'!$B$5,IF(AA209='Listas suspensas'!$A$6,'Listas suspensas'!$B$6,"")))))</f>
        <v>Profunda e regular</v>
      </c>
      <c r="AC209" s="8" t="str">
        <f>IF(AA209='Listas suspensas'!$A$2,'Listas suspensas'!$C$2,IF(AA209='Listas suspensas'!$A$3,'Listas suspensas'!$C$3,IF(AA209='Listas suspensas'!$A$4,'Listas suspensas'!$C$4,IF(AA209='Listas suspensas'!$A$5,'Listas suspensas'!$C$5,IF(AA209='Listas suspensas'!$A$6,'Listas suspensas'!$C$6,"")))))</f>
        <v>Indica a penetração profunda e uniforme em toda a extensão do alburno.</v>
      </c>
      <c r="BD209" s="13">
        <v>0.55200000000000005</v>
      </c>
      <c r="BE209" s="18">
        <f t="shared" si="53"/>
        <v>552</v>
      </c>
      <c r="BF209" s="8">
        <v>0.379</v>
      </c>
      <c r="BG209" s="8">
        <v>0.13500000000000001</v>
      </c>
      <c r="BH209" s="8">
        <v>0.193</v>
      </c>
      <c r="BI209" s="13">
        <f t="shared" si="54"/>
        <v>0.70700000000000007</v>
      </c>
      <c r="BJ209" s="14">
        <v>53.6</v>
      </c>
      <c r="BK209" s="14">
        <v>19.2</v>
      </c>
      <c r="BL209" s="14">
        <v>27.2</v>
      </c>
      <c r="BM209" s="16">
        <f t="shared" si="48"/>
        <v>100</v>
      </c>
      <c r="BN209" s="21">
        <f t="shared" si="49"/>
        <v>2.09</v>
      </c>
      <c r="BO209" s="21">
        <f t="shared" si="50"/>
        <v>0.75</v>
      </c>
      <c r="BP209" s="21">
        <f t="shared" si="51"/>
        <v>1.07</v>
      </c>
      <c r="BQ209" s="14">
        <f t="shared" si="52"/>
        <v>3.91</v>
      </c>
      <c r="BR209" s="22" t="str">
        <f>IF(OR(AND(X209="Mourões", BQ209&gt;=6.5),AND(X209="Postes", BQ209&gt;=9.6),AND(X209="Dormentes", BQ209&gt;=9.6),AND(X209="Estacas", BQ209&gt;=6.5),AND(X209="Cruzetas", BQ209&gt;=6.5),AND(X209="Outros - Solo", BQ209&gt;=6.5),AND(X209="Outros - Suspenso",BQ209&gt;=4),AND(X209="Deck",BQ209&gt;=4)),'Listas suspensas'!$C$21,'Listas suspensas'!$C$22)</f>
        <v>Os resultados da análise química apresentaram uma retenção do produto inferior ao padrão mínimo exigido pela norma ABNT NBR 16143</v>
      </c>
    </row>
    <row r="210" spans="2:70" x14ac:dyDescent="0.25">
      <c r="B210" s="8" t="s">
        <v>572</v>
      </c>
      <c r="C210" s="8" t="s">
        <v>71</v>
      </c>
      <c r="F210" s="11">
        <v>45880</v>
      </c>
      <c r="G210" s="11">
        <v>45883</v>
      </c>
      <c r="H210" s="11">
        <v>45896</v>
      </c>
      <c r="I210" s="8" t="s">
        <v>552</v>
      </c>
      <c r="J210" s="8" t="s">
        <v>553</v>
      </c>
      <c r="K210" s="8" t="s">
        <v>74</v>
      </c>
      <c r="L210" s="8" t="s">
        <v>15</v>
      </c>
      <c r="N210" s="8" t="s">
        <v>75</v>
      </c>
      <c r="O210" s="8" t="s">
        <v>76</v>
      </c>
      <c r="P210" s="28" t="s">
        <v>146</v>
      </c>
      <c r="Q210" s="16" t="s">
        <v>573</v>
      </c>
      <c r="X210" s="8" t="s">
        <v>101</v>
      </c>
      <c r="Y210" s="34">
        <f>IF(X210='Listas suspensas'!$A$21,'Listas suspensas'!$B$23,IF(X210='Listas suspensas'!$A$22,'Listas suspensas'!$B$23,IF(X210='Listas suspensas'!$A$23,'Listas suspensas'!$B$22,IF(X210='Listas suspensas'!$A$26,'Listas suspensas'!$B$22,IF(X210='Listas suspensas'!$A$32,'Listas suspensas'!$B$22,IF(X210='Listas suspensas'!$A$33,'Listas suspensas'!$B$21,IF(X210='Listas suspensas'!$A$24,'Listas suspensas'!$B$22,IF(X210='Listas suspensas'!$A$30,'Listas suspensas'!$B$21,""))))))))</f>
        <v>6.5</v>
      </c>
      <c r="Z210" s="8" t="s">
        <v>80</v>
      </c>
      <c r="AA210" s="8">
        <v>1</v>
      </c>
      <c r="AB210" s="8" t="str">
        <f>IF(AA210='Listas suspensas'!$A$2,'Listas suspensas'!$B$2,IF(AA210='Listas suspensas'!$A$3,'Listas suspensas'!$B$3,IF(AA210='Listas suspensas'!$A$4,'Listas suspensas'!$B$4,IF(AA210='Listas suspensas'!$A$5,'Listas suspensas'!$B$5,IF(AA210='Listas suspensas'!$A$6,'Listas suspensas'!$B$6,"")))))</f>
        <v>Profunda e regular</v>
      </c>
      <c r="AC210" s="8" t="str">
        <f>IF(AA210='Listas suspensas'!$A$2,'Listas suspensas'!$C$2,IF(AA210='Listas suspensas'!$A$3,'Listas suspensas'!$C$3,IF(AA210='Listas suspensas'!$A$4,'Listas suspensas'!$C$4,IF(AA210='Listas suspensas'!$A$5,'Listas suspensas'!$C$5,IF(AA210='Listas suspensas'!$A$6,'Listas suspensas'!$C$6,"")))))</f>
        <v>Indica a penetração profunda e uniforme em toda a extensão do alburno.</v>
      </c>
      <c r="BD210" s="13">
        <v>0.46500000000000002</v>
      </c>
      <c r="BE210" s="18">
        <f t="shared" si="53"/>
        <v>465</v>
      </c>
      <c r="BF210" s="8">
        <v>0.35299999999999998</v>
      </c>
      <c r="BG210" s="8">
        <v>0.129</v>
      </c>
      <c r="BH210" s="8">
        <v>0.16600000000000001</v>
      </c>
      <c r="BI210" s="13">
        <f t="shared" si="54"/>
        <v>0.64800000000000002</v>
      </c>
      <c r="BJ210" s="14">
        <v>54.5</v>
      </c>
      <c r="BK210" s="14">
        <v>19.899999999999999</v>
      </c>
      <c r="BL210" s="14">
        <v>25.6</v>
      </c>
      <c r="BM210" s="16">
        <f t="shared" si="48"/>
        <v>100</v>
      </c>
      <c r="BN210" s="21">
        <f t="shared" si="49"/>
        <v>1.64</v>
      </c>
      <c r="BO210" s="21">
        <f t="shared" si="50"/>
        <v>0.6</v>
      </c>
      <c r="BP210" s="21">
        <f t="shared" si="51"/>
        <v>0.77</v>
      </c>
      <c r="BQ210" s="14">
        <f t="shared" si="52"/>
        <v>3.01</v>
      </c>
      <c r="BR210" s="22" t="str">
        <f>IF(OR(AND(X210="Mourões", BQ210&gt;=6.5),AND(X210="Postes", BQ210&gt;=9.6),AND(X210="Dormentes", BQ210&gt;=9.6),AND(X210="Estacas", BQ210&gt;=6.5),AND(X210="Cruzetas", BQ210&gt;=6.5),AND(X210="Outros - Solo", BQ210&gt;=6.5),AND(X210="Outros - Suspenso",BQ210&gt;=4),AND(X210="Deck",BQ210&gt;=4)),'Listas suspensas'!$C$21,'Listas suspensas'!$C$22)</f>
        <v>Os resultados da análise química apresentaram uma retenção do produto inferior ao padrão mínimo exigido pela norma ABNT NBR 16143</v>
      </c>
    </row>
    <row r="211" spans="2:70" x14ac:dyDescent="0.25">
      <c r="B211" s="8" t="s">
        <v>574</v>
      </c>
      <c r="C211" s="8" t="s">
        <v>71</v>
      </c>
      <c r="F211" s="11">
        <v>45881</v>
      </c>
      <c r="G211" s="11">
        <v>45884</v>
      </c>
      <c r="H211" s="11">
        <v>45896</v>
      </c>
      <c r="I211" s="8" t="s">
        <v>575</v>
      </c>
      <c r="J211" s="8" t="s">
        <v>576</v>
      </c>
      <c r="K211" s="8" t="s">
        <v>144</v>
      </c>
      <c r="L211" s="8" t="s">
        <v>15</v>
      </c>
      <c r="N211" s="8" t="s">
        <v>75</v>
      </c>
      <c r="O211" s="8" t="s">
        <v>94</v>
      </c>
      <c r="P211" s="28" t="s">
        <v>77</v>
      </c>
      <c r="Q211" s="16" t="s">
        <v>146</v>
      </c>
      <c r="X211" s="8" t="s">
        <v>98</v>
      </c>
      <c r="Y211" s="34">
        <f>IF(X211='Listas suspensas'!$A$21,'Listas suspensas'!$B$23,IF(X211='Listas suspensas'!$A$22,'Listas suspensas'!$B$23,IF(X211='Listas suspensas'!$A$23,'Listas suspensas'!$B$22,IF(X211='Listas suspensas'!$A$26,'Listas suspensas'!$B$22,IF(X211='Listas suspensas'!$A$32,'Listas suspensas'!$B$22,IF(X211='Listas suspensas'!$A$33,'Listas suspensas'!$B$21,IF(X211='Listas suspensas'!$A$24,'Listas suspensas'!$B$22,IF(X211='Listas suspensas'!$A$30,'Listas suspensas'!$B$21,""))))))))</f>
        <v>9.6</v>
      </c>
      <c r="Z211" s="8" t="s">
        <v>80</v>
      </c>
      <c r="AA211" s="8">
        <v>1</v>
      </c>
      <c r="AB211" s="8" t="str">
        <f>IF(AA211='Listas suspensas'!$A$2,'Listas suspensas'!$B$2,IF(AA211='Listas suspensas'!$A$3,'Listas suspensas'!$B$3,IF(AA211='Listas suspensas'!$A$4,'Listas suspensas'!$B$4,IF(AA211='Listas suspensas'!$A$5,'Listas suspensas'!$B$5,IF(AA211='Listas suspensas'!$A$6,'Listas suspensas'!$B$6,"")))))</f>
        <v>Profunda e regular</v>
      </c>
      <c r="AC211" s="8" t="str">
        <f>IF(AA211='Listas suspensas'!$A$2,'Listas suspensas'!$C$2,IF(AA211='Listas suspensas'!$A$3,'Listas suspensas'!$C$3,IF(AA211='Listas suspensas'!$A$4,'Listas suspensas'!$C$4,IF(AA211='Listas suspensas'!$A$5,'Listas suspensas'!$C$5,IF(AA211='Listas suspensas'!$A$6,'Listas suspensas'!$C$6,"")))))</f>
        <v>Indica a penetração profunda e uniforme em toda a extensão do alburno.</v>
      </c>
      <c r="BD211" s="13">
        <v>0.60199999999999998</v>
      </c>
      <c r="BE211" s="18">
        <f t="shared" si="53"/>
        <v>602</v>
      </c>
      <c r="BF211" s="8">
        <v>1.093</v>
      </c>
      <c r="BG211" s="8">
        <v>0.33500000000000002</v>
      </c>
      <c r="BH211" s="8">
        <v>0.63100000000000001</v>
      </c>
      <c r="BI211" s="13">
        <f t="shared" si="54"/>
        <v>2.0590000000000002</v>
      </c>
      <c r="BJ211" s="14">
        <v>53.1</v>
      </c>
      <c r="BK211" s="14">
        <v>16.3</v>
      </c>
      <c r="BL211" s="14">
        <v>30.6</v>
      </c>
      <c r="BM211" s="16">
        <f t="shared" si="48"/>
        <v>100</v>
      </c>
      <c r="BN211" s="21">
        <f t="shared" si="49"/>
        <v>6.58</v>
      </c>
      <c r="BO211" s="21">
        <f t="shared" si="50"/>
        <v>2.02</v>
      </c>
      <c r="BP211" s="21">
        <f t="shared" si="51"/>
        <v>3.8</v>
      </c>
      <c r="BQ211" s="14">
        <f t="shared" si="52"/>
        <v>12.4</v>
      </c>
      <c r="BR211" s="22" t="str">
        <f>IF(OR(AND(X211="Mourões", BQ211&gt;=6.5),AND(X211="Postes", BQ211&gt;=9.6),AND(X211="Dormentes", BQ211&gt;=9.6),AND(X211="Estacas", BQ211&gt;=6.5),AND(X211="Cruzetas", BQ211&gt;=6.5),AND(X211="Outros - Solo", BQ211&gt;=6.5),AND(X211="Outros - Suspenso",BQ211&gt;=4),AND(X211="Deck",BQ211&gt;=4)),'Listas suspensas'!$C$21,'Listas suspensas'!$C$22)</f>
        <v>Os resultados da análise química apresentaram uma retenção do produto de acordo com o padrão mínimo exigido pela norma ABNT NBR 16143</v>
      </c>
    </row>
    <row r="212" spans="2:70" x14ac:dyDescent="0.25">
      <c r="B212" s="8" t="s">
        <v>577</v>
      </c>
      <c r="C212" s="8" t="s">
        <v>71</v>
      </c>
      <c r="F212" s="11">
        <v>45881</v>
      </c>
      <c r="G212" s="11">
        <v>45884</v>
      </c>
      <c r="H212" s="11">
        <v>45896</v>
      </c>
      <c r="I212" s="8" t="s">
        <v>187</v>
      </c>
      <c r="J212" s="8" t="s">
        <v>188</v>
      </c>
      <c r="K212" s="8" t="s">
        <v>189</v>
      </c>
      <c r="L212" s="8" t="s">
        <v>15</v>
      </c>
      <c r="M212" s="30" t="s">
        <v>190</v>
      </c>
      <c r="N212" s="8" t="s">
        <v>75</v>
      </c>
      <c r="O212" s="8" t="s">
        <v>94</v>
      </c>
      <c r="P212" s="28" t="s">
        <v>77</v>
      </c>
      <c r="Q212" s="16" t="s">
        <v>578</v>
      </c>
      <c r="X212" s="8" t="s">
        <v>79</v>
      </c>
      <c r="Y212" s="34">
        <f>IF(X212='Listas suspensas'!$A$21,'Listas suspensas'!$B$23,IF(X212='Listas suspensas'!$A$22,'Listas suspensas'!$B$23,IF(X212='Listas suspensas'!$A$23,'Listas suspensas'!$B$22,IF(X212='Listas suspensas'!$A$26,'Listas suspensas'!$B$22,IF(X212='Listas suspensas'!$A$32,'Listas suspensas'!$B$22,IF(X212='Listas suspensas'!$A$33,'Listas suspensas'!$B$21,IF(X212='Listas suspensas'!$A$24,'Listas suspensas'!$B$22,IF(X212='Listas suspensas'!$A$30,'Listas suspensas'!$B$21,""))))))))</f>
        <v>6.5</v>
      </c>
      <c r="Z212" s="8" t="s">
        <v>80</v>
      </c>
      <c r="AA212" s="8">
        <v>2</v>
      </c>
      <c r="AB212" s="8" t="str">
        <f>IF(AA212='Listas suspensas'!$A$2,'Listas suspensas'!$B$2,IF(AA212='Listas suspensas'!$A$3,'Listas suspensas'!$B$3,IF(AA212='Listas suspensas'!$A$4,'Listas suspensas'!$B$4,IF(AA212='Listas suspensas'!$A$5,'Listas suspensas'!$B$5,IF(AA212='Listas suspensas'!$A$6,'Listas suspensas'!$B$6,"")))))</f>
        <v>Profunda e irregular</v>
      </c>
      <c r="AC212" s="8" t="str">
        <f>IF(AA212='Listas suspensas'!$A$2,'Listas suspensas'!$C$2,IF(AA212='Listas suspensas'!$A$3,'Listas suspensas'!$C$3,IF(AA212='Listas suspensas'!$A$4,'Listas suspensas'!$C$4,IF(AA212='Listas suspensas'!$A$5,'Listas suspensas'!$C$5,IF(AA212='Listas suspensas'!$A$6,'Listas suspensas'!$C$6,"")))))</f>
        <v>Indica a penetração profunda, mas desuniforme em toda a extensão do alburno.</v>
      </c>
      <c r="BD212" s="13">
        <v>0.86</v>
      </c>
      <c r="BE212" s="18">
        <f t="shared" si="53"/>
        <v>860</v>
      </c>
      <c r="BF212" s="8">
        <v>0.35899999999999999</v>
      </c>
      <c r="BG212" s="8">
        <v>0.16900000000000001</v>
      </c>
      <c r="BH212" s="8">
        <v>0.28599999999999998</v>
      </c>
      <c r="BI212" s="13">
        <f t="shared" si="54"/>
        <v>0.81400000000000006</v>
      </c>
      <c r="BJ212" s="14">
        <v>44.1</v>
      </c>
      <c r="BK212" s="14">
        <v>20.8</v>
      </c>
      <c r="BL212" s="14">
        <v>35.1</v>
      </c>
      <c r="BM212" s="16">
        <f t="shared" si="48"/>
        <v>100</v>
      </c>
      <c r="BN212" s="21">
        <f t="shared" si="49"/>
        <v>3.09</v>
      </c>
      <c r="BO212" s="21">
        <f t="shared" si="50"/>
        <v>1.45</v>
      </c>
      <c r="BP212" s="21">
        <f t="shared" si="51"/>
        <v>2.46</v>
      </c>
      <c r="BQ212" s="14">
        <f t="shared" si="52"/>
        <v>7</v>
      </c>
      <c r="BR212" s="22" t="str">
        <f>IF(OR(AND(X212="Mourões", BQ212&gt;=6.5),AND(X212="Postes", BQ212&gt;=9.6),AND(X212="Dormentes", BQ212&gt;=9.6),AND(X212="Estacas", BQ212&gt;=6.5),AND(X212="Cruzetas", BQ212&gt;=6.5),AND(X212="Outros - Solo", BQ212&gt;=6.5),AND(X212="Outros - Suspenso",BQ212&gt;=4),AND(X212="Deck",BQ212&gt;=4)),'Listas suspensas'!$C$21,'Listas suspensas'!$C$22)</f>
        <v>Os resultados da análise química apresentaram uma retenção do produto de acordo com o padrão mínimo exigido pela norma ABNT NBR 16143</v>
      </c>
    </row>
    <row r="213" spans="2:70" x14ac:dyDescent="0.25">
      <c r="B213" s="8" t="s">
        <v>579</v>
      </c>
      <c r="C213" s="8" t="s">
        <v>71</v>
      </c>
      <c r="F213" s="11">
        <v>45881</v>
      </c>
      <c r="G213" s="11">
        <v>45884</v>
      </c>
      <c r="H213" s="11">
        <v>45896</v>
      </c>
      <c r="I213" s="8" t="s">
        <v>187</v>
      </c>
      <c r="J213" s="8" t="s">
        <v>188</v>
      </c>
      <c r="K213" s="8" t="s">
        <v>189</v>
      </c>
      <c r="L213" s="8" t="s">
        <v>15</v>
      </c>
      <c r="M213" s="30" t="s">
        <v>190</v>
      </c>
      <c r="N213" s="8" t="s">
        <v>75</v>
      </c>
      <c r="O213" s="8" t="s">
        <v>94</v>
      </c>
      <c r="P213" s="28" t="s">
        <v>77</v>
      </c>
      <c r="Q213" s="16" t="s">
        <v>580</v>
      </c>
      <c r="X213" s="8" t="s">
        <v>79</v>
      </c>
      <c r="Y213" s="34">
        <f>IF(X213='Listas suspensas'!$A$21,'Listas suspensas'!$B$23,IF(X213='Listas suspensas'!$A$22,'Listas suspensas'!$B$23,IF(X213='Listas suspensas'!$A$23,'Listas suspensas'!$B$22,IF(X213='Listas suspensas'!$A$26,'Listas suspensas'!$B$22,IF(X213='Listas suspensas'!$A$32,'Listas suspensas'!$B$22,IF(X213='Listas suspensas'!$A$33,'Listas suspensas'!$B$21,IF(X213='Listas suspensas'!$A$24,'Listas suspensas'!$B$22,IF(X213='Listas suspensas'!$A$30,'Listas suspensas'!$B$21,""))))))))</f>
        <v>6.5</v>
      </c>
      <c r="Z213" s="8" t="s">
        <v>80</v>
      </c>
      <c r="AA213" s="8">
        <v>2</v>
      </c>
      <c r="AB213" s="8" t="str">
        <f>IF(AA213='Listas suspensas'!$A$2,'Listas suspensas'!$B$2,IF(AA213='Listas suspensas'!$A$3,'Listas suspensas'!$B$3,IF(AA213='Listas suspensas'!$A$4,'Listas suspensas'!$B$4,IF(AA213='Listas suspensas'!$A$5,'Listas suspensas'!$B$5,IF(AA213='Listas suspensas'!$A$6,'Listas suspensas'!$B$6,"")))))</f>
        <v>Profunda e irregular</v>
      </c>
      <c r="AC213" s="8" t="str">
        <f>IF(AA213='Listas suspensas'!$A$2,'Listas suspensas'!$C$2,IF(AA213='Listas suspensas'!$A$3,'Listas suspensas'!$C$3,IF(AA213='Listas suspensas'!$A$4,'Listas suspensas'!$C$4,IF(AA213='Listas suspensas'!$A$5,'Listas suspensas'!$C$5,IF(AA213='Listas suspensas'!$A$6,'Listas suspensas'!$C$6,"")))))</f>
        <v>Indica a penetração profunda, mas desuniforme em toda a extensão do alburno.</v>
      </c>
      <c r="BD213" s="13">
        <v>0.80200000000000005</v>
      </c>
      <c r="BE213" s="18">
        <f t="shared" si="53"/>
        <v>802</v>
      </c>
      <c r="BF213" s="8">
        <v>0.27900000000000003</v>
      </c>
      <c r="BG213" s="8">
        <v>0.14799999999999999</v>
      </c>
      <c r="BH213" s="8">
        <v>0.252</v>
      </c>
      <c r="BI213" s="13">
        <f t="shared" si="54"/>
        <v>0.67900000000000005</v>
      </c>
      <c r="BJ213" s="14">
        <v>41.1</v>
      </c>
      <c r="BK213" s="14">
        <v>21.8</v>
      </c>
      <c r="BL213" s="14">
        <v>37.1</v>
      </c>
      <c r="BM213" s="16">
        <f t="shared" si="48"/>
        <v>100</v>
      </c>
      <c r="BN213" s="21">
        <f t="shared" si="49"/>
        <v>2.2400000000000002</v>
      </c>
      <c r="BO213" s="21">
        <f t="shared" si="50"/>
        <v>1.19</v>
      </c>
      <c r="BP213" s="21">
        <f t="shared" si="51"/>
        <v>2.02</v>
      </c>
      <c r="BQ213" s="14">
        <f t="shared" si="52"/>
        <v>5.45</v>
      </c>
      <c r="BR213" s="22" t="str">
        <f>IF(OR(AND(X213="Mourões", BQ213&gt;=6.5),AND(X213="Postes", BQ213&gt;=9.6),AND(X213="Dormentes", BQ213&gt;=9.6),AND(X213="Estacas", BQ213&gt;=6.5),AND(X213="Cruzetas", BQ213&gt;=6.5),AND(X213="Outros - Solo", BQ213&gt;=6.5),AND(X213="Outros - Suspenso",BQ213&gt;=4),AND(X213="Deck",BQ213&gt;=4)),'Listas suspensas'!$C$21,'Listas suspensas'!$C$22)</f>
        <v>Os resultados da análise química apresentaram uma retenção do produto inferior ao padrão mínimo exigido pela norma ABNT NBR 16143</v>
      </c>
    </row>
    <row r="214" spans="2:70" x14ac:dyDescent="0.25">
      <c r="B214" s="8" t="s">
        <v>581</v>
      </c>
      <c r="C214" s="8" t="s">
        <v>71</v>
      </c>
      <c r="F214" s="11">
        <v>45881</v>
      </c>
      <c r="G214" s="11">
        <v>45884</v>
      </c>
      <c r="H214" s="11">
        <v>45896</v>
      </c>
      <c r="I214" s="8" t="s">
        <v>187</v>
      </c>
      <c r="J214" s="8" t="s">
        <v>188</v>
      </c>
      <c r="K214" s="8" t="s">
        <v>189</v>
      </c>
      <c r="L214" s="8" t="s">
        <v>15</v>
      </c>
      <c r="M214" s="30" t="s">
        <v>190</v>
      </c>
      <c r="N214" s="8" t="s">
        <v>75</v>
      </c>
      <c r="O214" s="8" t="s">
        <v>94</v>
      </c>
      <c r="P214" s="28" t="s">
        <v>77</v>
      </c>
      <c r="Q214" s="16" t="s">
        <v>582</v>
      </c>
      <c r="X214" s="8" t="s">
        <v>79</v>
      </c>
      <c r="Y214" s="34">
        <f>IF(X214='Listas suspensas'!$A$21,'Listas suspensas'!$B$23,IF(X214='Listas suspensas'!$A$22,'Listas suspensas'!$B$23,IF(X214='Listas suspensas'!$A$23,'Listas suspensas'!$B$22,IF(X214='Listas suspensas'!$A$26,'Listas suspensas'!$B$22,IF(X214='Listas suspensas'!$A$32,'Listas suspensas'!$B$22,IF(X214='Listas suspensas'!$A$33,'Listas suspensas'!$B$21,IF(X214='Listas suspensas'!$A$24,'Listas suspensas'!$B$22,IF(X214='Listas suspensas'!$A$30,'Listas suspensas'!$B$21,""))))))))</f>
        <v>6.5</v>
      </c>
      <c r="Z214" s="8" t="s">
        <v>80</v>
      </c>
      <c r="AA214" s="8">
        <v>2</v>
      </c>
      <c r="AB214" s="8" t="str">
        <f>IF(AA214='Listas suspensas'!$A$2,'Listas suspensas'!$B$2,IF(AA214='Listas suspensas'!$A$3,'Listas suspensas'!$B$3,IF(AA214='Listas suspensas'!$A$4,'Listas suspensas'!$B$4,IF(AA214='Listas suspensas'!$A$5,'Listas suspensas'!$B$5,IF(AA214='Listas suspensas'!$A$6,'Listas suspensas'!$B$6,"")))))</f>
        <v>Profunda e irregular</v>
      </c>
      <c r="AC214" s="8" t="str">
        <f>IF(AA214='Listas suspensas'!$A$2,'Listas suspensas'!$C$2,IF(AA214='Listas suspensas'!$A$3,'Listas suspensas'!$C$3,IF(AA214='Listas suspensas'!$A$4,'Listas suspensas'!$C$4,IF(AA214='Listas suspensas'!$A$5,'Listas suspensas'!$C$5,IF(AA214='Listas suspensas'!$A$6,'Listas suspensas'!$C$6,"")))))</f>
        <v>Indica a penetração profunda, mas desuniforme em toda a extensão do alburno.</v>
      </c>
      <c r="BD214" s="13">
        <v>0.85899999999999999</v>
      </c>
      <c r="BE214" s="18">
        <f t="shared" si="53"/>
        <v>859</v>
      </c>
      <c r="BF214" s="8">
        <v>0.40500000000000003</v>
      </c>
      <c r="BG214" s="8">
        <v>0.16900000000000001</v>
      </c>
      <c r="BH214" s="8">
        <v>0.34100000000000003</v>
      </c>
      <c r="BI214" s="13">
        <f t="shared" si="54"/>
        <v>0.91500000000000004</v>
      </c>
      <c r="BJ214" s="14">
        <v>44.3</v>
      </c>
      <c r="BK214" s="14">
        <v>18.5</v>
      </c>
      <c r="BL214" s="14">
        <v>37.200000000000003</v>
      </c>
      <c r="BM214" s="16">
        <f t="shared" si="48"/>
        <v>100</v>
      </c>
      <c r="BN214" s="21">
        <f t="shared" si="49"/>
        <v>3.48</v>
      </c>
      <c r="BO214" s="21">
        <f t="shared" si="50"/>
        <v>1.45</v>
      </c>
      <c r="BP214" s="21">
        <f t="shared" si="51"/>
        <v>2.93</v>
      </c>
      <c r="BQ214" s="14">
        <f t="shared" si="52"/>
        <v>7.86</v>
      </c>
      <c r="BR214" s="22" t="str">
        <f>IF(OR(AND(X214="Mourões", BQ214&gt;=6.5),AND(X214="Postes", BQ214&gt;=9.6),AND(X214="Dormentes", BQ214&gt;=9.6),AND(X214="Estacas", BQ214&gt;=6.5),AND(X214="Cruzetas", BQ214&gt;=6.5),AND(X214="Outros - Solo", BQ214&gt;=6.5),AND(X214="Outros - Suspenso",BQ214&gt;=4),AND(X214="Deck",BQ214&gt;=4)),'Listas suspensas'!$C$21,'Listas suspensas'!$C$22)</f>
        <v>Os resultados da análise química apresentaram uma retenção do produto de acordo com o padrão mínimo exigido pela norma ABNT NBR 16143</v>
      </c>
    </row>
    <row r="215" spans="2:70" x14ac:dyDescent="0.25">
      <c r="B215" s="8" t="s">
        <v>583</v>
      </c>
      <c r="C215" s="8" t="s">
        <v>71</v>
      </c>
      <c r="F215" s="11">
        <v>45881</v>
      </c>
      <c r="G215" s="11">
        <v>45884</v>
      </c>
      <c r="H215" s="11">
        <v>45896</v>
      </c>
      <c r="I215" s="8" t="s">
        <v>584</v>
      </c>
      <c r="J215" s="8" t="s">
        <v>143</v>
      </c>
      <c r="K215" s="8" t="s">
        <v>144</v>
      </c>
      <c r="L215" s="8" t="s">
        <v>15</v>
      </c>
      <c r="M215" s="30" t="s">
        <v>585</v>
      </c>
      <c r="N215" s="8" t="s">
        <v>75</v>
      </c>
      <c r="O215" s="8" t="s">
        <v>94</v>
      </c>
      <c r="P215" s="28" t="s">
        <v>77</v>
      </c>
      <c r="Q215" s="16" t="s">
        <v>586</v>
      </c>
      <c r="X215" s="8" t="s">
        <v>79</v>
      </c>
      <c r="Y215" s="34">
        <f>IF(X215='Listas suspensas'!$A$21,'Listas suspensas'!$B$23,IF(X215='Listas suspensas'!$A$22,'Listas suspensas'!$B$23,IF(X215='Listas suspensas'!$A$23,'Listas suspensas'!$B$22,IF(X215='Listas suspensas'!$A$26,'Listas suspensas'!$B$22,IF(X215='Listas suspensas'!$A$32,'Listas suspensas'!$B$22,IF(X215='Listas suspensas'!$A$33,'Listas suspensas'!$B$21,IF(X215='Listas suspensas'!$A$24,'Listas suspensas'!$B$22,IF(X215='Listas suspensas'!$A$30,'Listas suspensas'!$B$21,""))))))))</f>
        <v>6.5</v>
      </c>
      <c r="Z215" s="8" t="s">
        <v>80</v>
      </c>
      <c r="AA215" s="8">
        <v>2</v>
      </c>
      <c r="AB215" s="8" t="str">
        <f>IF(AA215='Listas suspensas'!$A$2,'Listas suspensas'!$B$2,IF(AA215='Listas suspensas'!$A$3,'Listas suspensas'!$B$3,IF(AA215='Listas suspensas'!$A$4,'Listas suspensas'!$B$4,IF(AA215='Listas suspensas'!$A$5,'Listas suspensas'!$B$5,IF(AA215='Listas suspensas'!$A$6,'Listas suspensas'!$B$6,"")))))</f>
        <v>Profunda e irregular</v>
      </c>
      <c r="AC215" s="8" t="str">
        <f>IF(AA215='Listas suspensas'!$A$2,'Listas suspensas'!$C$2,IF(AA215='Listas suspensas'!$A$3,'Listas suspensas'!$C$3,IF(AA215='Listas suspensas'!$A$4,'Listas suspensas'!$C$4,IF(AA215='Listas suspensas'!$A$5,'Listas suspensas'!$C$5,IF(AA215='Listas suspensas'!$A$6,'Listas suspensas'!$C$6,"")))))</f>
        <v>Indica a penetração profunda, mas desuniforme em toda a extensão do alburno.</v>
      </c>
      <c r="BD215" s="13">
        <v>0.53900000000000003</v>
      </c>
      <c r="BE215" s="18">
        <f t="shared" si="53"/>
        <v>539</v>
      </c>
      <c r="BF215" s="8">
        <v>0.45600000000000002</v>
      </c>
      <c r="BG215" s="8">
        <v>0.184</v>
      </c>
      <c r="BH215" s="8">
        <v>0.32</v>
      </c>
      <c r="BI215" s="13">
        <f t="shared" si="54"/>
        <v>0.96</v>
      </c>
      <c r="BJ215" s="14">
        <v>47.5</v>
      </c>
      <c r="BK215" s="14">
        <v>19.2</v>
      </c>
      <c r="BL215" s="14">
        <v>33.299999999999997</v>
      </c>
      <c r="BM215" s="16">
        <f t="shared" si="48"/>
        <v>100</v>
      </c>
      <c r="BN215" s="21">
        <f t="shared" si="49"/>
        <v>2.46</v>
      </c>
      <c r="BO215" s="21">
        <f t="shared" si="50"/>
        <v>0.99</v>
      </c>
      <c r="BP215" s="21">
        <f t="shared" si="51"/>
        <v>1.72</v>
      </c>
      <c r="BQ215" s="14">
        <f t="shared" si="52"/>
        <v>5.17</v>
      </c>
      <c r="BR215" s="22" t="str">
        <f>IF(OR(AND(X215="Mourões", BQ215&gt;=6.5),AND(X215="Postes", BQ215&gt;=9.6),AND(X215="Dormentes", BQ215&gt;=9.6),AND(X215="Estacas", BQ215&gt;=6.5),AND(X215="Cruzetas", BQ215&gt;=6.5),AND(X215="Outros - Solo", BQ215&gt;=6.5),AND(X215="Outros - Suspenso",BQ215&gt;=4),AND(X215="Deck",BQ215&gt;=4)),'Listas suspensas'!$C$21,'Listas suspensas'!$C$22)</f>
        <v>Os resultados da análise química apresentaram uma retenção do produto inferior ao padrão mínimo exigido pela norma ABNT NBR 16143</v>
      </c>
    </row>
    <row r="216" spans="2:70" x14ac:dyDescent="0.25">
      <c r="B216" s="8" t="s">
        <v>587</v>
      </c>
      <c r="C216" s="8" t="s">
        <v>71</v>
      </c>
      <c r="F216" s="11">
        <v>45881</v>
      </c>
      <c r="G216" s="11">
        <v>45884</v>
      </c>
      <c r="H216" s="11">
        <v>45896</v>
      </c>
      <c r="I216" s="8" t="s">
        <v>584</v>
      </c>
      <c r="J216" s="8" t="s">
        <v>143</v>
      </c>
      <c r="K216" s="8" t="s">
        <v>144</v>
      </c>
      <c r="L216" s="8" t="s">
        <v>15</v>
      </c>
      <c r="M216" s="30" t="s">
        <v>585</v>
      </c>
      <c r="N216" s="8" t="s">
        <v>75</v>
      </c>
      <c r="O216" s="8" t="s">
        <v>94</v>
      </c>
      <c r="P216" s="28" t="s">
        <v>77</v>
      </c>
      <c r="Q216" s="16" t="s">
        <v>588</v>
      </c>
      <c r="X216" s="8" t="s">
        <v>79</v>
      </c>
      <c r="Y216" s="34">
        <f>IF(X216='Listas suspensas'!$A$21,'Listas suspensas'!$B$23,IF(X216='Listas suspensas'!$A$22,'Listas suspensas'!$B$23,IF(X216='Listas suspensas'!$A$23,'Listas suspensas'!$B$22,IF(X216='Listas suspensas'!$A$26,'Listas suspensas'!$B$22,IF(X216='Listas suspensas'!$A$32,'Listas suspensas'!$B$22,IF(X216='Listas suspensas'!$A$33,'Listas suspensas'!$B$21,IF(X216='Listas suspensas'!$A$24,'Listas suspensas'!$B$22,IF(X216='Listas suspensas'!$A$30,'Listas suspensas'!$B$21,""))))))))</f>
        <v>6.5</v>
      </c>
      <c r="Z216" s="8" t="s">
        <v>80</v>
      </c>
      <c r="AA216" s="8">
        <v>2</v>
      </c>
      <c r="AB216" s="8" t="str">
        <f>IF(AA216='Listas suspensas'!$A$2,'Listas suspensas'!$B$2,IF(AA216='Listas suspensas'!$A$3,'Listas suspensas'!$B$3,IF(AA216='Listas suspensas'!$A$4,'Listas suspensas'!$B$4,IF(AA216='Listas suspensas'!$A$5,'Listas suspensas'!$B$5,IF(AA216='Listas suspensas'!$A$6,'Listas suspensas'!$B$6,"")))))</f>
        <v>Profunda e irregular</v>
      </c>
      <c r="AC216" s="8" t="str">
        <f>IF(AA216='Listas suspensas'!$A$2,'Listas suspensas'!$C$2,IF(AA216='Listas suspensas'!$A$3,'Listas suspensas'!$C$3,IF(AA216='Listas suspensas'!$A$4,'Listas suspensas'!$C$4,IF(AA216='Listas suspensas'!$A$5,'Listas suspensas'!$C$5,IF(AA216='Listas suspensas'!$A$6,'Listas suspensas'!$C$6,"")))))</f>
        <v>Indica a penetração profunda, mas desuniforme em toda a extensão do alburno.</v>
      </c>
      <c r="BD216" s="13">
        <v>0.63700000000000001</v>
      </c>
      <c r="BE216" s="18">
        <f t="shared" si="53"/>
        <v>637</v>
      </c>
      <c r="BF216" s="8">
        <v>0.42199999999999999</v>
      </c>
      <c r="BG216" s="8">
        <v>0.17100000000000001</v>
      </c>
      <c r="BH216" s="8">
        <v>0.29499999999999998</v>
      </c>
      <c r="BI216" s="13">
        <f t="shared" si="54"/>
        <v>0.8879999999999999</v>
      </c>
      <c r="BJ216" s="14">
        <v>47.5</v>
      </c>
      <c r="BK216" s="14">
        <v>19.3</v>
      </c>
      <c r="BL216" s="14">
        <v>33.200000000000003</v>
      </c>
      <c r="BM216" s="16">
        <f t="shared" si="48"/>
        <v>100</v>
      </c>
      <c r="BN216" s="21">
        <f t="shared" si="49"/>
        <v>2.69</v>
      </c>
      <c r="BO216" s="21">
        <f t="shared" si="50"/>
        <v>1.0900000000000001</v>
      </c>
      <c r="BP216" s="21">
        <f t="shared" si="51"/>
        <v>1.88</v>
      </c>
      <c r="BQ216" s="14">
        <f t="shared" si="52"/>
        <v>5.66</v>
      </c>
      <c r="BR216" s="22" t="str">
        <f>IF(OR(AND(X216="Mourões", BQ216&gt;=6.5),AND(X216="Postes", BQ216&gt;=9.6),AND(X216="Dormentes", BQ216&gt;=9.6),AND(X216="Estacas", BQ216&gt;=6.5),AND(X216="Cruzetas", BQ216&gt;=6.5),AND(X216="Outros - Solo", BQ216&gt;=6.5),AND(X216="Outros - Suspenso",BQ216&gt;=4),AND(X216="Deck",BQ216&gt;=4)),'Listas suspensas'!$C$21,'Listas suspensas'!$C$22)</f>
        <v>Os resultados da análise química apresentaram uma retenção do produto inferior ao padrão mínimo exigido pela norma ABNT NBR 16143</v>
      </c>
    </row>
    <row r="217" spans="2:70" x14ac:dyDescent="0.25">
      <c r="B217" s="8" t="s">
        <v>589</v>
      </c>
      <c r="C217" s="8" t="s">
        <v>71</v>
      </c>
      <c r="F217" s="11">
        <v>45881</v>
      </c>
      <c r="G217" s="11">
        <v>45884</v>
      </c>
      <c r="H217" s="11">
        <v>45896</v>
      </c>
      <c r="I217" s="8" t="s">
        <v>584</v>
      </c>
      <c r="J217" s="8" t="s">
        <v>143</v>
      </c>
      <c r="K217" s="8" t="s">
        <v>144</v>
      </c>
      <c r="L217" s="8" t="s">
        <v>15</v>
      </c>
      <c r="M217" s="30" t="s">
        <v>585</v>
      </c>
      <c r="N217" s="8" t="s">
        <v>75</v>
      </c>
      <c r="O217" s="8" t="s">
        <v>94</v>
      </c>
      <c r="P217" s="28" t="s">
        <v>77</v>
      </c>
      <c r="Q217" s="16" t="s">
        <v>590</v>
      </c>
      <c r="X217" s="8" t="s">
        <v>79</v>
      </c>
      <c r="Y217" s="34">
        <f>IF(X217='Listas suspensas'!$A$21,'Listas suspensas'!$B$23,IF(X217='Listas suspensas'!$A$22,'Listas suspensas'!$B$23,IF(X217='Listas suspensas'!$A$23,'Listas suspensas'!$B$22,IF(X217='Listas suspensas'!$A$26,'Listas suspensas'!$B$22,IF(X217='Listas suspensas'!$A$32,'Listas suspensas'!$B$22,IF(X217='Listas suspensas'!$A$33,'Listas suspensas'!$B$21,IF(X217='Listas suspensas'!$A$24,'Listas suspensas'!$B$22,IF(X217='Listas suspensas'!$A$30,'Listas suspensas'!$B$21,""))))))))</f>
        <v>6.5</v>
      </c>
      <c r="Z217" s="8" t="s">
        <v>80</v>
      </c>
      <c r="AA217" s="8">
        <v>2</v>
      </c>
      <c r="AB217" s="8" t="str">
        <f>IF(AA217='Listas suspensas'!$A$2,'Listas suspensas'!$B$2,IF(AA217='Listas suspensas'!$A$3,'Listas suspensas'!$B$3,IF(AA217='Listas suspensas'!$A$4,'Listas suspensas'!$B$4,IF(AA217='Listas suspensas'!$A$5,'Listas suspensas'!$B$5,IF(AA217='Listas suspensas'!$A$6,'Listas suspensas'!$B$6,"")))))</f>
        <v>Profunda e irregular</v>
      </c>
      <c r="AC217" s="8" t="str">
        <f>IF(AA217='Listas suspensas'!$A$2,'Listas suspensas'!$C$2,IF(AA217='Listas suspensas'!$A$3,'Listas suspensas'!$C$3,IF(AA217='Listas suspensas'!$A$4,'Listas suspensas'!$C$4,IF(AA217='Listas suspensas'!$A$5,'Listas suspensas'!$C$5,IF(AA217='Listas suspensas'!$A$6,'Listas suspensas'!$C$6,"")))))</f>
        <v>Indica a penetração profunda, mas desuniforme em toda a extensão do alburno.</v>
      </c>
      <c r="BD217" s="13">
        <v>0.52200000000000002</v>
      </c>
      <c r="BE217" s="18">
        <f t="shared" si="53"/>
        <v>522</v>
      </c>
      <c r="BF217" s="8">
        <v>0.48199999999999998</v>
      </c>
      <c r="BG217" s="8">
        <v>0.183</v>
      </c>
      <c r="BH217" s="8">
        <v>0.34699999999999998</v>
      </c>
      <c r="BI217" s="13">
        <f t="shared" si="54"/>
        <v>1.012</v>
      </c>
      <c r="BJ217" s="14">
        <v>47.6</v>
      </c>
      <c r="BK217" s="14">
        <v>18.100000000000001</v>
      </c>
      <c r="BL217" s="14">
        <v>34.299999999999997</v>
      </c>
      <c r="BM217" s="16">
        <f t="shared" si="48"/>
        <v>100</v>
      </c>
      <c r="BN217" s="21">
        <f t="shared" si="49"/>
        <v>2.52</v>
      </c>
      <c r="BO217" s="21">
        <f t="shared" si="50"/>
        <v>0.96</v>
      </c>
      <c r="BP217" s="21">
        <f t="shared" si="51"/>
        <v>1.81</v>
      </c>
      <c r="BQ217" s="14">
        <f t="shared" si="52"/>
        <v>5.29</v>
      </c>
      <c r="BR217" s="22" t="str">
        <f>IF(OR(AND(X217="Mourões", BQ217&gt;=6.5),AND(X217="Postes", BQ217&gt;=9.6),AND(X217="Dormentes", BQ217&gt;=9.6),AND(X217="Estacas", BQ217&gt;=6.5),AND(X217="Cruzetas", BQ217&gt;=6.5),AND(X217="Outros - Solo", BQ217&gt;=6.5),AND(X217="Outros - Suspenso",BQ217&gt;=4),AND(X217="Deck",BQ217&gt;=4)),'Listas suspensas'!$C$21,'Listas suspensas'!$C$22)</f>
        <v>Os resultados da análise química apresentaram uma retenção do produto inferior ao padrão mínimo exigido pela norma ABNT NBR 16143</v>
      </c>
    </row>
    <row r="218" spans="2:70" x14ac:dyDescent="0.25">
      <c r="B218" s="8" t="s">
        <v>591</v>
      </c>
      <c r="C218" s="8" t="s">
        <v>71</v>
      </c>
      <c r="F218" s="11">
        <v>45881</v>
      </c>
      <c r="G218" s="11">
        <v>45884</v>
      </c>
      <c r="H218" s="11">
        <v>45897</v>
      </c>
      <c r="I218" s="8" t="s">
        <v>584</v>
      </c>
      <c r="J218" s="8" t="s">
        <v>143</v>
      </c>
      <c r="K218" s="8" t="s">
        <v>144</v>
      </c>
      <c r="L218" s="8" t="s">
        <v>15</v>
      </c>
      <c r="M218" s="30" t="s">
        <v>585</v>
      </c>
      <c r="N218" s="8" t="s">
        <v>75</v>
      </c>
      <c r="O218" s="8" t="s">
        <v>94</v>
      </c>
      <c r="P218" s="28" t="s">
        <v>77</v>
      </c>
      <c r="Q218" s="16" t="s">
        <v>592</v>
      </c>
      <c r="X218" s="8" t="s">
        <v>79</v>
      </c>
      <c r="Y218" s="34">
        <f>IF(X218='Listas suspensas'!$A$21,'Listas suspensas'!$B$23,IF(X218='Listas suspensas'!$A$22,'Listas suspensas'!$B$23,IF(X218='Listas suspensas'!$A$23,'Listas suspensas'!$B$22,IF(X218='Listas suspensas'!$A$26,'Listas suspensas'!$B$22,IF(X218='Listas suspensas'!$A$32,'Listas suspensas'!$B$22,IF(X218='Listas suspensas'!$A$33,'Listas suspensas'!$B$21,IF(X218='Listas suspensas'!$A$24,'Listas suspensas'!$B$22,IF(X218='Listas suspensas'!$A$30,'Listas suspensas'!$B$21,""))))))))</f>
        <v>6.5</v>
      </c>
      <c r="Z218" s="8" t="s">
        <v>80</v>
      </c>
      <c r="AA218" s="8">
        <v>2</v>
      </c>
      <c r="AB218" s="8" t="str">
        <f>IF(AA218='Listas suspensas'!$A$2,'Listas suspensas'!$B$2,IF(AA218='Listas suspensas'!$A$3,'Listas suspensas'!$B$3,IF(AA218='Listas suspensas'!$A$4,'Listas suspensas'!$B$4,IF(AA218='Listas suspensas'!$A$5,'Listas suspensas'!$B$5,IF(AA218='Listas suspensas'!$A$6,'Listas suspensas'!$B$6,"")))))</f>
        <v>Profunda e irregular</v>
      </c>
      <c r="AC218" s="8" t="str">
        <f>IF(AA218='Listas suspensas'!$A$2,'Listas suspensas'!$C$2,IF(AA218='Listas suspensas'!$A$3,'Listas suspensas'!$C$3,IF(AA218='Listas suspensas'!$A$4,'Listas suspensas'!$C$4,IF(AA218='Listas suspensas'!$A$5,'Listas suspensas'!$C$5,IF(AA218='Listas suspensas'!$A$6,'Listas suspensas'!$C$6,"")))))</f>
        <v>Indica a penetração profunda, mas desuniforme em toda a extensão do alburno.</v>
      </c>
      <c r="BD218" s="13">
        <v>0.59599999999999997</v>
      </c>
      <c r="BE218" s="18">
        <f t="shared" si="53"/>
        <v>596</v>
      </c>
      <c r="BF218" s="8">
        <v>0.32100000000000001</v>
      </c>
      <c r="BG218" s="8">
        <v>0.11899999999999999</v>
      </c>
      <c r="BH218" s="8">
        <v>0.183</v>
      </c>
      <c r="BI218" s="13">
        <f t="shared" si="54"/>
        <v>0.623</v>
      </c>
      <c r="BJ218" s="14">
        <v>51.5</v>
      </c>
      <c r="BK218" s="14">
        <v>19.100000000000001</v>
      </c>
      <c r="BL218" s="14">
        <v>29.4</v>
      </c>
      <c r="BM218" s="16">
        <f t="shared" si="48"/>
        <v>100</v>
      </c>
      <c r="BN218" s="21">
        <f t="shared" si="49"/>
        <v>1.91</v>
      </c>
      <c r="BO218" s="21">
        <f t="shared" si="50"/>
        <v>0.71</v>
      </c>
      <c r="BP218" s="21">
        <f t="shared" si="51"/>
        <v>1.0900000000000001</v>
      </c>
      <c r="BQ218" s="14">
        <f t="shared" si="52"/>
        <v>3.71</v>
      </c>
      <c r="BR218" s="22" t="str">
        <f>IF(OR(AND(X218="Mourões", BQ218&gt;=6.5),AND(X218="Postes", BQ218&gt;=9.6),AND(X218="Dormentes", BQ218&gt;=9.6),AND(X218="Estacas", BQ218&gt;=6.5),AND(X218="Cruzetas", BQ218&gt;=6.5),AND(X218="Outros - Solo", BQ218&gt;=6.5),AND(X218="Outros - Suspenso",BQ218&gt;=4),AND(X218="Deck",BQ218&gt;=4)),'Listas suspensas'!$C$21,'Listas suspensas'!$C$22)</f>
        <v>Os resultados da análise química apresentaram uma retenção do produto inferior ao padrão mínimo exigido pela norma ABNT NBR 16143</v>
      </c>
    </row>
    <row r="219" spans="2:70" x14ac:dyDescent="0.25">
      <c r="B219" s="8" t="s">
        <v>593</v>
      </c>
      <c r="C219" s="8" t="s">
        <v>71</v>
      </c>
      <c r="F219" s="11">
        <v>45881</v>
      </c>
      <c r="G219" s="11">
        <v>45884</v>
      </c>
      <c r="H219" s="11">
        <v>45896</v>
      </c>
      <c r="I219" s="8" t="s">
        <v>584</v>
      </c>
      <c r="J219" s="8" t="s">
        <v>143</v>
      </c>
      <c r="K219" s="8" t="s">
        <v>144</v>
      </c>
      <c r="L219" s="8" t="s">
        <v>15</v>
      </c>
      <c r="M219" s="30" t="s">
        <v>585</v>
      </c>
      <c r="N219" s="8" t="s">
        <v>75</v>
      </c>
      <c r="O219" s="8" t="s">
        <v>94</v>
      </c>
      <c r="P219" s="28" t="s">
        <v>77</v>
      </c>
      <c r="Q219" s="16" t="s">
        <v>594</v>
      </c>
      <c r="X219" s="8" t="s">
        <v>79</v>
      </c>
      <c r="Y219" s="34">
        <f>IF(X219='Listas suspensas'!$A$21,'Listas suspensas'!$B$23,IF(X219='Listas suspensas'!$A$22,'Listas suspensas'!$B$23,IF(X219='Listas suspensas'!$A$23,'Listas suspensas'!$B$22,IF(X219='Listas suspensas'!$A$26,'Listas suspensas'!$B$22,IF(X219='Listas suspensas'!$A$32,'Listas suspensas'!$B$22,IF(X219='Listas suspensas'!$A$33,'Listas suspensas'!$B$21,IF(X219='Listas suspensas'!$A$24,'Listas suspensas'!$B$22,IF(X219='Listas suspensas'!$A$30,'Listas suspensas'!$B$21,""))))))))</f>
        <v>6.5</v>
      </c>
      <c r="Z219" s="8" t="s">
        <v>80</v>
      </c>
      <c r="AA219" s="8">
        <v>2</v>
      </c>
      <c r="AB219" s="8" t="str">
        <f>IF(AA219='Listas suspensas'!$A$2,'Listas suspensas'!$B$2,IF(AA219='Listas suspensas'!$A$3,'Listas suspensas'!$B$3,IF(AA219='Listas suspensas'!$A$4,'Listas suspensas'!$B$4,IF(AA219='Listas suspensas'!$A$5,'Listas suspensas'!$B$5,IF(AA219='Listas suspensas'!$A$6,'Listas suspensas'!$B$6,"")))))</f>
        <v>Profunda e irregular</v>
      </c>
      <c r="AC219" s="8" t="str">
        <f>IF(AA219='Listas suspensas'!$A$2,'Listas suspensas'!$C$2,IF(AA219='Listas suspensas'!$A$3,'Listas suspensas'!$C$3,IF(AA219='Listas suspensas'!$A$4,'Listas suspensas'!$C$4,IF(AA219='Listas suspensas'!$A$5,'Listas suspensas'!$C$5,IF(AA219='Listas suspensas'!$A$6,'Listas suspensas'!$C$6,"")))))</f>
        <v>Indica a penetração profunda, mas desuniforme em toda a extensão do alburno.</v>
      </c>
      <c r="BD219" s="13">
        <v>0.57099999999999995</v>
      </c>
      <c r="BE219" s="18">
        <f t="shared" si="53"/>
        <v>571</v>
      </c>
      <c r="BF219" s="8">
        <v>0.45200000000000001</v>
      </c>
      <c r="BG219" s="8">
        <v>0.17199999999999999</v>
      </c>
      <c r="BH219" s="8">
        <v>0.31</v>
      </c>
      <c r="BI219" s="13">
        <f t="shared" si="54"/>
        <v>0.93399999999999994</v>
      </c>
      <c r="BJ219" s="14">
        <v>48.4</v>
      </c>
      <c r="BK219" s="14">
        <v>18.399999999999999</v>
      </c>
      <c r="BL219" s="14">
        <v>33.200000000000003</v>
      </c>
      <c r="BM219" s="16">
        <f t="shared" si="48"/>
        <v>100</v>
      </c>
      <c r="BN219" s="21">
        <f t="shared" si="49"/>
        <v>2.58</v>
      </c>
      <c r="BO219" s="21">
        <f t="shared" si="50"/>
        <v>0.98</v>
      </c>
      <c r="BP219" s="21">
        <f t="shared" si="51"/>
        <v>1.77</v>
      </c>
      <c r="BQ219" s="14">
        <f t="shared" si="52"/>
        <v>5.33</v>
      </c>
      <c r="BR219" s="22" t="str">
        <f>IF(OR(AND(X219="Mourões", BQ219&gt;=6.5),AND(X219="Postes", BQ219&gt;=9.6),AND(X219="Dormentes", BQ219&gt;=9.6),AND(X219="Estacas", BQ219&gt;=6.5),AND(X219="Cruzetas", BQ219&gt;=6.5),AND(X219="Outros - Solo", BQ219&gt;=6.5),AND(X219="Outros - Suspenso",BQ219&gt;=4),AND(X219="Deck",BQ219&gt;=4)),'Listas suspensas'!$C$21,'Listas suspensas'!$C$22)</f>
        <v>Os resultados da análise química apresentaram uma retenção do produto inferior ao padrão mínimo exigido pela norma ABNT NBR 16143</v>
      </c>
    </row>
    <row r="220" spans="2:70" x14ac:dyDescent="0.25">
      <c r="B220" s="8" t="s">
        <v>595</v>
      </c>
      <c r="C220" s="8" t="s">
        <v>71</v>
      </c>
      <c r="F220" s="11">
        <v>45881</v>
      </c>
      <c r="G220" s="11">
        <v>45884</v>
      </c>
      <c r="H220" s="11">
        <v>45896</v>
      </c>
      <c r="I220" s="8" t="s">
        <v>596</v>
      </c>
      <c r="J220" s="8" t="s">
        <v>597</v>
      </c>
      <c r="K220" s="8" t="s">
        <v>189</v>
      </c>
      <c r="L220" s="8" t="s">
        <v>15</v>
      </c>
      <c r="M220" s="30" t="s">
        <v>598</v>
      </c>
      <c r="N220" s="8" t="s">
        <v>75</v>
      </c>
      <c r="O220" s="8" t="s">
        <v>94</v>
      </c>
      <c r="P220" s="28" t="s">
        <v>174</v>
      </c>
      <c r="Q220" s="16" t="s">
        <v>599</v>
      </c>
      <c r="X220" s="8" t="s">
        <v>180</v>
      </c>
      <c r="Y220" s="34">
        <f>IF(X220='Listas suspensas'!$A$21,'Listas suspensas'!$B$23,IF(X220='Listas suspensas'!$A$22,'Listas suspensas'!$B$23,IF(X220='Listas suspensas'!$A$23,'Listas suspensas'!$B$22,IF(X220='Listas suspensas'!$A$26,'Listas suspensas'!$B$22,IF(X220='Listas suspensas'!$A$32,'Listas suspensas'!$B$22,IF(X220='Listas suspensas'!$A$33,'Listas suspensas'!$B$21,IF(X220='Listas suspensas'!$A$24,'Listas suspensas'!$B$22,IF(X220='Listas suspensas'!$A$30,'Listas suspensas'!$B$21,""))))))))</f>
        <v>6.5</v>
      </c>
      <c r="Z220" s="8" t="s">
        <v>80</v>
      </c>
      <c r="AA220" s="8">
        <v>4</v>
      </c>
      <c r="AB220" s="8" t="str">
        <f>IF(AA220='Listas suspensas'!$A$2,'Listas suspensas'!$B$2,IF(AA220='Listas suspensas'!$A$3,'Listas suspensas'!$B$3,IF(AA220='Listas suspensas'!$A$4,'Listas suspensas'!$B$4,IF(AA220='Listas suspensas'!$A$5,'Listas suspensas'!$B$5,IF(AA220='Listas suspensas'!$A$6,'Listas suspensas'!$B$6,"")))))</f>
        <v>Parcial e irregular</v>
      </c>
      <c r="AC220" s="8" t="str">
        <f>IF(AA220='Listas suspensas'!$A$2,'Listas suspensas'!$C$2,IF(AA220='Listas suspensas'!$A$3,'Listas suspensas'!$C$3,IF(AA220='Listas suspensas'!$A$4,'Listas suspensas'!$C$4,IF(AA220='Listas suspensas'!$A$5,'Listas suspensas'!$C$5,IF(AA220='Listas suspensas'!$A$6,'Listas suspensas'!$C$6,"")))))</f>
        <v>Indica a penetração desuniforme e não total pela extensão do alburno.</v>
      </c>
      <c r="BD220" s="13">
        <v>0.83299999999999996</v>
      </c>
      <c r="BE220" s="18">
        <f t="shared" si="53"/>
        <v>833</v>
      </c>
      <c r="BF220" s="8">
        <v>0.24</v>
      </c>
      <c r="BG220" s="8">
        <v>0.11799999999999999</v>
      </c>
      <c r="BH220" s="8">
        <v>0.23100000000000001</v>
      </c>
      <c r="BI220" s="13">
        <f t="shared" si="54"/>
        <v>0.58899999999999997</v>
      </c>
      <c r="BJ220" s="14">
        <v>40.700000000000003</v>
      </c>
      <c r="BK220" s="14">
        <v>20</v>
      </c>
      <c r="BL220" s="14">
        <v>39.299999999999997</v>
      </c>
      <c r="BM220" s="16">
        <f t="shared" si="48"/>
        <v>100</v>
      </c>
      <c r="BN220" s="21">
        <f t="shared" si="49"/>
        <v>2</v>
      </c>
      <c r="BO220" s="21">
        <f t="shared" si="50"/>
        <v>0.98</v>
      </c>
      <c r="BP220" s="21">
        <f t="shared" si="51"/>
        <v>1.92</v>
      </c>
      <c r="BQ220" s="14">
        <f t="shared" si="52"/>
        <v>4.9000000000000004</v>
      </c>
      <c r="BR220" s="22" t="str">
        <f>IF(OR(AND(X220="Mourões", BQ220&gt;=6.5),AND(X220="Postes", BQ220&gt;=9.6),AND(X220="Dormentes", BQ220&gt;=9.6),AND(X220="Estacas", BQ220&gt;=6.5),AND(X220="Cruzetas", BQ220&gt;=6.5),AND(X220="Outros - Solo", BQ220&gt;=6.5),AND(X220="Outros - Suspenso",BQ220&gt;=4),AND(X220="Deck",BQ220&gt;=4)),'Listas suspensas'!$C$21,'Listas suspensas'!$C$22)</f>
        <v>Os resultados da análise química apresentaram uma retenção do produto inferior ao padrão mínimo exigido pela norma ABNT NBR 16143</v>
      </c>
    </row>
    <row r="221" spans="2:70" x14ac:dyDescent="0.25">
      <c r="B221" s="8" t="s">
        <v>600</v>
      </c>
      <c r="C221" s="8" t="s">
        <v>71</v>
      </c>
      <c r="F221" s="11">
        <v>45881</v>
      </c>
      <c r="G221" s="11">
        <v>45884</v>
      </c>
      <c r="H221" s="11">
        <v>45896</v>
      </c>
      <c r="I221" s="8" t="s">
        <v>596</v>
      </c>
      <c r="J221" s="8" t="s">
        <v>597</v>
      </c>
      <c r="K221" s="8" t="s">
        <v>189</v>
      </c>
      <c r="L221" s="8" t="s">
        <v>15</v>
      </c>
      <c r="M221" s="30" t="s">
        <v>598</v>
      </c>
      <c r="N221" s="8" t="s">
        <v>75</v>
      </c>
      <c r="O221" s="8" t="s">
        <v>94</v>
      </c>
      <c r="P221" s="28" t="s">
        <v>174</v>
      </c>
      <c r="Q221" s="16" t="s">
        <v>601</v>
      </c>
      <c r="X221" s="8" t="s">
        <v>180</v>
      </c>
      <c r="Y221" s="34">
        <f>IF(X221='Listas suspensas'!$A$21,'Listas suspensas'!$B$23,IF(X221='Listas suspensas'!$A$22,'Listas suspensas'!$B$23,IF(X221='Listas suspensas'!$A$23,'Listas suspensas'!$B$22,IF(X221='Listas suspensas'!$A$26,'Listas suspensas'!$B$22,IF(X221='Listas suspensas'!$A$32,'Listas suspensas'!$B$22,IF(X221='Listas suspensas'!$A$33,'Listas suspensas'!$B$21,IF(X221='Listas suspensas'!$A$24,'Listas suspensas'!$B$22,IF(X221='Listas suspensas'!$A$30,'Listas suspensas'!$B$21,""))))))))</f>
        <v>6.5</v>
      </c>
      <c r="Z221" s="8" t="s">
        <v>80</v>
      </c>
      <c r="AA221" s="8">
        <v>2</v>
      </c>
      <c r="AB221" s="8" t="str">
        <f>IF(AA221='Listas suspensas'!$A$2,'Listas suspensas'!$B$2,IF(AA221='Listas suspensas'!$A$3,'Listas suspensas'!$B$3,IF(AA221='Listas suspensas'!$A$4,'Listas suspensas'!$B$4,IF(AA221='Listas suspensas'!$A$5,'Listas suspensas'!$B$5,IF(AA221='Listas suspensas'!$A$6,'Listas suspensas'!$B$6,"")))))</f>
        <v>Profunda e irregular</v>
      </c>
      <c r="AC221" s="8" t="str">
        <f>IF(AA221='Listas suspensas'!$A$2,'Listas suspensas'!$C$2,IF(AA221='Listas suspensas'!$A$3,'Listas suspensas'!$C$3,IF(AA221='Listas suspensas'!$A$4,'Listas suspensas'!$C$4,IF(AA221='Listas suspensas'!$A$5,'Listas suspensas'!$C$5,IF(AA221='Listas suspensas'!$A$6,'Listas suspensas'!$C$6,"")))))</f>
        <v>Indica a penetração profunda, mas desuniforme em toda a extensão do alburno.</v>
      </c>
      <c r="BD221" s="13">
        <v>0.86699999999999999</v>
      </c>
      <c r="BE221" s="18">
        <f t="shared" si="53"/>
        <v>867</v>
      </c>
      <c r="BF221" s="8">
        <v>0.247</v>
      </c>
      <c r="BG221" s="8">
        <v>0.11899999999999999</v>
      </c>
      <c r="BH221" s="8">
        <v>0.22600000000000001</v>
      </c>
      <c r="BI221" s="13">
        <f t="shared" si="54"/>
        <v>0.59199999999999997</v>
      </c>
      <c r="BJ221" s="14">
        <v>41.7</v>
      </c>
      <c r="BK221" s="14">
        <v>20.100000000000001</v>
      </c>
      <c r="BL221" s="14">
        <v>38.200000000000003</v>
      </c>
      <c r="BM221" s="16">
        <f t="shared" si="48"/>
        <v>100</v>
      </c>
      <c r="BN221" s="21">
        <f t="shared" si="49"/>
        <v>2.14</v>
      </c>
      <c r="BO221" s="21">
        <f t="shared" si="50"/>
        <v>1.03</v>
      </c>
      <c r="BP221" s="21">
        <f t="shared" si="51"/>
        <v>1.96</v>
      </c>
      <c r="BQ221" s="14">
        <f t="shared" si="52"/>
        <v>5.13</v>
      </c>
      <c r="BR221" s="22" t="str">
        <f>IF(OR(AND(X221="Mourões", BQ221&gt;=6.5),AND(X221="Postes", BQ221&gt;=9.6),AND(X221="Dormentes", BQ221&gt;=9.6),AND(X221="Estacas", BQ221&gt;=6.5),AND(X221="Cruzetas", BQ221&gt;=6.5),AND(X221="Outros - Solo", BQ221&gt;=6.5),AND(X221="Outros - Suspenso",BQ221&gt;=4),AND(X221="Deck",BQ221&gt;=4)),'Listas suspensas'!$C$21,'Listas suspensas'!$C$22)</f>
        <v>Os resultados da análise química apresentaram uma retenção do produto inferior ao padrão mínimo exigido pela norma ABNT NBR 16143</v>
      </c>
    </row>
    <row r="222" spans="2:70" x14ac:dyDescent="0.25">
      <c r="B222" s="8" t="s">
        <v>602</v>
      </c>
      <c r="C222" s="8" t="s">
        <v>71</v>
      </c>
      <c r="F222" s="11">
        <v>45881</v>
      </c>
      <c r="G222" s="11">
        <v>45884</v>
      </c>
      <c r="H222" s="11">
        <v>45896</v>
      </c>
      <c r="I222" s="8" t="s">
        <v>596</v>
      </c>
      <c r="J222" s="8" t="s">
        <v>597</v>
      </c>
      <c r="K222" s="8" t="s">
        <v>189</v>
      </c>
      <c r="L222" s="8" t="s">
        <v>15</v>
      </c>
      <c r="M222" s="30" t="s">
        <v>598</v>
      </c>
      <c r="N222" s="8" t="s">
        <v>75</v>
      </c>
      <c r="O222" s="8" t="s">
        <v>94</v>
      </c>
      <c r="P222" s="28" t="s">
        <v>174</v>
      </c>
      <c r="Q222" s="16" t="s">
        <v>603</v>
      </c>
      <c r="X222" s="8" t="s">
        <v>180</v>
      </c>
      <c r="Y222" s="34">
        <f>IF(X222='Listas suspensas'!$A$21,'Listas suspensas'!$B$23,IF(X222='Listas suspensas'!$A$22,'Listas suspensas'!$B$23,IF(X222='Listas suspensas'!$A$23,'Listas suspensas'!$B$22,IF(X222='Listas suspensas'!$A$26,'Listas suspensas'!$B$22,IF(X222='Listas suspensas'!$A$32,'Listas suspensas'!$B$22,IF(X222='Listas suspensas'!$A$33,'Listas suspensas'!$B$21,IF(X222='Listas suspensas'!$A$24,'Listas suspensas'!$B$22,IF(X222='Listas suspensas'!$A$30,'Listas suspensas'!$B$21,""))))))))</f>
        <v>6.5</v>
      </c>
      <c r="Z222" s="8" t="s">
        <v>80</v>
      </c>
      <c r="AA222" s="8">
        <v>2</v>
      </c>
      <c r="AB222" s="8" t="str">
        <f>IF(AA222='Listas suspensas'!$A$2,'Listas suspensas'!$B$2,IF(AA222='Listas suspensas'!$A$3,'Listas suspensas'!$B$3,IF(AA222='Listas suspensas'!$A$4,'Listas suspensas'!$B$4,IF(AA222='Listas suspensas'!$A$5,'Listas suspensas'!$B$5,IF(AA222='Listas suspensas'!$A$6,'Listas suspensas'!$B$6,"")))))</f>
        <v>Profunda e irregular</v>
      </c>
      <c r="AC222" s="8" t="str">
        <f>IF(AA222='Listas suspensas'!$A$2,'Listas suspensas'!$C$2,IF(AA222='Listas suspensas'!$A$3,'Listas suspensas'!$C$3,IF(AA222='Listas suspensas'!$A$4,'Listas suspensas'!$C$4,IF(AA222='Listas suspensas'!$A$5,'Listas suspensas'!$C$5,IF(AA222='Listas suspensas'!$A$6,'Listas suspensas'!$C$6,"")))))</f>
        <v>Indica a penetração profunda, mas desuniforme em toda a extensão do alburno.</v>
      </c>
      <c r="BD222" s="13">
        <v>0.91600000000000004</v>
      </c>
      <c r="BE222" s="18">
        <f t="shared" si="53"/>
        <v>916</v>
      </c>
      <c r="BF222" s="8">
        <v>0.308</v>
      </c>
      <c r="BG222" s="8">
        <v>0.13500000000000001</v>
      </c>
      <c r="BH222" s="8">
        <v>0.215</v>
      </c>
      <c r="BI222" s="13">
        <f t="shared" si="54"/>
        <v>0.65800000000000003</v>
      </c>
      <c r="BJ222" s="14">
        <v>46.8</v>
      </c>
      <c r="BK222" s="14">
        <v>20.5</v>
      </c>
      <c r="BL222" s="14">
        <v>32.700000000000003</v>
      </c>
      <c r="BM222" s="16">
        <f t="shared" si="48"/>
        <v>100</v>
      </c>
      <c r="BN222" s="21">
        <f t="shared" si="49"/>
        <v>2.82</v>
      </c>
      <c r="BO222" s="21">
        <f t="shared" si="50"/>
        <v>1.24</v>
      </c>
      <c r="BP222" s="21">
        <f t="shared" si="51"/>
        <v>1.97</v>
      </c>
      <c r="BQ222" s="14">
        <f t="shared" si="52"/>
        <v>6.03</v>
      </c>
      <c r="BR222" s="22" t="str">
        <f>IF(OR(AND(X222="Mourões", BQ222&gt;=6.5),AND(X222="Postes", BQ222&gt;=9.6),AND(X222="Dormentes", BQ222&gt;=9.6),AND(X222="Estacas", BQ222&gt;=6.5),AND(X222="Cruzetas", BQ222&gt;=6.5),AND(X222="Outros - Solo", BQ222&gt;=6.5),AND(X222="Outros - Suspenso",BQ222&gt;=4),AND(X222="Deck",BQ222&gt;=4)),'Listas suspensas'!$C$21,'Listas suspensas'!$C$22)</f>
        <v>Os resultados da análise química apresentaram uma retenção do produto inferior ao padrão mínimo exigido pela norma ABNT NBR 16143</v>
      </c>
    </row>
    <row r="223" spans="2:70" x14ac:dyDescent="0.25">
      <c r="B223" s="8" t="s">
        <v>604</v>
      </c>
      <c r="C223" s="8" t="s">
        <v>71</v>
      </c>
      <c r="F223" s="11">
        <v>45881</v>
      </c>
      <c r="G223" s="11">
        <v>45884</v>
      </c>
      <c r="H223" s="11">
        <v>45896</v>
      </c>
      <c r="I223" s="8" t="s">
        <v>596</v>
      </c>
      <c r="J223" s="8" t="s">
        <v>597</v>
      </c>
      <c r="K223" s="8" t="s">
        <v>189</v>
      </c>
      <c r="L223" s="8" t="s">
        <v>15</v>
      </c>
      <c r="M223" s="30" t="s">
        <v>598</v>
      </c>
      <c r="N223" s="8" t="s">
        <v>75</v>
      </c>
      <c r="O223" s="8" t="s">
        <v>94</v>
      </c>
      <c r="P223" s="28" t="s">
        <v>174</v>
      </c>
      <c r="Q223" s="16" t="s">
        <v>605</v>
      </c>
      <c r="X223" s="8" t="s">
        <v>79</v>
      </c>
      <c r="Y223" s="34">
        <f>IF(X223='Listas suspensas'!$A$21,'Listas suspensas'!$B$23,IF(X223='Listas suspensas'!$A$22,'Listas suspensas'!$B$23,IF(X223='Listas suspensas'!$A$23,'Listas suspensas'!$B$22,IF(X223='Listas suspensas'!$A$26,'Listas suspensas'!$B$22,IF(X223='Listas suspensas'!$A$32,'Listas suspensas'!$B$22,IF(X223='Listas suspensas'!$A$33,'Listas suspensas'!$B$21,IF(X223='Listas suspensas'!$A$24,'Listas suspensas'!$B$22,IF(X223='Listas suspensas'!$A$30,'Listas suspensas'!$B$21,""))))))))</f>
        <v>6.5</v>
      </c>
      <c r="Z223" s="8" t="s">
        <v>80</v>
      </c>
      <c r="AA223" s="8">
        <v>3</v>
      </c>
      <c r="AB223" s="8" t="str">
        <f>IF(AA223='Listas suspensas'!$A$2,'Listas suspensas'!$B$2,IF(AA223='Listas suspensas'!$A$3,'Listas suspensas'!$B$3,IF(AA223='Listas suspensas'!$A$4,'Listas suspensas'!$B$4,IF(AA223='Listas suspensas'!$A$5,'Listas suspensas'!$B$5,IF(AA223='Listas suspensas'!$A$6,'Listas suspensas'!$B$6,"")))))</f>
        <v xml:space="preserve"> Parcial e regular</v>
      </c>
      <c r="AC223" s="8" t="str">
        <f>IF(AA223='Listas suspensas'!$A$2,'Listas suspensas'!$C$2,IF(AA223='Listas suspensas'!$A$3,'Listas suspensas'!$C$3,IF(AA223='Listas suspensas'!$A$4,'Listas suspensas'!$C$4,IF(AA223='Listas suspensas'!$A$5,'Listas suspensas'!$C$5,IF(AA223='Listas suspensas'!$A$6,'Listas suspensas'!$C$6,"")))))</f>
        <v>Indica a penetração uniforme, mas não total pela extensão do alburno.</v>
      </c>
      <c r="BD223" s="13">
        <v>0.88800000000000001</v>
      </c>
      <c r="BE223" s="18">
        <f t="shared" si="53"/>
        <v>888</v>
      </c>
      <c r="BF223" s="8">
        <v>0.249</v>
      </c>
      <c r="BG223" s="8">
        <v>0.121</v>
      </c>
      <c r="BH223" s="8">
        <v>0.214</v>
      </c>
      <c r="BI223" s="13">
        <f t="shared" si="54"/>
        <v>0.58399999999999996</v>
      </c>
      <c r="BJ223" s="14">
        <v>42.7</v>
      </c>
      <c r="BK223" s="14">
        <v>20.6</v>
      </c>
      <c r="BL223" s="14">
        <v>36.700000000000003</v>
      </c>
      <c r="BM223" s="16">
        <f t="shared" si="48"/>
        <v>100</v>
      </c>
      <c r="BN223" s="21">
        <f t="shared" si="49"/>
        <v>2.21</v>
      </c>
      <c r="BO223" s="21">
        <f t="shared" si="50"/>
        <v>1.07</v>
      </c>
      <c r="BP223" s="21">
        <f t="shared" si="51"/>
        <v>1.9</v>
      </c>
      <c r="BQ223" s="14">
        <f t="shared" si="52"/>
        <v>5.18</v>
      </c>
      <c r="BR223" s="22" t="str">
        <f>IF(OR(AND(X223="Mourões", BQ223&gt;=6.5),AND(X223="Postes", BQ223&gt;=9.6),AND(X223="Dormentes", BQ223&gt;=9.6),AND(X223="Estacas", BQ223&gt;=6.5),AND(X223="Cruzetas", BQ223&gt;=6.5),AND(X223="Outros - Solo", BQ223&gt;=6.5),AND(X223="Outros - Suspenso",BQ223&gt;=4),AND(X223="Deck",BQ223&gt;=4)),'Listas suspensas'!$C$21,'Listas suspensas'!$C$22)</f>
        <v>Os resultados da análise química apresentaram uma retenção do produto inferior ao padrão mínimo exigido pela norma ABNT NBR 16143</v>
      </c>
    </row>
    <row r="224" spans="2:70" x14ac:dyDescent="0.25">
      <c r="B224" s="8" t="s">
        <v>606</v>
      </c>
      <c r="C224" s="8" t="s">
        <v>71</v>
      </c>
      <c r="F224" s="11">
        <v>45881</v>
      </c>
      <c r="G224" s="11">
        <v>45884</v>
      </c>
      <c r="H224" s="11">
        <v>45896</v>
      </c>
      <c r="I224" s="8" t="s">
        <v>596</v>
      </c>
      <c r="J224" s="8" t="s">
        <v>597</v>
      </c>
      <c r="K224" s="8" t="s">
        <v>189</v>
      </c>
      <c r="L224" s="8" t="s">
        <v>15</v>
      </c>
      <c r="M224" s="30" t="s">
        <v>598</v>
      </c>
      <c r="N224" s="8" t="s">
        <v>75</v>
      </c>
      <c r="O224" s="8" t="s">
        <v>94</v>
      </c>
      <c r="P224" s="28" t="s">
        <v>174</v>
      </c>
      <c r="Q224" s="16" t="s">
        <v>607</v>
      </c>
      <c r="X224" s="8" t="s">
        <v>79</v>
      </c>
      <c r="Y224" s="34">
        <f>IF(X224='Listas suspensas'!$A$21,'Listas suspensas'!$B$23,IF(X224='Listas suspensas'!$A$22,'Listas suspensas'!$B$23,IF(X224='Listas suspensas'!$A$23,'Listas suspensas'!$B$22,IF(X224='Listas suspensas'!$A$26,'Listas suspensas'!$B$22,IF(X224='Listas suspensas'!$A$32,'Listas suspensas'!$B$22,IF(X224='Listas suspensas'!$A$33,'Listas suspensas'!$B$21,IF(X224='Listas suspensas'!$A$24,'Listas suspensas'!$B$22,IF(X224='Listas suspensas'!$A$30,'Listas suspensas'!$B$21,""))))))))</f>
        <v>6.5</v>
      </c>
      <c r="Z224" s="8" t="s">
        <v>80</v>
      </c>
      <c r="AA224" s="8">
        <v>3</v>
      </c>
      <c r="AB224" s="8" t="str">
        <f>IF(AA224='Listas suspensas'!$A$2,'Listas suspensas'!$B$2,IF(AA224='Listas suspensas'!$A$3,'Listas suspensas'!$B$3,IF(AA224='Listas suspensas'!$A$4,'Listas suspensas'!$B$4,IF(AA224='Listas suspensas'!$A$5,'Listas suspensas'!$B$5,IF(AA224='Listas suspensas'!$A$6,'Listas suspensas'!$B$6,"")))))</f>
        <v xml:space="preserve"> Parcial e regular</v>
      </c>
      <c r="AC224" s="8" t="str">
        <f>IF(AA224='Listas suspensas'!$A$2,'Listas suspensas'!$C$2,IF(AA224='Listas suspensas'!$A$3,'Listas suspensas'!$C$3,IF(AA224='Listas suspensas'!$A$4,'Listas suspensas'!$C$4,IF(AA224='Listas suspensas'!$A$5,'Listas suspensas'!$C$5,IF(AA224='Listas suspensas'!$A$6,'Listas suspensas'!$C$6,"")))))</f>
        <v>Indica a penetração uniforme, mas não total pela extensão do alburno.</v>
      </c>
      <c r="BD224" s="13">
        <v>0.94</v>
      </c>
      <c r="BE224" s="18">
        <f t="shared" si="53"/>
        <v>940</v>
      </c>
      <c r="BF224" s="8">
        <v>0.26800000000000002</v>
      </c>
      <c r="BG224" s="8">
        <v>0.108</v>
      </c>
      <c r="BH224" s="8">
        <v>0.189</v>
      </c>
      <c r="BI224" s="13">
        <f t="shared" si="54"/>
        <v>0.56499999999999995</v>
      </c>
      <c r="BJ224" s="14">
        <v>47.4</v>
      </c>
      <c r="BK224" s="14">
        <v>19.2</v>
      </c>
      <c r="BL224" s="14">
        <v>33.4</v>
      </c>
      <c r="BM224" s="16">
        <f t="shared" si="48"/>
        <v>100</v>
      </c>
      <c r="BN224" s="21">
        <f t="shared" si="49"/>
        <v>2.52</v>
      </c>
      <c r="BO224" s="21">
        <f t="shared" si="50"/>
        <v>1.02</v>
      </c>
      <c r="BP224" s="21">
        <f t="shared" si="51"/>
        <v>1.78</v>
      </c>
      <c r="BQ224" s="14">
        <f t="shared" si="52"/>
        <v>5.32</v>
      </c>
      <c r="BR224" s="22" t="str">
        <f>IF(OR(AND(X224="Mourões", BQ224&gt;=6.5),AND(X224="Postes", BQ224&gt;=9.6),AND(X224="Dormentes", BQ224&gt;=9.6),AND(X224="Estacas", BQ224&gt;=6.5),AND(X224="Cruzetas", BQ224&gt;=6.5),AND(X224="Outros - Solo", BQ224&gt;=6.5),AND(X224="Outros - Suspenso",BQ224&gt;=4),AND(X224="Deck",BQ224&gt;=4)),'Listas suspensas'!$C$21,'Listas suspensas'!$C$22)</f>
        <v>Os resultados da análise química apresentaram uma retenção do produto inferior ao padrão mínimo exigido pela norma ABNT NBR 16143</v>
      </c>
    </row>
    <row r="225" spans="2:70" x14ac:dyDescent="0.25">
      <c r="B225" s="8" t="s">
        <v>608</v>
      </c>
      <c r="C225" s="8" t="s">
        <v>71</v>
      </c>
      <c r="F225" s="11">
        <v>45881</v>
      </c>
      <c r="G225" s="11">
        <v>45884</v>
      </c>
      <c r="H225" s="11">
        <v>45896</v>
      </c>
      <c r="I225" s="8" t="s">
        <v>596</v>
      </c>
      <c r="J225" s="8" t="s">
        <v>597</v>
      </c>
      <c r="K225" s="8" t="s">
        <v>189</v>
      </c>
      <c r="L225" s="8" t="s">
        <v>15</v>
      </c>
      <c r="M225" s="30" t="s">
        <v>598</v>
      </c>
      <c r="N225" s="8" t="s">
        <v>75</v>
      </c>
      <c r="O225" s="8" t="s">
        <v>94</v>
      </c>
      <c r="P225" s="28" t="s">
        <v>174</v>
      </c>
      <c r="Q225" s="16" t="s">
        <v>609</v>
      </c>
      <c r="X225" s="8" t="s">
        <v>79</v>
      </c>
      <c r="Y225" s="34">
        <f>IF(X225='Listas suspensas'!$A$21,'Listas suspensas'!$B$23,IF(X225='Listas suspensas'!$A$22,'Listas suspensas'!$B$23,IF(X225='Listas suspensas'!$A$23,'Listas suspensas'!$B$22,IF(X225='Listas suspensas'!$A$26,'Listas suspensas'!$B$22,IF(X225='Listas suspensas'!$A$32,'Listas suspensas'!$B$22,IF(X225='Listas suspensas'!$A$33,'Listas suspensas'!$B$21,IF(X225='Listas suspensas'!$A$24,'Listas suspensas'!$B$22,IF(X225='Listas suspensas'!$A$30,'Listas suspensas'!$B$21,""))))))))</f>
        <v>6.5</v>
      </c>
      <c r="Z225" s="8" t="s">
        <v>80</v>
      </c>
      <c r="AA225" s="8">
        <v>4</v>
      </c>
      <c r="AB225" s="8" t="str">
        <f>IF(AA225='Listas suspensas'!$A$2,'Listas suspensas'!$B$2,IF(AA225='Listas suspensas'!$A$3,'Listas suspensas'!$B$3,IF(AA225='Listas suspensas'!$A$4,'Listas suspensas'!$B$4,IF(AA225='Listas suspensas'!$A$5,'Listas suspensas'!$B$5,IF(AA225='Listas suspensas'!$A$6,'Listas suspensas'!$B$6,"")))))</f>
        <v>Parcial e irregular</v>
      </c>
      <c r="AC225" s="8" t="str">
        <f>IF(AA225='Listas suspensas'!$A$2,'Listas suspensas'!$C$2,IF(AA225='Listas suspensas'!$A$3,'Listas suspensas'!$C$3,IF(AA225='Listas suspensas'!$A$4,'Listas suspensas'!$C$4,IF(AA225='Listas suspensas'!$A$5,'Listas suspensas'!$C$5,IF(AA225='Listas suspensas'!$A$6,'Listas suspensas'!$C$6,"")))))</f>
        <v>Indica a penetração desuniforme e não total pela extensão do alburno.</v>
      </c>
      <c r="BD225" s="13">
        <v>0.85899999999999999</v>
      </c>
      <c r="BE225" s="18">
        <f t="shared" si="53"/>
        <v>859</v>
      </c>
      <c r="BF225" s="8">
        <v>0.21299999999999999</v>
      </c>
      <c r="BG225" s="8">
        <v>9.7000000000000003E-2</v>
      </c>
      <c r="BH225" s="8">
        <v>0.189</v>
      </c>
      <c r="BI225" s="13">
        <f t="shared" si="54"/>
        <v>0.499</v>
      </c>
      <c r="BJ225" s="14">
        <v>42.8</v>
      </c>
      <c r="BK225" s="14">
        <v>19.399999999999999</v>
      </c>
      <c r="BL225" s="14">
        <v>37.799999999999997</v>
      </c>
      <c r="BM225" s="16">
        <f t="shared" si="48"/>
        <v>100</v>
      </c>
      <c r="BN225" s="21">
        <f t="shared" si="49"/>
        <v>1.83</v>
      </c>
      <c r="BO225" s="21">
        <f t="shared" si="50"/>
        <v>0.83</v>
      </c>
      <c r="BP225" s="21">
        <f t="shared" si="51"/>
        <v>1.62</v>
      </c>
      <c r="BQ225" s="14">
        <f t="shared" si="52"/>
        <v>4.28</v>
      </c>
      <c r="BR225" s="22" t="str">
        <f>IF(OR(AND(X225="Mourões", BQ225&gt;=6.5),AND(X225="Postes", BQ225&gt;=9.6),AND(X225="Dormentes", BQ225&gt;=9.6),AND(X225="Estacas", BQ225&gt;=6.5),AND(X225="Cruzetas", BQ225&gt;=6.5),AND(X225="Outros - Solo", BQ225&gt;=6.5),AND(X225="Outros - Suspenso",BQ225&gt;=4),AND(X225="Deck",BQ225&gt;=4)),'Listas suspensas'!$C$21,'Listas suspensas'!$C$22)</f>
        <v>Os resultados da análise química apresentaram uma retenção do produto inferior ao padrão mínimo exigido pela norma ABNT NBR 16143</v>
      </c>
    </row>
    <row r="226" spans="2:70" x14ac:dyDescent="0.25">
      <c r="B226" s="8" t="s">
        <v>610</v>
      </c>
      <c r="C226" s="8" t="s">
        <v>71</v>
      </c>
      <c r="F226" s="11">
        <v>45881</v>
      </c>
      <c r="G226" s="11">
        <v>45884</v>
      </c>
      <c r="H226" s="11">
        <v>45896</v>
      </c>
      <c r="I226" s="8" t="s">
        <v>611</v>
      </c>
      <c r="J226" s="8" t="s">
        <v>612</v>
      </c>
      <c r="K226" s="8" t="s">
        <v>613</v>
      </c>
      <c r="L226" s="8" t="s">
        <v>15</v>
      </c>
      <c r="N226" s="8" t="s">
        <v>75</v>
      </c>
      <c r="O226" s="8" t="s">
        <v>76</v>
      </c>
      <c r="P226" s="28" t="s">
        <v>146</v>
      </c>
      <c r="Q226" s="16" t="s">
        <v>146</v>
      </c>
      <c r="X226" s="8" t="s">
        <v>101</v>
      </c>
      <c r="Y226" s="34">
        <f>IF(X226='Listas suspensas'!$A$21,'Listas suspensas'!$B$23,IF(X226='Listas suspensas'!$A$22,'Listas suspensas'!$B$23,IF(X226='Listas suspensas'!$A$23,'Listas suspensas'!$B$22,IF(X226='Listas suspensas'!$A$26,'Listas suspensas'!$B$22,IF(X226='Listas suspensas'!$A$32,'Listas suspensas'!$B$22,IF(X226='Listas suspensas'!$A$33,'Listas suspensas'!$B$21,IF(X226='Listas suspensas'!$A$24,'Listas suspensas'!$B$22,IF(X226='Listas suspensas'!$A$30,'Listas suspensas'!$B$21,""))))))))</f>
        <v>6.5</v>
      </c>
      <c r="Z226" s="8" t="s">
        <v>80</v>
      </c>
      <c r="AA226" s="8">
        <v>2</v>
      </c>
      <c r="AB226" s="8" t="str">
        <f>IF(AA226='Listas suspensas'!$A$2,'Listas suspensas'!$B$2,IF(AA226='Listas suspensas'!$A$3,'Listas suspensas'!$B$3,IF(AA226='Listas suspensas'!$A$4,'Listas suspensas'!$B$4,IF(AA226='Listas suspensas'!$A$5,'Listas suspensas'!$B$5,IF(AA226='Listas suspensas'!$A$6,'Listas suspensas'!$B$6,"")))))</f>
        <v>Profunda e irregular</v>
      </c>
      <c r="AC226" s="8" t="str">
        <f>IF(AA226='Listas suspensas'!$A$2,'Listas suspensas'!$C$2,IF(AA226='Listas suspensas'!$A$3,'Listas suspensas'!$C$3,IF(AA226='Listas suspensas'!$A$4,'Listas suspensas'!$C$4,IF(AA226='Listas suspensas'!$A$5,'Listas suspensas'!$C$5,IF(AA226='Listas suspensas'!$A$6,'Listas suspensas'!$C$6,"")))))</f>
        <v>Indica a penetração profunda, mas desuniforme em toda a extensão do alburno.</v>
      </c>
      <c r="BD226" s="13">
        <v>0.54500000000000004</v>
      </c>
      <c r="BE226" s="18">
        <f t="shared" si="53"/>
        <v>545</v>
      </c>
      <c r="BF226" s="8">
        <v>0.28599999999999998</v>
      </c>
      <c r="BG226" s="8">
        <v>0.151</v>
      </c>
      <c r="BH226" s="8">
        <v>0.22900000000000001</v>
      </c>
      <c r="BI226" s="13">
        <f t="shared" si="54"/>
        <v>0.66599999999999993</v>
      </c>
      <c r="BJ226" s="14">
        <v>42.9</v>
      </c>
      <c r="BK226" s="14">
        <v>22.7</v>
      </c>
      <c r="BL226" s="14">
        <v>34.4</v>
      </c>
      <c r="BM226" s="16">
        <f t="shared" si="48"/>
        <v>100</v>
      </c>
      <c r="BN226" s="21">
        <f t="shared" si="49"/>
        <v>1.56</v>
      </c>
      <c r="BO226" s="21">
        <f t="shared" si="50"/>
        <v>0.82</v>
      </c>
      <c r="BP226" s="21">
        <f t="shared" si="51"/>
        <v>1.25</v>
      </c>
      <c r="BQ226" s="14">
        <f t="shared" si="52"/>
        <v>3.63</v>
      </c>
      <c r="BR226" s="22" t="str">
        <f>IF(OR(AND(X226="Mourões", BQ226&gt;=6.5),AND(X226="Postes", BQ226&gt;=9.6),AND(X226="Dormentes", BQ226&gt;=9.6),AND(X226="Estacas", BQ226&gt;=6.5),AND(X226="Cruzetas", BQ226&gt;=6.5),AND(X226="Outros - Solo", BQ226&gt;=6.5),AND(X226="Outros - Suspenso",BQ226&gt;=4),AND(X226="Deck",BQ226&gt;=4)),'Listas suspensas'!$C$21,'Listas suspensas'!$C$22)</f>
        <v>Os resultados da análise química apresentaram uma retenção do produto inferior ao padrão mínimo exigido pela norma ABNT NBR 16143</v>
      </c>
    </row>
    <row r="227" spans="2:70" x14ac:dyDescent="0.25">
      <c r="B227" s="8" t="s">
        <v>614</v>
      </c>
      <c r="C227" s="8" t="s">
        <v>71</v>
      </c>
      <c r="F227" s="11">
        <v>45881</v>
      </c>
      <c r="G227" s="11">
        <v>45884</v>
      </c>
      <c r="H227" s="11">
        <v>45896</v>
      </c>
      <c r="I227" s="8" t="s">
        <v>552</v>
      </c>
      <c r="J227" s="8" t="s">
        <v>553</v>
      </c>
      <c r="K227" s="8" t="s">
        <v>74</v>
      </c>
      <c r="L227" s="8" t="s">
        <v>15</v>
      </c>
      <c r="N227" s="8" t="s">
        <v>75</v>
      </c>
      <c r="O227" s="8" t="s">
        <v>76</v>
      </c>
      <c r="P227" s="28" t="s">
        <v>146</v>
      </c>
      <c r="Q227" s="16" t="s">
        <v>615</v>
      </c>
      <c r="X227" s="8" t="s">
        <v>101</v>
      </c>
      <c r="Y227" s="34">
        <f>IF(X227='Listas suspensas'!$A$21,'Listas suspensas'!$B$23,IF(X227='Listas suspensas'!$A$22,'Listas suspensas'!$B$23,IF(X227='Listas suspensas'!$A$23,'Listas suspensas'!$B$22,IF(X227='Listas suspensas'!$A$26,'Listas suspensas'!$B$22,IF(X227='Listas suspensas'!$A$32,'Listas suspensas'!$B$22,IF(X227='Listas suspensas'!$A$33,'Listas suspensas'!$B$21,IF(X227='Listas suspensas'!$A$24,'Listas suspensas'!$B$22,IF(X227='Listas suspensas'!$A$30,'Listas suspensas'!$B$21,""))))))))</f>
        <v>6.5</v>
      </c>
      <c r="Z227" s="8" t="s">
        <v>80</v>
      </c>
      <c r="AA227" s="8">
        <v>3</v>
      </c>
      <c r="AB227" s="8" t="str">
        <f>IF(AA227='Listas suspensas'!$A$2,'Listas suspensas'!$B$2,IF(AA227='Listas suspensas'!$A$3,'Listas suspensas'!$B$3,IF(AA227='Listas suspensas'!$A$4,'Listas suspensas'!$B$4,IF(AA227='Listas suspensas'!$A$5,'Listas suspensas'!$B$5,IF(AA227='Listas suspensas'!$A$6,'Listas suspensas'!$B$6,"")))))</f>
        <v xml:space="preserve"> Parcial e regular</v>
      </c>
      <c r="AC227" s="8" t="str">
        <f>IF(AA227='Listas suspensas'!$A$2,'Listas suspensas'!$C$2,IF(AA227='Listas suspensas'!$A$3,'Listas suspensas'!$C$3,IF(AA227='Listas suspensas'!$A$4,'Listas suspensas'!$C$4,IF(AA227='Listas suspensas'!$A$5,'Listas suspensas'!$C$5,IF(AA227='Listas suspensas'!$A$6,'Listas suspensas'!$C$6,"")))))</f>
        <v>Indica a penetração uniforme, mas não total pela extensão do alburno.</v>
      </c>
      <c r="BD227" s="13">
        <v>0.42899999999999999</v>
      </c>
      <c r="BE227" s="18">
        <f t="shared" si="53"/>
        <v>429</v>
      </c>
      <c r="BF227" s="8">
        <v>0.48499999999999999</v>
      </c>
      <c r="BG227" s="8">
        <v>0.16900000000000001</v>
      </c>
      <c r="BH227" s="8">
        <v>0.28699999999999998</v>
      </c>
      <c r="BI227" s="13">
        <f t="shared" si="54"/>
        <v>0.94100000000000006</v>
      </c>
      <c r="BJ227" s="14">
        <v>51.6</v>
      </c>
      <c r="BK227" s="14">
        <v>17.899999999999999</v>
      </c>
      <c r="BL227" s="14">
        <v>30.5</v>
      </c>
      <c r="BM227" s="16">
        <f t="shared" si="48"/>
        <v>100</v>
      </c>
      <c r="BN227" s="21">
        <f t="shared" si="49"/>
        <v>2.08</v>
      </c>
      <c r="BO227" s="21">
        <f t="shared" si="50"/>
        <v>0.73</v>
      </c>
      <c r="BP227" s="21">
        <f t="shared" si="51"/>
        <v>1.23</v>
      </c>
      <c r="BQ227" s="14">
        <f t="shared" si="52"/>
        <v>4.04</v>
      </c>
      <c r="BR227" s="22" t="str">
        <f>IF(OR(AND(X227="Mourões", BQ227&gt;=6.5),AND(X227="Postes", BQ227&gt;=9.6),AND(X227="Dormentes", BQ227&gt;=9.6),AND(X227="Estacas", BQ227&gt;=6.5),AND(X227="Cruzetas", BQ227&gt;=6.5),AND(X227="Outros - Solo", BQ227&gt;=6.5),AND(X227="Outros - Suspenso",BQ227&gt;=4),AND(X227="Deck",BQ227&gt;=4)),'Listas suspensas'!$C$21,'Listas suspensas'!$C$22)</f>
        <v>Os resultados da análise química apresentaram uma retenção do produto inferior ao padrão mínimo exigido pela norma ABNT NBR 16143</v>
      </c>
    </row>
    <row r="228" spans="2:70" x14ac:dyDescent="0.25">
      <c r="B228" s="8" t="s">
        <v>616</v>
      </c>
      <c r="C228" s="8" t="s">
        <v>71</v>
      </c>
      <c r="F228" s="11">
        <v>45881</v>
      </c>
      <c r="G228" s="11">
        <v>45884</v>
      </c>
      <c r="H228" s="11">
        <v>45905</v>
      </c>
      <c r="I228" s="8" t="s">
        <v>617</v>
      </c>
      <c r="J228" s="8" t="s">
        <v>618</v>
      </c>
      <c r="K228" s="8" t="s">
        <v>619</v>
      </c>
      <c r="L228" s="8" t="s">
        <v>15</v>
      </c>
      <c r="N228" s="8" t="s">
        <v>75</v>
      </c>
      <c r="O228" s="8" t="s">
        <v>94</v>
      </c>
      <c r="P228" s="28" t="s">
        <v>77</v>
      </c>
      <c r="Q228" s="16" t="s">
        <v>620</v>
      </c>
      <c r="X228" s="8" t="s">
        <v>162</v>
      </c>
      <c r="Y228" s="34">
        <f>IF(X228='Listas suspensas'!$A$21,'Listas suspensas'!$B$23,IF(X228='Listas suspensas'!$A$22,'Listas suspensas'!$B$23,IF(X228='Listas suspensas'!$A$23,'Listas suspensas'!$B$22,IF(X228='Listas suspensas'!$A$26,'Listas suspensas'!$B$22,IF(X228='Listas suspensas'!$A$32,'Listas suspensas'!$B$22,IF(X228='Listas suspensas'!$A$33,'Listas suspensas'!$B$21,IF(X228='Listas suspensas'!$A$24,'Listas suspensas'!$B$22,IF(X228='Listas suspensas'!$A$30,'Listas suspensas'!$B$21,""))))))))</f>
        <v>9.6</v>
      </c>
      <c r="Z228" s="8" t="s">
        <v>80</v>
      </c>
      <c r="AA228" s="8">
        <v>2</v>
      </c>
      <c r="AB228" s="8" t="str">
        <f>IF(AA228='Listas suspensas'!$A$2,'Listas suspensas'!$B$2,IF(AA228='Listas suspensas'!$A$3,'Listas suspensas'!$B$3,IF(AA228='Listas suspensas'!$A$4,'Listas suspensas'!$B$4,IF(AA228='Listas suspensas'!$A$5,'Listas suspensas'!$B$5,IF(AA228='Listas suspensas'!$A$6,'Listas suspensas'!$B$6,"")))))</f>
        <v>Profunda e irregular</v>
      </c>
      <c r="AC228" s="8" t="str">
        <f>IF(AA228='Listas suspensas'!$A$2,'Listas suspensas'!$C$2,IF(AA228='Listas suspensas'!$A$3,'Listas suspensas'!$C$3,IF(AA228='Listas suspensas'!$A$4,'Listas suspensas'!$C$4,IF(AA228='Listas suspensas'!$A$5,'Listas suspensas'!$C$5,IF(AA228='Listas suspensas'!$A$6,'Listas suspensas'!$C$6,"")))))</f>
        <v>Indica a penetração profunda, mas desuniforme em toda a extensão do alburno.</v>
      </c>
      <c r="BD228" s="13">
        <v>0.90300000000000002</v>
      </c>
      <c r="BE228" s="18">
        <f t="shared" si="53"/>
        <v>903</v>
      </c>
      <c r="BF228" s="8">
        <v>0.28699999999999998</v>
      </c>
      <c r="BG228" s="8">
        <v>0.13</v>
      </c>
      <c r="BH228" s="8">
        <v>0.185</v>
      </c>
      <c r="BI228" s="13">
        <f t="shared" si="54"/>
        <v>0.60199999999999998</v>
      </c>
      <c r="BJ228" s="14">
        <v>47.7</v>
      </c>
      <c r="BK228" s="14">
        <v>21.6</v>
      </c>
      <c r="BL228" s="14">
        <v>30.7</v>
      </c>
      <c r="BM228" s="16">
        <f t="shared" si="48"/>
        <v>100</v>
      </c>
      <c r="BN228" s="21">
        <f t="shared" si="49"/>
        <v>2.59</v>
      </c>
      <c r="BO228" s="21">
        <f t="shared" si="50"/>
        <v>1.17</v>
      </c>
      <c r="BP228" s="21">
        <f t="shared" si="51"/>
        <v>1.67</v>
      </c>
      <c r="BQ228" s="14">
        <f t="shared" si="52"/>
        <v>5.43</v>
      </c>
      <c r="BR228" s="22" t="str">
        <f>IF(OR(AND(X228="Mourões", BQ228&gt;=6.5),AND(X228="Postes", BQ228&gt;=9.6),AND(X228="Dormentes", BQ228&gt;=9.6),AND(X228="Estacas", BQ228&gt;=6.5),AND(X228="Cruzetas", BQ228&gt;=6.5),AND(X228="Outros - Solo", BQ228&gt;=6.5),AND(X228="Outros - Suspenso",BQ228&gt;=4),AND(X228="Deck",BQ228&gt;=4)),'Listas suspensas'!$C$21,'Listas suspensas'!$C$22)</f>
        <v>Os resultados da análise química apresentaram uma retenção do produto inferior ao padrão mínimo exigido pela norma ABNT NBR 16143</v>
      </c>
    </row>
    <row r="229" spans="2:70" x14ac:dyDescent="0.25">
      <c r="B229" s="8" t="s">
        <v>621</v>
      </c>
      <c r="C229" s="8" t="s">
        <v>71</v>
      </c>
      <c r="F229" s="11">
        <v>45881</v>
      </c>
      <c r="G229" s="11">
        <v>45884</v>
      </c>
      <c r="H229" s="11">
        <v>45905</v>
      </c>
      <c r="I229" s="8" t="s">
        <v>617</v>
      </c>
      <c r="J229" s="8" t="s">
        <v>618</v>
      </c>
      <c r="K229" s="8" t="s">
        <v>619</v>
      </c>
      <c r="L229" s="8" t="s">
        <v>15</v>
      </c>
      <c r="N229" s="8" t="s">
        <v>75</v>
      </c>
      <c r="O229" s="8" t="s">
        <v>94</v>
      </c>
      <c r="P229" s="28" t="s">
        <v>77</v>
      </c>
      <c r="Q229" s="16" t="s">
        <v>622</v>
      </c>
      <c r="X229" s="8" t="s">
        <v>162</v>
      </c>
      <c r="Y229" s="34">
        <f>IF(X229='Listas suspensas'!$A$21,'Listas suspensas'!$B$23,IF(X229='Listas suspensas'!$A$22,'Listas suspensas'!$B$23,IF(X229='Listas suspensas'!$A$23,'Listas suspensas'!$B$22,IF(X229='Listas suspensas'!$A$26,'Listas suspensas'!$B$22,IF(X229='Listas suspensas'!$A$32,'Listas suspensas'!$B$22,IF(X229='Listas suspensas'!$A$33,'Listas suspensas'!$B$21,IF(X229='Listas suspensas'!$A$24,'Listas suspensas'!$B$22,IF(X229='Listas suspensas'!$A$30,'Listas suspensas'!$B$21,""))))))))</f>
        <v>9.6</v>
      </c>
      <c r="Z229" s="8" t="s">
        <v>80</v>
      </c>
      <c r="AA229" s="8">
        <v>2</v>
      </c>
      <c r="AB229" s="8" t="str">
        <f>IF(AA229='Listas suspensas'!$A$2,'Listas suspensas'!$B$2,IF(AA229='Listas suspensas'!$A$3,'Listas suspensas'!$B$3,IF(AA229='Listas suspensas'!$A$4,'Listas suspensas'!$B$4,IF(AA229='Listas suspensas'!$A$5,'Listas suspensas'!$B$5,IF(AA229='Listas suspensas'!$A$6,'Listas suspensas'!$B$6,"")))))</f>
        <v>Profunda e irregular</v>
      </c>
      <c r="AC229" s="8" t="str">
        <f>IF(AA229='Listas suspensas'!$A$2,'Listas suspensas'!$C$2,IF(AA229='Listas suspensas'!$A$3,'Listas suspensas'!$C$3,IF(AA229='Listas suspensas'!$A$4,'Listas suspensas'!$C$4,IF(AA229='Listas suspensas'!$A$5,'Listas suspensas'!$C$5,IF(AA229='Listas suspensas'!$A$6,'Listas suspensas'!$C$6,"")))))</f>
        <v>Indica a penetração profunda, mas desuniforme em toda a extensão do alburno.</v>
      </c>
      <c r="BD229" s="13">
        <v>0.91200000000000003</v>
      </c>
      <c r="BE229" s="18">
        <f t="shared" si="53"/>
        <v>912</v>
      </c>
      <c r="BF229" s="8">
        <v>0.317</v>
      </c>
      <c r="BG229" s="8">
        <v>0.13900000000000001</v>
      </c>
      <c r="BH229" s="8">
        <v>0.20100000000000001</v>
      </c>
      <c r="BI229" s="13">
        <f t="shared" si="54"/>
        <v>0.65700000000000003</v>
      </c>
      <c r="BJ229" s="14">
        <v>48.3</v>
      </c>
      <c r="BK229" s="14">
        <v>21.1</v>
      </c>
      <c r="BL229" s="14">
        <v>30.6</v>
      </c>
      <c r="BM229" s="16">
        <f t="shared" si="48"/>
        <v>100</v>
      </c>
      <c r="BN229" s="21">
        <f t="shared" si="49"/>
        <v>2.89</v>
      </c>
      <c r="BO229" s="21">
        <f t="shared" si="50"/>
        <v>1.27</v>
      </c>
      <c r="BP229" s="21">
        <f t="shared" si="51"/>
        <v>1.83</v>
      </c>
      <c r="BQ229" s="14">
        <f t="shared" si="52"/>
        <v>5.99</v>
      </c>
      <c r="BR229" s="22" t="str">
        <f>IF(OR(AND(X229="Mourões", BQ229&gt;=6.5),AND(X229="Postes", BQ229&gt;=9.6),AND(X229="Dormentes", BQ229&gt;=9.6),AND(X229="Estacas", BQ229&gt;=6.5),AND(X229="Cruzetas", BQ229&gt;=6.5),AND(X229="Outros - Solo", BQ229&gt;=6.5),AND(X229="Outros - Suspenso",BQ229&gt;=4),AND(X229="Deck",BQ229&gt;=4)),'Listas suspensas'!$C$21,'Listas suspensas'!$C$22)</f>
        <v>Os resultados da análise química apresentaram uma retenção do produto inferior ao padrão mínimo exigido pela norma ABNT NBR 16143</v>
      </c>
    </row>
    <row r="230" spans="2:70" x14ac:dyDescent="0.25">
      <c r="B230" s="8" t="s">
        <v>623</v>
      </c>
      <c r="C230" s="8" t="s">
        <v>71</v>
      </c>
      <c r="F230" s="11">
        <v>45881</v>
      </c>
      <c r="G230" s="11">
        <v>45884</v>
      </c>
      <c r="H230" s="11">
        <v>45905</v>
      </c>
      <c r="I230" s="8" t="s">
        <v>617</v>
      </c>
      <c r="J230" s="8" t="s">
        <v>618</v>
      </c>
      <c r="K230" s="8" t="s">
        <v>619</v>
      </c>
      <c r="L230" s="8" t="s">
        <v>15</v>
      </c>
      <c r="N230" s="8" t="s">
        <v>75</v>
      </c>
      <c r="O230" s="8" t="s">
        <v>94</v>
      </c>
      <c r="P230" s="28" t="s">
        <v>77</v>
      </c>
      <c r="Q230" s="16" t="s">
        <v>624</v>
      </c>
      <c r="X230" s="8" t="s">
        <v>162</v>
      </c>
      <c r="Y230" s="34">
        <f>IF(X230='Listas suspensas'!$A$21,'Listas suspensas'!$B$23,IF(X230='Listas suspensas'!$A$22,'Listas suspensas'!$B$23,IF(X230='Listas suspensas'!$A$23,'Listas suspensas'!$B$22,IF(X230='Listas suspensas'!$A$26,'Listas suspensas'!$B$22,IF(X230='Listas suspensas'!$A$32,'Listas suspensas'!$B$22,IF(X230='Listas suspensas'!$A$33,'Listas suspensas'!$B$21,IF(X230='Listas suspensas'!$A$24,'Listas suspensas'!$B$22,IF(X230='Listas suspensas'!$A$30,'Listas suspensas'!$B$21,""))))))))</f>
        <v>9.6</v>
      </c>
      <c r="Z230" s="8" t="s">
        <v>80</v>
      </c>
      <c r="AA230" s="8">
        <v>2</v>
      </c>
      <c r="AB230" s="8" t="str">
        <f>IF(AA230='Listas suspensas'!$A$2,'Listas suspensas'!$B$2,IF(AA230='Listas suspensas'!$A$3,'Listas suspensas'!$B$3,IF(AA230='Listas suspensas'!$A$4,'Listas suspensas'!$B$4,IF(AA230='Listas suspensas'!$A$5,'Listas suspensas'!$B$5,IF(AA230='Listas suspensas'!$A$6,'Listas suspensas'!$B$6,"")))))</f>
        <v>Profunda e irregular</v>
      </c>
      <c r="AC230" s="8" t="str">
        <f>IF(AA230='Listas suspensas'!$A$2,'Listas suspensas'!$C$2,IF(AA230='Listas suspensas'!$A$3,'Listas suspensas'!$C$3,IF(AA230='Listas suspensas'!$A$4,'Listas suspensas'!$C$4,IF(AA230='Listas suspensas'!$A$5,'Listas suspensas'!$C$5,IF(AA230='Listas suspensas'!$A$6,'Listas suspensas'!$C$6,"")))))</f>
        <v>Indica a penetração profunda, mas desuniforme em toda a extensão do alburno.</v>
      </c>
      <c r="BD230" s="13">
        <v>0.90600000000000003</v>
      </c>
      <c r="BE230" s="18">
        <f t="shared" si="53"/>
        <v>906</v>
      </c>
      <c r="BF230" s="8">
        <v>0.26600000000000001</v>
      </c>
      <c r="BG230" s="8">
        <v>0.111</v>
      </c>
      <c r="BH230" s="8">
        <v>0.13500000000000001</v>
      </c>
      <c r="BI230" s="13">
        <f t="shared" si="54"/>
        <v>0.51200000000000001</v>
      </c>
      <c r="BJ230" s="14">
        <v>52</v>
      </c>
      <c r="BK230" s="14">
        <v>21.6</v>
      </c>
      <c r="BL230" s="14">
        <v>26.4</v>
      </c>
      <c r="BM230" s="16">
        <f t="shared" si="48"/>
        <v>100</v>
      </c>
      <c r="BN230" s="21">
        <f t="shared" si="49"/>
        <v>2.41</v>
      </c>
      <c r="BO230" s="21">
        <f t="shared" si="50"/>
        <v>1.01</v>
      </c>
      <c r="BP230" s="21">
        <f t="shared" si="51"/>
        <v>1.22</v>
      </c>
      <c r="BQ230" s="14">
        <f t="shared" si="52"/>
        <v>4.6399999999999997</v>
      </c>
      <c r="BR230" s="22" t="str">
        <f>IF(OR(AND(X230="Mourões", BQ230&gt;=6.5),AND(X230="Postes", BQ230&gt;=9.6),AND(X230="Dormentes", BQ230&gt;=9.6),AND(X230="Estacas", BQ230&gt;=6.5),AND(X230="Cruzetas", BQ230&gt;=6.5),AND(X230="Outros - Solo", BQ230&gt;=6.5),AND(X230="Outros - Suspenso",BQ230&gt;=4),AND(X230="Deck",BQ230&gt;=4)),'Listas suspensas'!$C$21,'Listas suspensas'!$C$22)</f>
        <v>Os resultados da análise química apresentaram uma retenção do produto inferior ao padrão mínimo exigido pela norma ABNT NBR 16143</v>
      </c>
    </row>
    <row r="231" spans="2:70" x14ac:dyDescent="0.25">
      <c r="B231" s="8" t="s">
        <v>625</v>
      </c>
      <c r="C231" s="8" t="s">
        <v>71</v>
      </c>
      <c r="F231" s="11">
        <v>45881</v>
      </c>
      <c r="G231" s="11">
        <v>45884</v>
      </c>
      <c r="H231" s="11">
        <v>45905</v>
      </c>
      <c r="I231" s="8" t="s">
        <v>617</v>
      </c>
      <c r="J231" s="8" t="s">
        <v>618</v>
      </c>
      <c r="K231" s="8" t="s">
        <v>619</v>
      </c>
      <c r="L231" s="8" t="s">
        <v>15</v>
      </c>
      <c r="N231" s="8" t="s">
        <v>75</v>
      </c>
      <c r="O231" s="8" t="s">
        <v>94</v>
      </c>
      <c r="P231" s="28" t="s">
        <v>77</v>
      </c>
      <c r="Q231" s="16" t="s">
        <v>626</v>
      </c>
      <c r="X231" s="8" t="s">
        <v>162</v>
      </c>
      <c r="Y231" s="34">
        <f>IF(X231='Listas suspensas'!$A$21,'Listas suspensas'!$B$23,IF(X231='Listas suspensas'!$A$22,'Listas suspensas'!$B$23,IF(X231='Listas suspensas'!$A$23,'Listas suspensas'!$B$22,IF(X231='Listas suspensas'!$A$26,'Listas suspensas'!$B$22,IF(X231='Listas suspensas'!$A$32,'Listas suspensas'!$B$22,IF(X231='Listas suspensas'!$A$33,'Listas suspensas'!$B$21,IF(X231='Listas suspensas'!$A$24,'Listas suspensas'!$B$22,IF(X231='Listas suspensas'!$A$30,'Listas suspensas'!$B$21,""))))))))</f>
        <v>9.6</v>
      </c>
      <c r="Z231" s="8" t="s">
        <v>80</v>
      </c>
      <c r="AA231" s="8">
        <v>2</v>
      </c>
      <c r="AB231" s="8" t="str">
        <f>IF(AA231='Listas suspensas'!$A$2,'Listas suspensas'!$B$2,IF(AA231='Listas suspensas'!$A$3,'Listas suspensas'!$B$3,IF(AA231='Listas suspensas'!$A$4,'Listas suspensas'!$B$4,IF(AA231='Listas suspensas'!$A$5,'Listas suspensas'!$B$5,IF(AA231='Listas suspensas'!$A$6,'Listas suspensas'!$B$6,"")))))</f>
        <v>Profunda e irregular</v>
      </c>
      <c r="AC231" s="8" t="str">
        <f>IF(AA231='Listas suspensas'!$A$2,'Listas suspensas'!$C$2,IF(AA231='Listas suspensas'!$A$3,'Listas suspensas'!$C$3,IF(AA231='Listas suspensas'!$A$4,'Listas suspensas'!$C$4,IF(AA231='Listas suspensas'!$A$5,'Listas suspensas'!$C$5,IF(AA231='Listas suspensas'!$A$6,'Listas suspensas'!$C$6,"")))))</f>
        <v>Indica a penetração profunda, mas desuniforme em toda a extensão do alburno.</v>
      </c>
      <c r="BD231" s="13">
        <v>0.90800000000000003</v>
      </c>
      <c r="BE231" s="18">
        <f t="shared" si="53"/>
        <v>908</v>
      </c>
      <c r="BF231" s="8">
        <v>0.315</v>
      </c>
      <c r="BG231" s="8">
        <v>0.17399999999999999</v>
      </c>
      <c r="BH231" s="8">
        <v>0.30199999999999999</v>
      </c>
      <c r="BI231" s="13">
        <f t="shared" si="54"/>
        <v>0.79099999999999993</v>
      </c>
      <c r="BJ231" s="14">
        <v>39.799999999999997</v>
      </c>
      <c r="BK231" s="14">
        <v>22</v>
      </c>
      <c r="BL231" s="14">
        <v>38.200000000000003</v>
      </c>
      <c r="BM231" s="16">
        <f t="shared" si="48"/>
        <v>100</v>
      </c>
      <c r="BN231" s="21">
        <f t="shared" si="49"/>
        <v>2.86</v>
      </c>
      <c r="BO231" s="21">
        <f t="shared" si="50"/>
        <v>1.58</v>
      </c>
      <c r="BP231" s="21">
        <f t="shared" si="51"/>
        <v>2.74</v>
      </c>
      <c r="BQ231" s="14">
        <f t="shared" si="52"/>
        <v>7.18</v>
      </c>
      <c r="BR231" s="22" t="str">
        <f>IF(OR(AND(X231="Mourões", BQ231&gt;=6.5),AND(X231="Postes", BQ231&gt;=9.6),AND(X231="Dormentes", BQ231&gt;=9.6),AND(X231="Estacas", BQ231&gt;=6.5),AND(X231="Cruzetas", BQ231&gt;=6.5),AND(X231="Outros - Solo", BQ231&gt;=6.5),AND(X231="Outros - Suspenso",BQ231&gt;=4),AND(X231="Deck",BQ231&gt;=4)),'Listas suspensas'!$C$21,'Listas suspensas'!$C$22)</f>
        <v>Os resultados da análise química apresentaram uma retenção do produto inferior ao padrão mínimo exigido pela norma ABNT NBR 16143</v>
      </c>
    </row>
    <row r="232" spans="2:70" x14ac:dyDescent="0.25">
      <c r="B232" s="8" t="s">
        <v>627</v>
      </c>
      <c r="C232" s="8" t="s">
        <v>71</v>
      </c>
      <c r="F232" s="11">
        <v>45881</v>
      </c>
      <c r="G232" s="11">
        <v>45884</v>
      </c>
      <c r="H232" s="11">
        <v>45905</v>
      </c>
      <c r="I232" s="8" t="s">
        <v>617</v>
      </c>
      <c r="J232" s="8" t="s">
        <v>618</v>
      </c>
      <c r="K232" s="8" t="s">
        <v>619</v>
      </c>
      <c r="L232" s="8" t="s">
        <v>15</v>
      </c>
      <c r="N232" s="8" t="s">
        <v>75</v>
      </c>
      <c r="O232" s="8" t="s">
        <v>94</v>
      </c>
      <c r="P232" s="28" t="s">
        <v>77</v>
      </c>
      <c r="Q232" s="16" t="s">
        <v>628</v>
      </c>
      <c r="X232" s="8" t="s">
        <v>162</v>
      </c>
      <c r="Y232" s="34">
        <f>IF(X232='Listas suspensas'!$A$21,'Listas suspensas'!$B$23,IF(X232='Listas suspensas'!$A$22,'Listas suspensas'!$B$23,IF(X232='Listas suspensas'!$A$23,'Listas suspensas'!$B$22,IF(X232='Listas suspensas'!$A$26,'Listas suspensas'!$B$22,IF(X232='Listas suspensas'!$A$32,'Listas suspensas'!$B$22,IF(X232='Listas suspensas'!$A$33,'Listas suspensas'!$B$21,IF(X232='Listas suspensas'!$A$24,'Listas suspensas'!$B$22,IF(X232='Listas suspensas'!$A$30,'Listas suspensas'!$B$21,""))))))))</f>
        <v>9.6</v>
      </c>
      <c r="Z232" s="8" t="s">
        <v>80</v>
      </c>
      <c r="AA232" s="8">
        <v>2</v>
      </c>
      <c r="AB232" s="8" t="str">
        <f>IF(AA232='Listas suspensas'!$A$2,'Listas suspensas'!$B$2,IF(AA232='Listas suspensas'!$A$3,'Listas suspensas'!$B$3,IF(AA232='Listas suspensas'!$A$4,'Listas suspensas'!$B$4,IF(AA232='Listas suspensas'!$A$5,'Listas suspensas'!$B$5,IF(AA232='Listas suspensas'!$A$6,'Listas suspensas'!$B$6,"")))))</f>
        <v>Profunda e irregular</v>
      </c>
      <c r="AC232" s="8" t="str">
        <f>IF(AA232='Listas suspensas'!$A$2,'Listas suspensas'!$C$2,IF(AA232='Listas suspensas'!$A$3,'Listas suspensas'!$C$3,IF(AA232='Listas suspensas'!$A$4,'Listas suspensas'!$C$4,IF(AA232='Listas suspensas'!$A$5,'Listas suspensas'!$C$5,IF(AA232='Listas suspensas'!$A$6,'Listas suspensas'!$C$6,"")))))</f>
        <v>Indica a penetração profunda, mas desuniforme em toda a extensão do alburno.</v>
      </c>
      <c r="BD232" s="13">
        <v>0.94599999999999995</v>
      </c>
      <c r="BE232" s="18">
        <f t="shared" si="53"/>
        <v>946</v>
      </c>
      <c r="BF232" s="8">
        <v>0.36099999999999999</v>
      </c>
      <c r="BG232" s="8">
        <v>0.183</v>
      </c>
      <c r="BH232" s="8">
        <v>0.32</v>
      </c>
      <c r="BI232" s="13">
        <f t="shared" si="54"/>
        <v>0.8640000000000001</v>
      </c>
      <c r="BJ232" s="14">
        <v>41.8</v>
      </c>
      <c r="BK232" s="14">
        <v>21.2</v>
      </c>
      <c r="BL232" s="14">
        <v>37</v>
      </c>
      <c r="BM232" s="16">
        <f t="shared" ref="BM232:BM295" si="55">ROUND(SUM(BJ232:BL232),2)</f>
        <v>100</v>
      </c>
      <c r="BN232" s="21">
        <f t="shared" ref="BN232:BN295" si="56">ROUND((BF232/100)*BE232,2)</f>
        <v>3.42</v>
      </c>
      <c r="BO232" s="21">
        <f t="shared" ref="BO232:BO295" si="57">ROUND((BG232/100)*BE232,2)</f>
        <v>1.73</v>
      </c>
      <c r="BP232" s="21">
        <f t="shared" ref="BP232:BP295" si="58">ROUND((BH232/100)*BE232,2)</f>
        <v>3.03</v>
      </c>
      <c r="BQ232" s="14">
        <f t="shared" ref="BQ232:BQ295" si="59">ROUND(SUM(BN232:BP232),2)</f>
        <v>8.18</v>
      </c>
      <c r="BR232" s="22" t="str">
        <f>IF(OR(AND(X232="Mourões", BQ232&gt;=6.5),AND(X232="Postes", BQ232&gt;=9.6),AND(X232="Dormentes", BQ232&gt;=9.6),AND(X232="Estacas", BQ232&gt;=6.5),AND(X232="Cruzetas", BQ232&gt;=6.5),AND(X232="Outros - Solo", BQ232&gt;=6.5),AND(X232="Outros - Suspenso",BQ232&gt;=4),AND(X232="Deck",BQ232&gt;=4)),'Listas suspensas'!$C$21,'Listas suspensas'!$C$22)</f>
        <v>Os resultados da análise química apresentaram uma retenção do produto inferior ao padrão mínimo exigido pela norma ABNT NBR 16143</v>
      </c>
    </row>
    <row r="233" spans="2:70" x14ac:dyDescent="0.25">
      <c r="B233" s="8" t="s">
        <v>629</v>
      </c>
      <c r="C233" s="8" t="s">
        <v>71</v>
      </c>
      <c r="F233" s="11">
        <v>45881</v>
      </c>
      <c r="G233" s="11">
        <v>45884</v>
      </c>
      <c r="H233" s="11">
        <v>45896</v>
      </c>
      <c r="I233" s="8" t="s">
        <v>630</v>
      </c>
      <c r="J233" s="8" t="s">
        <v>631</v>
      </c>
      <c r="K233" s="8" t="s">
        <v>74</v>
      </c>
      <c r="L233" s="8" t="s">
        <v>15</v>
      </c>
      <c r="M233" s="30" t="s">
        <v>632</v>
      </c>
      <c r="N233" s="8" t="s">
        <v>75</v>
      </c>
      <c r="O233" s="8" t="s">
        <v>76</v>
      </c>
      <c r="P233" s="28" t="s">
        <v>146</v>
      </c>
      <c r="Q233" s="16" t="s">
        <v>633</v>
      </c>
      <c r="X233" s="8" t="s">
        <v>101</v>
      </c>
      <c r="Y233" s="34">
        <f>IF(X233='Listas suspensas'!$A$21,'Listas suspensas'!$B$23,IF(X233='Listas suspensas'!$A$22,'Listas suspensas'!$B$23,IF(X233='Listas suspensas'!$A$23,'Listas suspensas'!$B$22,IF(X233='Listas suspensas'!$A$26,'Listas suspensas'!$B$22,IF(X233='Listas suspensas'!$A$32,'Listas suspensas'!$B$22,IF(X233='Listas suspensas'!$A$33,'Listas suspensas'!$B$21,IF(X233='Listas suspensas'!$A$24,'Listas suspensas'!$B$22,IF(X233='Listas suspensas'!$A$30,'Listas suspensas'!$B$21,""))))))))</f>
        <v>6.5</v>
      </c>
      <c r="Z233" s="8" t="s">
        <v>80</v>
      </c>
      <c r="AA233" s="8">
        <v>3</v>
      </c>
      <c r="AB233" s="8" t="str">
        <f>IF(AA233='Listas suspensas'!$A$2,'Listas suspensas'!$B$2,IF(AA233='Listas suspensas'!$A$3,'Listas suspensas'!$B$3,IF(AA233='Listas suspensas'!$A$4,'Listas suspensas'!$B$4,IF(AA233='Listas suspensas'!$A$5,'Listas suspensas'!$B$5,IF(AA233='Listas suspensas'!$A$6,'Listas suspensas'!$B$6,"")))))</f>
        <v xml:space="preserve"> Parcial e regular</v>
      </c>
      <c r="AC233" s="8" t="str">
        <f>IF(AA233='Listas suspensas'!$A$2,'Listas suspensas'!$C$2,IF(AA233='Listas suspensas'!$A$3,'Listas suspensas'!$C$3,IF(AA233='Listas suspensas'!$A$4,'Listas suspensas'!$C$4,IF(AA233='Listas suspensas'!$A$5,'Listas suspensas'!$C$5,IF(AA233='Listas suspensas'!$A$6,'Listas suspensas'!$C$6,"")))))</f>
        <v>Indica a penetração uniforme, mas não total pela extensão do alburno.</v>
      </c>
      <c r="BD233" s="13">
        <v>0.89400000000000002</v>
      </c>
      <c r="BE233" s="18">
        <f t="shared" si="53"/>
        <v>894</v>
      </c>
      <c r="BF233" s="8">
        <v>0.26</v>
      </c>
      <c r="BG233" s="8">
        <v>0.13400000000000001</v>
      </c>
      <c r="BH233" s="8">
        <v>0.29799999999999999</v>
      </c>
      <c r="BI233" s="13">
        <f t="shared" si="54"/>
        <v>0.69199999999999995</v>
      </c>
      <c r="BJ233" s="14">
        <v>37.6</v>
      </c>
      <c r="BK233" s="14">
        <v>19.399999999999999</v>
      </c>
      <c r="BL233" s="14">
        <v>43</v>
      </c>
      <c r="BM233" s="16">
        <f t="shared" si="55"/>
        <v>100</v>
      </c>
      <c r="BN233" s="21">
        <f t="shared" si="56"/>
        <v>2.3199999999999998</v>
      </c>
      <c r="BO233" s="21">
        <f t="shared" si="57"/>
        <v>1.2</v>
      </c>
      <c r="BP233" s="21">
        <f t="shared" si="58"/>
        <v>2.66</v>
      </c>
      <c r="BQ233" s="14">
        <f t="shared" si="59"/>
        <v>6.18</v>
      </c>
      <c r="BR233" s="22" t="str">
        <f>IF(OR(AND(X233="Mourões", BQ233&gt;=6.5),AND(X233="Postes", BQ233&gt;=9.6),AND(X233="Dormentes", BQ233&gt;=9.6),AND(X233="Estacas", BQ233&gt;=6.5),AND(X233="Cruzetas", BQ233&gt;=6.5),AND(X233="Outros - Solo", BQ233&gt;=6.5),AND(X233="Outros - Suspenso",BQ233&gt;=4),AND(X233="Deck",BQ233&gt;=4)),'Listas suspensas'!$C$21,'Listas suspensas'!$C$22)</f>
        <v>Os resultados da análise química apresentaram uma retenção do produto inferior ao padrão mínimo exigido pela norma ABNT NBR 16143</v>
      </c>
    </row>
    <row r="234" spans="2:70" x14ac:dyDescent="0.25">
      <c r="B234" s="8" t="s">
        <v>634</v>
      </c>
      <c r="C234" s="8" t="s">
        <v>71</v>
      </c>
      <c r="F234" s="11">
        <v>45881</v>
      </c>
      <c r="G234" s="11">
        <v>45884</v>
      </c>
      <c r="H234" s="11">
        <v>45896</v>
      </c>
      <c r="I234" s="8" t="s">
        <v>630</v>
      </c>
      <c r="J234" s="8" t="s">
        <v>631</v>
      </c>
      <c r="K234" s="8" t="s">
        <v>74</v>
      </c>
      <c r="L234" s="8" t="s">
        <v>15</v>
      </c>
      <c r="M234" s="30" t="s">
        <v>632</v>
      </c>
      <c r="N234" s="8" t="s">
        <v>75</v>
      </c>
      <c r="O234" s="8" t="s">
        <v>76</v>
      </c>
      <c r="P234" s="28" t="s">
        <v>146</v>
      </c>
      <c r="Q234" s="16" t="s">
        <v>635</v>
      </c>
      <c r="X234" s="8" t="s">
        <v>101</v>
      </c>
      <c r="Y234" s="34">
        <f>IF(X234='Listas suspensas'!$A$21,'Listas suspensas'!$B$23,IF(X234='Listas suspensas'!$A$22,'Listas suspensas'!$B$23,IF(X234='Listas suspensas'!$A$23,'Listas suspensas'!$B$22,IF(X234='Listas suspensas'!$A$26,'Listas suspensas'!$B$22,IF(X234='Listas suspensas'!$A$32,'Listas suspensas'!$B$22,IF(X234='Listas suspensas'!$A$33,'Listas suspensas'!$B$21,IF(X234='Listas suspensas'!$A$24,'Listas suspensas'!$B$22,IF(X234='Listas suspensas'!$A$30,'Listas suspensas'!$B$21,""))))))))</f>
        <v>6.5</v>
      </c>
      <c r="Z234" s="8" t="s">
        <v>80</v>
      </c>
      <c r="AA234" s="8">
        <v>3</v>
      </c>
      <c r="AB234" s="8" t="str">
        <f>IF(AA234='Listas suspensas'!$A$2,'Listas suspensas'!$B$2,IF(AA234='Listas suspensas'!$A$3,'Listas suspensas'!$B$3,IF(AA234='Listas suspensas'!$A$4,'Listas suspensas'!$B$4,IF(AA234='Listas suspensas'!$A$5,'Listas suspensas'!$B$5,IF(AA234='Listas suspensas'!$A$6,'Listas suspensas'!$B$6,"")))))</f>
        <v xml:space="preserve"> Parcial e regular</v>
      </c>
      <c r="AC234" s="8" t="str">
        <f>IF(AA234='Listas suspensas'!$A$2,'Listas suspensas'!$C$2,IF(AA234='Listas suspensas'!$A$3,'Listas suspensas'!$C$3,IF(AA234='Listas suspensas'!$A$4,'Listas suspensas'!$C$4,IF(AA234='Listas suspensas'!$A$5,'Listas suspensas'!$C$5,IF(AA234='Listas suspensas'!$A$6,'Listas suspensas'!$C$6,"")))))</f>
        <v>Indica a penetração uniforme, mas não total pela extensão do alburno.</v>
      </c>
      <c r="BD234" s="13">
        <v>0.88400000000000001</v>
      </c>
      <c r="BE234" s="18">
        <f t="shared" si="53"/>
        <v>884</v>
      </c>
      <c r="BF234" s="8">
        <v>0.28999999999999998</v>
      </c>
      <c r="BG234" s="8">
        <v>0.161</v>
      </c>
      <c r="BH234" s="8">
        <v>0.33800000000000002</v>
      </c>
      <c r="BI234" s="13">
        <f t="shared" si="54"/>
        <v>0.78899999999999992</v>
      </c>
      <c r="BJ234" s="14">
        <v>36.700000000000003</v>
      </c>
      <c r="BK234" s="14">
        <v>20.399999999999999</v>
      </c>
      <c r="BL234" s="14">
        <v>42.9</v>
      </c>
      <c r="BM234" s="16">
        <f t="shared" si="55"/>
        <v>100</v>
      </c>
      <c r="BN234" s="21">
        <f t="shared" si="56"/>
        <v>2.56</v>
      </c>
      <c r="BO234" s="21">
        <f t="shared" si="57"/>
        <v>1.42</v>
      </c>
      <c r="BP234" s="21">
        <f t="shared" si="58"/>
        <v>2.99</v>
      </c>
      <c r="BQ234" s="14">
        <f t="shared" si="59"/>
        <v>6.97</v>
      </c>
      <c r="BR234" s="22" t="str">
        <f>IF(OR(AND(X234="Mourões", BQ234&gt;=6.5),AND(X234="Postes", BQ234&gt;=9.6),AND(X234="Dormentes", BQ234&gt;=9.6),AND(X234="Estacas", BQ234&gt;=6.5),AND(X234="Cruzetas", BQ234&gt;=6.5),AND(X234="Outros - Solo", BQ234&gt;=6.5),AND(X234="Outros - Suspenso",BQ234&gt;=4),AND(X234="Deck",BQ234&gt;=4)),'Listas suspensas'!$C$21,'Listas suspensas'!$C$22)</f>
        <v>Os resultados da análise química apresentaram uma retenção do produto de acordo com o padrão mínimo exigido pela norma ABNT NBR 16143</v>
      </c>
    </row>
    <row r="235" spans="2:70" x14ac:dyDescent="0.25">
      <c r="B235" s="8" t="s">
        <v>636</v>
      </c>
      <c r="C235" s="8" t="s">
        <v>71</v>
      </c>
      <c r="F235" s="11">
        <v>45881</v>
      </c>
      <c r="G235" s="11">
        <v>45884</v>
      </c>
      <c r="H235" s="11">
        <v>45896</v>
      </c>
      <c r="I235" s="8" t="s">
        <v>630</v>
      </c>
      <c r="J235" s="8" t="s">
        <v>631</v>
      </c>
      <c r="K235" s="8" t="s">
        <v>74</v>
      </c>
      <c r="L235" s="8" t="s">
        <v>15</v>
      </c>
      <c r="M235" s="30" t="s">
        <v>632</v>
      </c>
      <c r="N235" s="8" t="s">
        <v>75</v>
      </c>
      <c r="O235" s="8" t="s">
        <v>76</v>
      </c>
      <c r="P235" s="28" t="s">
        <v>146</v>
      </c>
      <c r="Q235" s="16" t="s">
        <v>637</v>
      </c>
      <c r="X235" s="8" t="s">
        <v>101</v>
      </c>
      <c r="Y235" s="34">
        <f>IF(X235='Listas suspensas'!$A$21,'Listas suspensas'!$B$23,IF(X235='Listas suspensas'!$A$22,'Listas suspensas'!$B$23,IF(X235='Listas suspensas'!$A$23,'Listas suspensas'!$B$22,IF(X235='Listas suspensas'!$A$26,'Listas suspensas'!$B$22,IF(X235='Listas suspensas'!$A$32,'Listas suspensas'!$B$22,IF(X235='Listas suspensas'!$A$33,'Listas suspensas'!$B$21,IF(X235='Listas suspensas'!$A$24,'Listas suspensas'!$B$22,IF(X235='Listas suspensas'!$A$30,'Listas suspensas'!$B$21,""))))))))</f>
        <v>6.5</v>
      </c>
      <c r="Z235" s="8" t="s">
        <v>80</v>
      </c>
      <c r="AA235" s="8">
        <v>3</v>
      </c>
      <c r="AB235" s="8" t="str">
        <f>IF(AA235='Listas suspensas'!$A$2,'Listas suspensas'!$B$2,IF(AA235='Listas suspensas'!$A$3,'Listas suspensas'!$B$3,IF(AA235='Listas suspensas'!$A$4,'Listas suspensas'!$B$4,IF(AA235='Listas suspensas'!$A$5,'Listas suspensas'!$B$5,IF(AA235='Listas suspensas'!$A$6,'Listas suspensas'!$B$6,"")))))</f>
        <v xml:space="preserve"> Parcial e regular</v>
      </c>
      <c r="AC235" s="8" t="str">
        <f>IF(AA235='Listas suspensas'!$A$2,'Listas suspensas'!$C$2,IF(AA235='Listas suspensas'!$A$3,'Listas suspensas'!$C$3,IF(AA235='Listas suspensas'!$A$4,'Listas suspensas'!$C$4,IF(AA235='Listas suspensas'!$A$5,'Listas suspensas'!$C$5,IF(AA235='Listas suspensas'!$A$6,'Listas suspensas'!$C$6,"")))))</f>
        <v>Indica a penetração uniforme, mas não total pela extensão do alburno.</v>
      </c>
      <c r="BD235" s="13">
        <v>0.94099999999999995</v>
      </c>
      <c r="BE235" s="18">
        <f t="shared" si="53"/>
        <v>941</v>
      </c>
      <c r="BF235" s="8">
        <v>0.26200000000000001</v>
      </c>
      <c r="BG235" s="8">
        <v>0.13900000000000001</v>
      </c>
      <c r="BH235" s="8">
        <v>0.25</v>
      </c>
      <c r="BI235" s="13">
        <f t="shared" si="54"/>
        <v>0.65100000000000002</v>
      </c>
      <c r="BJ235" s="14">
        <v>40.200000000000003</v>
      </c>
      <c r="BK235" s="14">
        <v>21.4</v>
      </c>
      <c r="BL235" s="14">
        <v>38.4</v>
      </c>
      <c r="BM235" s="16">
        <f t="shared" si="55"/>
        <v>100</v>
      </c>
      <c r="BN235" s="21">
        <f t="shared" si="56"/>
        <v>2.4700000000000002</v>
      </c>
      <c r="BO235" s="21">
        <f t="shared" si="57"/>
        <v>1.31</v>
      </c>
      <c r="BP235" s="21">
        <f t="shared" si="58"/>
        <v>2.35</v>
      </c>
      <c r="BQ235" s="14">
        <f t="shared" si="59"/>
        <v>6.13</v>
      </c>
      <c r="BR235" s="22" t="str">
        <f>IF(OR(AND(X235="Mourões", BQ235&gt;=6.5),AND(X235="Postes", BQ235&gt;=9.6),AND(X235="Dormentes", BQ235&gt;=9.6),AND(X235="Estacas", BQ235&gt;=6.5),AND(X235="Cruzetas", BQ235&gt;=6.5),AND(X235="Outros - Solo", BQ235&gt;=6.5),AND(X235="Outros - Suspenso",BQ235&gt;=4),AND(X235="Deck",BQ235&gt;=4)),'Listas suspensas'!$C$21,'Listas suspensas'!$C$22)</f>
        <v>Os resultados da análise química apresentaram uma retenção do produto inferior ao padrão mínimo exigido pela norma ABNT NBR 16143</v>
      </c>
    </row>
    <row r="236" spans="2:70" x14ac:dyDescent="0.25">
      <c r="B236" s="8" t="s">
        <v>638</v>
      </c>
      <c r="C236" s="8" t="s">
        <v>71</v>
      </c>
      <c r="F236" s="11">
        <v>45888</v>
      </c>
      <c r="G236" s="11">
        <v>45891</v>
      </c>
      <c r="H236" s="11">
        <v>45905</v>
      </c>
      <c r="I236" s="8" t="s">
        <v>130</v>
      </c>
      <c r="J236" s="8" t="s">
        <v>131</v>
      </c>
      <c r="K236" s="8" t="s">
        <v>74</v>
      </c>
      <c r="L236" s="8" t="s">
        <v>15</v>
      </c>
      <c r="M236" s="32" t="s">
        <v>132</v>
      </c>
      <c r="N236" s="8" t="s">
        <v>75</v>
      </c>
      <c r="O236" s="8" t="s">
        <v>76</v>
      </c>
      <c r="P236" s="28" t="s">
        <v>639</v>
      </c>
      <c r="Q236" s="16" t="s">
        <v>640</v>
      </c>
      <c r="X236" s="8" t="s">
        <v>79</v>
      </c>
      <c r="Y236" s="34">
        <f>IF(X236='Listas suspensas'!$A$21,'Listas suspensas'!$B$23,IF(X236='Listas suspensas'!$A$22,'Listas suspensas'!$B$23,IF(X236='Listas suspensas'!$A$23,'Listas suspensas'!$B$22,IF(X236='Listas suspensas'!$A$26,'Listas suspensas'!$B$22,IF(X236='Listas suspensas'!$A$32,'Listas suspensas'!$B$22,IF(X236='Listas suspensas'!$A$33,'Listas suspensas'!$B$21,IF(X236='Listas suspensas'!$A$24,'Listas suspensas'!$B$22,IF(X236='Listas suspensas'!$A$30,'Listas suspensas'!$B$21,""))))))))</f>
        <v>6.5</v>
      </c>
      <c r="Z236" s="8" t="s">
        <v>80</v>
      </c>
      <c r="AA236" s="8">
        <v>2</v>
      </c>
      <c r="AB236" s="8" t="str">
        <f>IF(AA236='Listas suspensas'!$A$2,'Listas suspensas'!$B$2,IF(AA236='Listas suspensas'!$A$3,'Listas suspensas'!$B$3,IF(AA236='Listas suspensas'!$A$4,'Listas suspensas'!$B$4,IF(AA236='Listas suspensas'!$A$5,'Listas suspensas'!$B$5,IF(AA236='Listas suspensas'!$A$6,'Listas suspensas'!$B$6,"")))))</f>
        <v>Profunda e irregular</v>
      </c>
      <c r="AC236" s="8" t="str">
        <f>IF(AA236='Listas suspensas'!$A$2,'Listas suspensas'!$C$2,IF(AA236='Listas suspensas'!$A$3,'Listas suspensas'!$C$3,IF(AA236='Listas suspensas'!$A$4,'Listas suspensas'!$C$4,IF(AA236='Listas suspensas'!$A$5,'Listas suspensas'!$C$5,IF(AA236='Listas suspensas'!$A$6,'Listas suspensas'!$C$6,"")))))</f>
        <v>Indica a penetração profunda, mas desuniforme em toda a extensão do alburno.</v>
      </c>
      <c r="BD236" s="13">
        <v>0.68700000000000006</v>
      </c>
      <c r="BE236" s="18">
        <f t="shared" si="53"/>
        <v>687</v>
      </c>
      <c r="BF236" s="8">
        <v>0.19800000000000001</v>
      </c>
      <c r="BG236" s="8">
        <v>0.11899999999999999</v>
      </c>
      <c r="BH236" s="8">
        <v>0.22900000000000001</v>
      </c>
      <c r="BI236" s="13">
        <f t="shared" si="54"/>
        <v>0.54600000000000004</v>
      </c>
      <c r="BJ236" s="14">
        <v>36.200000000000003</v>
      </c>
      <c r="BK236" s="14">
        <v>21.8</v>
      </c>
      <c r="BL236" s="14">
        <v>42</v>
      </c>
      <c r="BM236" s="16">
        <f t="shared" si="55"/>
        <v>100</v>
      </c>
      <c r="BN236" s="21">
        <f t="shared" si="56"/>
        <v>1.36</v>
      </c>
      <c r="BO236" s="21">
        <f t="shared" si="57"/>
        <v>0.82</v>
      </c>
      <c r="BP236" s="21">
        <f t="shared" si="58"/>
        <v>1.57</v>
      </c>
      <c r="BQ236" s="14">
        <f t="shared" si="59"/>
        <v>3.75</v>
      </c>
      <c r="BR236" s="22" t="str">
        <f>IF(OR(AND(X236="Mourões", BQ236&gt;=6.5),AND(X236="Postes", BQ236&gt;=9.6),AND(X236="Dormentes", BQ236&gt;=9.6),AND(X236="Estacas", BQ236&gt;=6.5),AND(X236="Cruzetas", BQ236&gt;=6.5),AND(X236="Outros - Solo", BQ236&gt;=6.5),AND(X236="Outros - Suspenso",BQ236&gt;=4),AND(X236="Deck",BQ236&gt;=4)),'Listas suspensas'!$C$21,'Listas suspensas'!$C$22)</f>
        <v>Os resultados da análise química apresentaram uma retenção do produto inferior ao padrão mínimo exigido pela norma ABNT NBR 16143</v>
      </c>
    </row>
    <row r="237" spans="2:70" x14ac:dyDescent="0.25">
      <c r="B237" s="8" t="s">
        <v>641</v>
      </c>
      <c r="C237" s="8" t="s">
        <v>71</v>
      </c>
      <c r="F237" s="11">
        <v>45888</v>
      </c>
      <c r="G237" s="11">
        <v>45891</v>
      </c>
      <c r="H237" s="11">
        <v>45905</v>
      </c>
      <c r="I237" s="8" t="s">
        <v>130</v>
      </c>
      <c r="J237" s="8" t="s">
        <v>131</v>
      </c>
      <c r="K237" s="8" t="s">
        <v>74</v>
      </c>
      <c r="L237" s="8" t="s">
        <v>15</v>
      </c>
      <c r="M237" s="32" t="s">
        <v>132</v>
      </c>
      <c r="N237" s="8" t="s">
        <v>75</v>
      </c>
      <c r="O237" s="8" t="s">
        <v>76</v>
      </c>
      <c r="P237" s="28" t="s">
        <v>215</v>
      </c>
      <c r="Q237" s="16" t="s">
        <v>642</v>
      </c>
      <c r="X237" s="8" t="s">
        <v>98</v>
      </c>
      <c r="Y237" s="34">
        <f>IF(X237='Listas suspensas'!$A$21,'Listas suspensas'!$B$23,IF(X237='Listas suspensas'!$A$22,'Listas suspensas'!$B$23,IF(X237='Listas suspensas'!$A$23,'Listas suspensas'!$B$22,IF(X237='Listas suspensas'!$A$26,'Listas suspensas'!$B$22,IF(X237='Listas suspensas'!$A$32,'Listas suspensas'!$B$22,IF(X237='Listas suspensas'!$A$33,'Listas suspensas'!$B$21,IF(X237='Listas suspensas'!$A$24,'Listas suspensas'!$B$22,IF(X237='Listas suspensas'!$A$30,'Listas suspensas'!$B$21,""))))))))</f>
        <v>9.6</v>
      </c>
      <c r="Z237" s="8" t="s">
        <v>80</v>
      </c>
      <c r="AA237" s="8">
        <v>4</v>
      </c>
      <c r="AB237" s="8" t="str">
        <f>IF(AA237='Listas suspensas'!$A$2,'Listas suspensas'!$B$2,IF(AA237='Listas suspensas'!$A$3,'Listas suspensas'!$B$3,IF(AA237='Listas suspensas'!$A$4,'Listas suspensas'!$B$4,IF(AA237='Listas suspensas'!$A$5,'Listas suspensas'!$B$5,IF(AA237='Listas suspensas'!$A$6,'Listas suspensas'!$B$6,"")))))</f>
        <v>Parcial e irregular</v>
      </c>
      <c r="AC237" s="8" t="str">
        <f>IF(AA237='Listas suspensas'!$A$2,'Listas suspensas'!$C$2,IF(AA237='Listas suspensas'!$A$3,'Listas suspensas'!$C$3,IF(AA237='Listas suspensas'!$A$4,'Listas suspensas'!$C$4,IF(AA237='Listas suspensas'!$A$5,'Listas suspensas'!$C$5,IF(AA237='Listas suspensas'!$A$6,'Listas suspensas'!$C$6,"")))))</f>
        <v>Indica a penetração desuniforme e não total pela extensão do alburno.</v>
      </c>
      <c r="BD237" s="13">
        <v>0.86599999999999999</v>
      </c>
      <c r="BE237" s="18">
        <f t="shared" si="53"/>
        <v>866</v>
      </c>
      <c r="BF237" s="8">
        <v>0.153</v>
      </c>
      <c r="BG237" s="8">
        <v>0.04</v>
      </c>
      <c r="BH237" s="8">
        <v>4.1000000000000002E-2</v>
      </c>
      <c r="BI237" s="13">
        <f t="shared" si="54"/>
        <v>0.23400000000000001</v>
      </c>
      <c r="BJ237" s="14">
        <v>65.400000000000006</v>
      </c>
      <c r="BK237" s="14">
        <v>17.100000000000001</v>
      </c>
      <c r="BL237" s="14">
        <v>17.5</v>
      </c>
      <c r="BM237" s="16">
        <f t="shared" si="55"/>
        <v>100</v>
      </c>
      <c r="BN237" s="21">
        <f t="shared" si="56"/>
        <v>1.32</v>
      </c>
      <c r="BO237" s="21">
        <f t="shared" si="57"/>
        <v>0.35</v>
      </c>
      <c r="BP237" s="21">
        <f t="shared" si="58"/>
        <v>0.36</v>
      </c>
      <c r="BQ237" s="14">
        <f t="shared" si="59"/>
        <v>2.0299999999999998</v>
      </c>
      <c r="BR237" s="22" t="str">
        <f>IF(OR(AND(X237="Mourões", BQ237&gt;=6.5),AND(X237="Postes", BQ237&gt;=9.6),AND(X237="Dormentes", BQ237&gt;=9.6),AND(X237="Estacas", BQ237&gt;=6.5),AND(X237="Cruzetas", BQ237&gt;=6.5),AND(X237="Outros - Solo", BQ237&gt;=6.5),AND(X237="Outros - Suspenso",BQ237&gt;=4),AND(X237="Deck",BQ237&gt;=4)),'Listas suspensas'!$C$21,'Listas suspensas'!$C$22)</f>
        <v>Os resultados da análise química apresentaram uma retenção do produto inferior ao padrão mínimo exigido pela norma ABNT NBR 16143</v>
      </c>
    </row>
    <row r="238" spans="2:70" x14ac:dyDescent="0.25">
      <c r="B238" s="8" t="s">
        <v>643</v>
      </c>
      <c r="C238" s="8" t="s">
        <v>71</v>
      </c>
      <c r="F238" s="11">
        <v>45888</v>
      </c>
      <c r="G238" s="11">
        <v>45891</v>
      </c>
      <c r="H238" s="11">
        <v>45905</v>
      </c>
      <c r="I238" s="8" t="s">
        <v>130</v>
      </c>
      <c r="J238" s="8" t="s">
        <v>131</v>
      </c>
      <c r="K238" s="8" t="s">
        <v>74</v>
      </c>
      <c r="L238" s="8" t="s">
        <v>15</v>
      </c>
      <c r="M238" s="32" t="s">
        <v>132</v>
      </c>
      <c r="N238" s="8" t="s">
        <v>75</v>
      </c>
      <c r="O238" s="8" t="s">
        <v>76</v>
      </c>
      <c r="P238" s="28" t="s">
        <v>215</v>
      </c>
      <c r="Q238" s="16" t="s">
        <v>644</v>
      </c>
      <c r="X238" s="8" t="s">
        <v>79</v>
      </c>
      <c r="Y238" s="34">
        <f>IF(X238='Listas suspensas'!$A$21,'Listas suspensas'!$B$23,IF(X238='Listas suspensas'!$A$22,'Listas suspensas'!$B$23,IF(X238='Listas suspensas'!$A$23,'Listas suspensas'!$B$22,IF(X238='Listas suspensas'!$A$26,'Listas suspensas'!$B$22,IF(X238='Listas suspensas'!$A$32,'Listas suspensas'!$B$22,IF(X238='Listas suspensas'!$A$33,'Listas suspensas'!$B$21,IF(X238='Listas suspensas'!$A$24,'Listas suspensas'!$B$22,IF(X238='Listas suspensas'!$A$30,'Listas suspensas'!$B$21,""))))))))</f>
        <v>6.5</v>
      </c>
      <c r="Z238" s="8" t="s">
        <v>80</v>
      </c>
      <c r="AA238" s="8">
        <v>4</v>
      </c>
      <c r="AB238" s="8" t="str">
        <f>IF(AA238='Listas suspensas'!$A$2,'Listas suspensas'!$B$2,IF(AA238='Listas suspensas'!$A$3,'Listas suspensas'!$B$3,IF(AA238='Listas suspensas'!$A$4,'Listas suspensas'!$B$4,IF(AA238='Listas suspensas'!$A$5,'Listas suspensas'!$B$5,IF(AA238='Listas suspensas'!$A$6,'Listas suspensas'!$B$6,"")))))</f>
        <v>Parcial e irregular</v>
      </c>
      <c r="AC238" s="8" t="str">
        <f>IF(AA238='Listas suspensas'!$A$2,'Listas suspensas'!$C$2,IF(AA238='Listas suspensas'!$A$3,'Listas suspensas'!$C$3,IF(AA238='Listas suspensas'!$A$4,'Listas suspensas'!$C$4,IF(AA238='Listas suspensas'!$A$5,'Listas suspensas'!$C$5,IF(AA238='Listas suspensas'!$A$6,'Listas suspensas'!$C$6,"")))))</f>
        <v>Indica a penetração desuniforme e não total pela extensão do alburno.</v>
      </c>
      <c r="BD238" s="13">
        <v>0.871</v>
      </c>
      <c r="BE238" s="14">
        <f t="shared" si="53"/>
        <v>871</v>
      </c>
      <c r="BF238" s="8">
        <v>0.186</v>
      </c>
      <c r="BG238" s="8">
        <v>4.9000000000000002E-2</v>
      </c>
      <c r="BH238" s="8">
        <v>6.4000000000000001E-2</v>
      </c>
      <c r="BI238" s="13">
        <f t="shared" si="54"/>
        <v>0.29899999999999999</v>
      </c>
      <c r="BJ238" s="14">
        <v>62.1</v>
      </c>
      <c r="BK238" s="14">
        <v>16.399999999999999</v>
      </c>
      <c r="BL238" s="14">
        <v>21.5</v>
      </c>
      <c r="BM238" s="16">
        <f t="shared" si="55"/>
        <v>100</v>
      </c>
      <c r="BN238" s="21">
        <f t="shared" si="56"/>
        <v>1.62</v>
      </c>
      <c r="BO238" s="21">
        <f t="shared" si="57"/>
        <v>0.43</v>
      </c>
      <c r="BP238" s="21">
        <f t="shared" si="58"/>
        <v>0.56000000000000005</v>
      </c>
      <c r="BQ238" s="14">
        <f t="shared" si="59"/>
        <v>2.61</v>
      </c>
      <c r="BR238" s="22" t="str">
        <f>IF(OR(AND(X238="Mourões", BQ238&gt;=6.5),AND(X238="Postes", BQ238&gt;=9.6),AND(X238="Dormentes", BQ238&gt;=9.6),AND(X238="Estacas", BQ238&gt;=6.5),AND(X238="Cruzetas", BQ238&gt;=6.5),AND(X238="Outros - Solo", BQ238&gt;=6.5),AND(X238="Outros - Suspenso",BQ238&gt;=4),AND(X238="Deck",BQ238&gt;=4)),'Listas suspensas'!$C$21,'Listas suspensas'!$C$22)</f>
        <v>Os resultados da análise química apresentaram uma retenção do produto inferior ao padrão mínimo exigido pela norma ABNT NBR 16143</v>
      </c>
    </row>
    <row r="239" spans="2:70" x14ac:dyDescent="0.25">
      <c r="B239" s="8" t="s">
        <v>645</v>
      </c>
      <c r="C239" s="8" t="s">
        <v>71</v>
      </c>
      <c r="F239" s="11">
        <v>45883</v>
      </c>
      <c r="G239" s="11">
        <v>45887</v>
      </c>
      <c r="H239" s="11">
        <v>45896</v>
      </c>
      <c r="I239" s="8" t="s">
        <v>466</v>
      </c>
      <c r="J239" s="8" t="s">
        <v>467</v>
      </c>
      <c r="K239" s="8" t="s">
        <v>144</v>
      </c>
      <c r="L239" s="8" t="s">
        <v>15</v>
      </c>
      <c r="N239" s="8" t="s">
        <v>75</v>
      </c>
      <c r="O239" s="8" t="s">
        <v>104</v>
      </c>
      <c r="P239" s="28" t="s">
        <v>471</v>
      </c>
      <c r="Q239" s="16" t="s">
        <v>646</v>
      </c>
      <c r="X239" s="8" t="s">
        <v>101</v>
      </c>
      <c r="Y239" s="34">
        <f>IF(X239='Listas suspensas'!$A$21,'Listas suspensas'!$B$23,IF(X239='Listas suspensas'!$A$22,'Listas suspensas'!$B$23,IF(X239='Listas suspensas'!$A$23,'Listas suspensas'!$B$22,IF(X239='Listas suspensas'!$A$26,'Listas suspensas'!$B$22,IF(X239='Listas suspensas'!$A$32,'Listas suspensas'!$B$22,IF(X239='Listas suspensas'!$A$33,'Listas suspensas'!$B$21,IF(X239='Listas suspensas'!$A$24,'Listas suspensas'!$B$22,IF(X239='Listas suspensas'!$A$30,'Listas suspensas'!$B$21,""))))))))</f>
        <v>6.5</v>
      </c>
      <c r="Z239" s="8" t="s">
        <v>80</v>
      </c>
      <c r="AA239" s="8">
        <v>1</v>
      </c>
      <c r="AB239" s="8" t="str">
        <f>IF(AA239='Listas suspensas'!$A$2,'Listas suspensas'!$B$2,IF(AA239='Listas suspensas'!$A$3,'Listas suspensas'!$B$3,IF(AA239='Listas suspensas'!$A$4,'Listas suspensas'!$B$4,IF(AA239='Listas suspensas'!$A$5,'Listas suspensas'!$B$5,IF(AA239='Listas suspensas'!$A$6,'Listas suspensas'!$B$6,"")))))</f>
        <v>Profunda e regular</v>
      </c>
      <c r="AC239" s="8" t="str">
        <f>IF(AA239='Listas suspensas'!$A$2,'Listas suspensas'!$C$2,IF(AA239='Listas suspensas'!$A$3,'Listas suspensas'!$C$3,IF(AA239='Listas suspensas'!$A$4,'Listas suspensas'!$C$4,IF(AA239='Listas suspensas'!$A$5,'Listas suspensas'!$C$5,IF(AA239='Listas suspensas'!$A$6,'Listas suspensas'!$C$6,"")))))</f>
        <v>Indica a penetração profunda e uniforme em toda a extensão do alburno.</v>
      </c>
      <c r="BD239" s="13">
        <v>0.46500000000000002</v>
      </c>
      <c r="BE239" s="18">
        <f t="shared" si="53"/>
        <v>465</v>
      </c>
      <c r="BF239" s="8">
        <v>0.35399999999999998</v>
      </c>
      <c r="BG239" s="8">
        <v>0.151</v>
      </c>
      <c r="BH239" s="8">
        <v>0.32</v>
      </c>
      <c r="BI239" s="13">
        <f t="shared" si="54"/>
        <v>0.82499999999999996</v>
      </c>
      <c r="BJ239" s="14">
        <v>42.9</v>
      </c>
      <c r="BK239" s="14">
        <v>18.3</v>
      </c>
      <c r="BL239" s="14">
        <v>38.799999999999997</v>
      </c>
      <c r="BM239" s="16">
        <f t="shared" si="55"/>
        <v>100</v>
      </c>
      <c r="BN239" s="21">
        <f t="shared" si="56"/>
        <v>1.65</v>
      </c>
      <c r="BO239" s="21">
        <f t="shared" si="57"/>
        <v>0.7</v>
      </c>
      <c r="BP239" s="21">
        <f t="shared" si="58"/>
        <v>1.49</v>
      </c>
      <c r="BQ239" s="14">
        <f t="shared" si="59"/>
        <v>3.84</v>
      </c>
      <c r="BR239" s="22" t="str">
        <f>IF(OR(AND(X239="Mourões", BQ239&gt;=6.5),AND(X239="Postes", BQ239&gt;=9.6),AND(X239="Dormentes", BQ239&gt;=9.6),AND(X239="Estacas", BQ239&gt;=6.5),AND(X239="Cruzetas", BQ239&gt;=6.5),AND(X239="Outros - Solo", BQ239&gt;=6.5),AND(X239="Outros - Suspenso",BQ239&gt;=4),AND(X239="Deck",BQ239&gt;=4)),'Listas suspensas'!$C$21,'Listas suspensas'!$C$22)</f>
        <v>Os resultados da análise química apresentaram uma retenção do produto inferior ao padrão mínimo exigido pela norma ABNT NBR 16143</v>
      </c>
    </row>
    <row r="240" spans="2:70" x14ac:dyDescent="0.25">
      <c r="B240" s="8" t="s">
        <v>647</v>
      </c>
      <c r="C240" s="8" t="s">
        <v>71</v>
      </c>
      <c r="F240" s="11">
        <v>45883</v>
      </c>
      <c r="G240" s="11">
        <v>45887</v>
      </c>
      <c r="H240" s="11">
        <v>45896</v>
      </c>
      <c r="I240" s="8" t="s">
        <v>466</v>
      </c>
      <c r="J240" s="8" t="s">
        <v>467</v>
      </c>
      <c r="K240" s="8" t="s">
        <v>144</v>
      </c>
      <c r="L240" s="8" t="s">
        <v>15</v>
      </c>
      <c r="N240" s="8" t="s">
        <v>75</v>
      </c>
      <c r="O240" s="8" t="s">
        <v>104</v>
      </c>
      <c r="P240" s="28" t="s">
        <v>471</v>
      </c>
      <c r="Q240" s="16" t="s">
        <v>648</v>
      </c>
      <c r="X240" s="8" t="s">
        <v>473</v>
      </c>
      <c r="Y240" s="34">
        <f>IF(X240='Listas suspensas'!$A$21,'Listas suspensas'!$B$23,IF(X240='Listas suspensas'!$A$22,'Listas suspensas'!$B$23,IF(X240='Listas suspensas'!$A$23,'Listas suspensas'!$B$22,IF(X240='Listas suspensas'!$A$26,'Listas suspensas'!$B$22,IF(X240='Listas suspensas'!$A$32,'Listas suspensas'!$B$22,IF(X240='Listas suspensas'!$A$33,'Listas suspensas'!$B$21,IF(X240='Listas suspensas'!$A$24,'Listas suspensas'!$B$22,IF(X240='Listas suspensas'!$A$30,'Listas suspensas'!$B$21,""))))))))</f>
        <v>4</v>
      </c>
      <c r="Z240" s="8" t="s">
        <v>80</v>
      </c>
      <c r="AA240" s="8">
        <v>2</v>
      </c>
      <c r="AB240" s="8" t="str">
        <f>IF(AA240='Listas suspensas'!$A$2,'Listas suspensas'!$B$2,IF(AA240='Listas suspensas'!$A$3,'Listas suspensas'!$B$3,IF(AA240='Listas suspensas'!$A$4,'Listas suspensas'!$B$4,IF(AA240='Listas suspensas'!$A$5,'Listas suspensas'!$B$5,IF(AA240='Listas suspensas'!$A$6,'Listas suspensas'!$B$6,"")))))</f>
        <v>Profunda e irregular</v>
      </c>
      <c r="AC240" s="8" t="str">
        <f>IF(AA240='Listas suspensas'!$A$2,'Listas suspensas'!$C$2,IF(AA240='Listas suspensas'!$A$3,'Listas suspensas'!$C$3,IF(AA240='Listas suspensas'!$A$4,'Listas suspensas'!$C$4,IF(AA240='Listas suspensas'!$A$5,'Listas suspensas'!$C$5,IF(AA240='Listas suspensas'!$A$6,'Listas suspensas'!$C$6,"")))))</f>
        <v>Indica a penetração profunda, mas desuniforme em toda a extensão do alburno.</v>
      </c>
      <c r="BD240" s="13">
        <v>0.64400000000000002</v>
      </c>
      <c r="BE240" s="18">
        <f t="shared" si="53"/>
        <v>644</v>
      </c>
      <c r="BF240" s="8">
        <v>0.24399999999999999</v>
      </c>
      <c r="BG240" s="8">
        <v>0.13400000000000001</v>
      </c>
      <c r="BH240" s="8">
        <v>0.26200000000000001</v>
      </c>
      <c r="BI240" s="13">
        <f t="shared" si="54"/>
        <v>0.64</v>
      </c>
      <c r="BJ240" s="14">
        <v>38.200000000000003</v>
      </c>
      <c r="BK240" s="14">
        <v>20.9</v>
      </c>
      <c r="BL240" s="14">
        <v>40.9</v>
      </c>
      <c r="BM240" s="16">
        <f t="shared" si="55"/>
        <v>100</v>
      </c>
      <c r="BN240" s="21">
        <f t="shared" si="56"/>
        <v>1.57</v>
      </c>
      <c r="BO240" s="21">
        <f t="shared" si="57"/>
        <v>0.86</v>
      </c>
      <c r="BP240" s="21">
        <f t="shared" si="58"/>
        <v>1.69</v>
      </c>
      <c r="BQ240" s="14">
        <f t="shared" si="59"/>
        <v>4.12</v>
      </c>
      <c r="BR240" s="22" t="str">
        <f>IF(OR(AND(X240="Mourões", BQ240&gt;=6.5),AND(X240="Postes", BQ240&gt;=9.6),AND(X240="Dormentes", BQ240&gt;=9.6),AND(X240="Estacas", BQ240&gt;=6.5),AND(X240="Cruzetas", BQ240&gt;=6.5),AND(X240="Outros - Solo", BQ240&gt;=6.5),AND(X240="Outros - Suspenso",BQ240&gt;=4),AND(X240="Deck",BQ240&gt;=4)),'Listas suspensas'!$C$21,'Listas suspensas'!$C$22)</f>
        <v>Os resultados da análise química apresentaram uma retenção do produto de acordo com o padrão mínimo exigido pela norma ABNT NBR 16143</v>
      </c>
    </row>
    <row r="241" spans="2:70" x14ac:dyDescent="0.25">
      <c r="B241" s="8" t="s">
        <v>649</v>
      </c>
      <c r="C241" s="8" t="s">
        <v>71</v>
      </c>
      <c r="F241" s="11">
        <v>45883</v>
      </c>
      <c r="G241" s="11">
        <v>45887</v>
      </c>
      <c r="H241" s="11">
        <v>45896</v>
      </c>
      <c r="I241" s="8" t="s">
        <v>466</v>
      </c>
      <c r="J241" s="8" t="s">
        <v>467</v>
      </c>
      <c r="K241" s="8" t="s">
        <v>144</v>
      </c>
      <c r="L241" s="8" t="s">
        <v>15</v>
      </c>
      <c r="N241" s="8" t="s">
        <v>75</v>
      </c>
      <c r="O241" s="8" t="s">
        <v>104</v>
      </c>
      <c r="P241" s="28" t="s">
        <v>471</v>
      </c>
      <c r="Q241" s="16" t="s">
        <v>650</v>
      </c>
      <c r="X241" s="8" t="s">
        <v>473</v>
      </c>
      <c r="Y241" s="34">
        <f>IF(X241='Listas suspensas'!$A$21,'Listas suspensas'!$B$23,IF(X241='Listas suspensas'!$A$22,'Listas suspensas'!$B$23,IF(X241='Listas suspensas'!$A$23,'Listas suspensas'!$B$22,IF(X241='Listas suspensas'!$A$26,'Listas suspensas'!$B$22,IF(X241='Listas suspensas'!$A$32,'Listas suspensas'!$B$22,IF(X241='Listas suspensas'!$A$33,'Listas suspensas'!$B$21,IF(X241='Listas suspensas'!$A$24,'Listas suspensas'!$B$22,IF(X241='Listas suspensas'!$A$30,'Listas suspensas'!$B$21,""))))))))</f>
        <v>4</v>
      </c>
      <c r="Z241" s="8" t="s">
        <v>80</v>
      </c>
      <c r="AA241" s="8">
        <v>2</v>
      </c>
      <c r="AB241" s="8" t="str">
        <f>IF(AA241='Listas suspensas'!$A$2,'Listas suspensas'!$B$2,IF(AA241='Listas suspensas'!$A$3,'Listas suspensas'!$B$3,IF(AA241='Listas suspensas'!$A$4,'Listas suspensas'!$B$4,IF(AA241='Listas suspensas'!$A$5,'Listas suspensas'!$B$5,IF(AA241='Listas suspensas'!$A$6,'Listas suspensas'!$B$6,"")))))</f>
        <v>Profunda e irregular</v>
      </c>
      <c r="AC241" s="8" t="str">
        <f>IF(AA241='Listas suspensas'!$A$2,'Listas suspensas'!$C$2,IF(AA241='Listas suspensas'!$A$3,'Listas suspensas'!$C$3,IF(AA241='Listas suspensas'!$A$4,'Listas suspensas'!$C$4,IF(AA241='Listas suspensas'!$A$5,'Listas suspensas'!$C$5,IF(AA241='Listas suspensas'!$A$6,'Listas suspensas'!$C$6,"")))))</f>
        <v>Indica a penetração profunda, mas desuniforme em toda a extensão do alburno.</v>
      </c>
      <c r="BD241" s="13">
        <v>0.43</v>
      </c>
      <c r="BE241" s="18">
        <f t="shared" si="53"/>
        <v>430</v>
      </c>
      <c r="BF241" s="8">
        <v>0.34599999999999997</v>
      </c>
      <c r="BG241" s="8">
        <v>0.159</v>
      </c>
      <c r="BH241" s="8">
        <v>0.28399999999999997</v>
      </c>
      <c r="BI241" s="13">
        <f t="shared" si="54"/>
        <v>0.78899999999999992</v>
      </c>
      <c r="BJ241" s="14">
        <v>43.9</v>
      </c>
      <c r="BK241" s="14">
        <v>20.2</v>
      </c>
      <c r="BL241" s="14">
        <v>35.9</v>
      </c>
      <c r="BM241" s="16">
        <f t="shared" si="55"/>
        <v>100</v>
      </c>
      <c r="BN241" s="21">
        <f t="shared" si="56"/>
        <v>1.49</v>
      </c>
      <c r="BO241" s="21">
        <f t="shared" si="57"/>
        <v>0.68</v>
      </c>
      <c r="BP241" s="21">
        <f t="shared" si="58"/>
        <v>1.22</v>
      </c>
      <c r="BQ241" s="14">
        <f t="shared" si="59"/>
        <v>3.39</v>
      </c>
      <c r="BR241" s="22" t="str">
        <f>IF(OR(AND(X241="Mourões", BQ241&gt;=6.5),AND(X241="Postes", BQ241&gt;=9.6),AND(X241="Dormentes", BQ241&gt;=9.6),AND(X241="Estacas", BQ241&gt;=6.5),AND(X241="Cruzetas", BQ241&gt;=6.5),AND(X241="Outros - Solo", BQ241&gt;=6.5),AND(X241="Outros - Suspenso",BQ241&gt;=4),AND(X241="Deck",BQ241&gt;=4)),'Listas suspensas'!$C$21,'Listas suspensas'!$C$22)</f>
        <v>Os resultados da análise química apresentaram uma retenção do produto inferior ao padrão mínimo exigido pela norma ABNT NBR 16143</v>
      </c>
    </row>
    <row r="242" spans="2:70" x14ac:dyDescent="0.25">
      <c r="B242" s="8" t="s">
        <v>651</v>
      </c>
      <c r="C242" s="8" t="s">
        <v>71</v>
      </c>
      <c r="F242" s="11">
        <v>45883</v>
      </c>
      <c r="G242" s="11">
        <v>45887</v>
      </c>
      <c r="H242" s="11">
        <v>45896</v>
      </c>
      <c r="I242" s="8" t="s">
        <v>466</v>
      </c>
      <c r="J242" s="8" t="s">
        <v>467</v>
      </c>
      <c r="K242" s="8" t="s">
        <v>144</v>
      </c>
      <c r="L242" s="8" t="s">
        <v>15</v>
      </c>
      <c r="N242" s="8" t="s">
        <v>75</v>
      </c>
      <c r="O242" s="8" t="s">
        <v>104</v>
      </c>
      <c r="P242" s="28" t="s">
        <v>471</v>
      </c>
      <c r="Q242" s="16" t="s">
        <v>652</v>
      </c>
      <c r="X242" s="8" t="s">
        <v>101</v>
      </c>
      <c r="Y242" s="34">
        <f>IF(X242='Listas suspensas'!$A$21,'Listas suspensas'!$B$23,IF(X242='Listas suspensas'!$A$22,'Listas suspensas'!$B$23,IF(X242='Listas suspensas'!$A$23,'Listas suspensas'!$B$22,IF(X242='Listas suspensas'!$A$26,'Listas suspensas'!$B$22,IF(X242='Listas suspensas'!$A$32,'Listas suspensas'!$B$22,IF(X242='Listas suspensas'!$A$33,'Listas suspensas'!$B$21,IF(X242='Listas suspensas'!$A$24,'Listas suspensas'!$B$22,IF(X242='Listas suspensas'!$A$30,'Listas suspensas'!$B$21,""))))))))</f>
        <v>6.5</v>
      </c>
      <c r="Z242" s="8" t="s">
        <v>80</v>
      </c>
      <c r="AA242" s="8">
        <v>2</v>
      </c>
      <c r="AB242" s="8" t="str">
        <f>IF(AA242='Listas suspensas'!$A$2,'Listas suspensas'!$B$2,IF(AA242='Listas suspensas'!$A$3,'Listas suspensas'!$B$3,IF(AA242='Listas suspensas'!$A$4,'Listas suspensas'!$B$4,IF(AA242='Listas suspensas'!$A$5,'Listas suspensas'!$B$5,IF(AA242='Listas suspensas'!$A$6,'Listas suspensas'!$B$6,"")))))</f>
        <v>Profunda e irregular</v>
      </c>
      <c r="AC242" s="8" t="str">
        <f>IF(AA242='Listas suspensas'!$A$2,'Listas suspensas'!$C$2,IF(AA242='Listas suspensas'!$A$3,'Listas suspensas'!$C$3,IF(AA242='Listas suspensas'!$A$4,'Listas suspensas'!$C$4,IF(AA242='Listas suspensas'!$A$5,'Listas suspensas'!$C$5,IF(AA242='Listas suspensas'!$A$6,'Listas suspensas'!$C$6,"")))))</f>
        <v>Indica a penetração profunda, mas desuniforme em toda a extensão do alburno.</v>
      </c>
      <c r="BD242" s="13">
        <v>0.48399999999999999</v>
      </c>
      <c r="BE242" s="18">
        <f t="shared" si="53"/>
        <v>484</v>
      </c>
      <c r="BF242" s="8">
        <v>0.39400000000000002</v>
      </c>
      <c r="BG242" s="8">
        <v>0.16700000000000001</v>
      </c>
      <c r="BH242" s="8">
        <v>0.34799999999999998</v>
      </c>
      <c r="BI242" s="13">
        <f t="shared" si="54"/>
        <v>0.90900000000000003</v>
      </c>
      <c r="BJ242" s="14">
        <v>43.3</v>
      </c>
      <c r="BK242" s="14">
        <v>18.399999999999999</v>
      </c>
      <c r="BL242" s="14">
        <v>38.299999999999997</v>
      </c>
      <c r="BM242" s="16">
        <f t="shared" si="55"/>
        <v>100</v>
      </c>
      <c r="BN242" s="21">
        <f t="shared" si="56"/>
        <v>1.91</v>
      </c>
      <c r="BO242" s="21">
        <f t="shared" si="57"/>
        <v>0.81</v>
      </c>
      <c r="BP242" s="21">
        <f t="shared" si="58"/>
        <v>1.68</v>
      </c>
      <c r="BQ242" s="14">
        <f t="shared" si="59"/>
        <v>4.4000000000000004</v>
      </c>
      <c r="BR242" s="22" t="str">
        <f>IF(OR(AND(X242="Mourões", BQ242&gt;=6.5),AND(X242="Postes", BQ242&gt;=9.6),AND(X242="Dormentes", BQ242&gt;=9.6),AND(X242="Estacas", BQ242&gt;=6.5),AND(X242="Cruzetas", BQ242&gt;=6.5),AND(X242="Outros - Solo", BQ242&gt;=6.5),AND(X242="Outros - Suspenso",BQ242&gt;=4),AND(X242="Deck",BQ242&gt;=4)),'Listas suspensas'!$C$21,'Listas suspensas'!$C$22)</f>
        <v>Os resultados da análise química apresentaram uma retenção do produto inferior ao padrão mínimo exigido pela norma ABNT NBR 16143</v>
      </c>
    </row>
    <row r="243" spans="2:70" x14ac:dyDescent="0.25">
      <c r="B243" s="8" t="s">
        <v>653</v>
      </c>
      <c r="C243" s="8" t="s">
        <v>71</v>
      </c>
      <c r="F243" s="11">
        <v>45883</v>
      </c>
      <c r="G243" s="11">
        <v>45887</v>
      </c>
      <c r="H243" s="11">
        <v>45896</v>
      </c>
      <c r="I243" s="8" t="s">
        <v>466</v>
      </c>
      <c r="J243" s="8" t="s">
        <v>467</v>
      </c>
      <c r="K243" s="8" t="s">
        <v>144</v>
      </c>
      <c r="L243" s="8" t="s">
        <v>15</v>
      </c>
      <c r="N243" s="8" t="s">
        <v>75</v>
      </c>
      <c r="O243" s="8" t="s">
        <v>104</v>
      </c>
      <c r="P243" s="28" t="s">
        <v>471</v>
      </c>
      <c r="Q243" s="16" t="s">
        <v>654</v>
      </c>
      <c r="X243" s="8" t="s">
        <v>473</v>
      </c>
      <c r="Y243" s="34">
        <f>IF(X243='Listas suspensas'!$A$21,'Listas suspensas'!$B$23,IF(X243='Listas suspensas'!$A$22,'Listas suspensas'!$B$23,IF(X243='Listas suspensas'!$A$23,'Listas suspensas'!$B$22,IF(X243='Listas suspensas'!$A$26,'Listas suspensas'!$B$22,IF(X243='Listas suspensas'!$A$32,'Listas suspensas'!$B$22,IF(X243='Listas suspensas'!$A$33,'Listas suspensas'!$B$21,IF(X243='Listas suspensas'!$A$24,'Listas suspensas'!$B$22,IF(X243='Listas suspensas'!$A$30,'Listas suspensas'!$B$21,""))))))))</f>
        <v>4</v>
      </c>
      <c r="Z243" s="8" t="s">
        <v>80</v>
      </c>
      <c r="AA243" s="8">
        <v>2</v>
      </c>
      <c r="AB243" s="8" t="str">
        <f>IF(AA243='Listas suspensas'!$A$2,'Listas suspensas'!$B$2,IF(AA243='Listas suspensas'!$A$3,'Listas suspensas'!$B$3,IF(AA243='Listas suspensas'!$A$4,'Listas suspensas'!$B$4,IF(AA243='Listas suspensas'!$A$5,'Listas suspensas'!$B$5,IF(AA243='Listas suspensas'!$A$6,'Listas suspensas'!$B$6,"")))))</f>
        <v>Profunda e irregular</v>
      </c>
      <c r="AC243" s="8" t="str">
        <f>IF(AA243='Listas suspensas'!$A$2,'Listas suspensas'!$C$2,IF(AA243='Listas suspensas'!$A$3,'Listas suspensas'!$C$3,IF(AA243='Listas suspensas'!$A$4,'Listas suspensas'!$C$4,IF(AA243='Listas suspensas'!$A$5,'Listas suspensas'!$C$5,IF(AA243='Listas suspensas'!$A$6,'Listas suspensas'!$C$6,"")))))</f>
        <v>Indica a penetração profunda, mas desuniforme em toda a extensão do alburno.</v>
      </c>
      <c r="BD243" s="13">
        <v>0.496</v>
      </c>
      <c r="BE243" s="18">
        <f t="shared" si="53"/>
        <v>496</v>
      </c>
      <c r="BF243" s="8">
        <v>0.318</v>
      </c>
      <c r="BG243" s="8">
        <v>0.125</v>
      </c>
      <c r="BH243" s="8">
        <v>0.26700000000000002</v>
      </c>
      <c r="BI243" s="13">
        <f t="shared" si="54"/>
        <v>0.71</v>
      </c>
      <c r="BJ243" s="14">
        <v>44.9</v>
      </c>
      <c r="BK243" s="14">
        <v>17.5</v>
      </c>
      <c r="BL243" s="14">
        <v>37.6</v>
      </c>
      <c r="BM243" s="16">
        <f t="shared" si="55"/>
        <v>100</v>
      </c>
      <c r="BN243" s="21">
        <f t="shared" si="56"/>
        <v>1.58</v>
      </c>
      <c r="BO243" s="21">
        <f t="shared" si="57"/>
        <v>0.62</v>
      </c>
      <c r="BP243" s="21">
        <f t="shared" si="58"/>
        <v>1.32</v>
      </c>
      <c r="BQ243" s="14">
        <f t="shared" si="59"/>
        <v>3.52</v>
      </c>
      <c r="BR243" s="22" t="str">
        <f>IF(OR(AND(X243="Mourões", BQ243&gt;=6.5),AND(X243="Postes", BQ243&gt;=9.6),AND(X243="Dormentes", BQ243&gt;=9.6),AND(X243="Estacas", BQ243&gt;=6.5),AND(X243="Cruzetas", BQ243&gt;=6.5),AND(X243="Outros - Solo", BQ243&gt;=6.5),AND(X243="Outros - Suspenso",BQ243&gt;=4),AND(X243="Deck",BQ243&gt;=4)),'Listas suspensas'!$C$21,'Listas suspensas'!$C$22)</f>
        <v>Os resultados da análise química apresentaram uma retenção do produto inferior ao padrão mínimo exigido pela norma ABNT NBR 16143</v>
      </c>
    </row>
    <row r="244" spans="2:70" x14ac:dyDescent="0.25">
      <c r="B244" s="8" t="s">
        <v>655</v>
      </c>
      <c r="C244" s="8" t="s">
        <v>71</v>
      </c>
      <c r="F244" s="11">
        <v>45883</v>
      </c>
      <c r="G244" s="11">
        <v>45887</v>
      </c>
      <c r="H244" s="11">
        <v>45905</v>
      </c>
      <c r="I244" s="8" t="s">
        <v>656</v>
      </c>
      <c r="J244" s="8" t="s">
        <v>657</v>
      </c>
      <c r="K244" s="8" t="s">
        <v>144</v>
      </c>
      <c r="L244" s="8" t="s">
        <v>15</v>
      </c>
      <c r="M244" s="30" t="s">
        <v>658</v>
      </c>
      <c r="N244" s="8" t="s">
        <v>75</v>
      </c>
      <c r="O244" s="8" t="s">
        <v>104</v>
      </c>
      <c r="P244" s="28" t="s">
        <v>471</v>
      </c>
      <c r="Q244" s="16" t="s">
        <v>146</v>
      </c>
      <c r="X244" s="8" t="s">
        <v>101</v>
      </c>
      <c r="Y244" s="34">
        <f>IF(X244='Listas suspensas'!$A$21,'Listas suspensas'!$B$23,IF(X244='Listas suspensas'!$A$22,'Listas suspensas'!$B$23,IF(X244='Listas suspensas'!$A$23,'Listas suspensas'!$B$22,IF(X244='Listas suspensas'!$A$26,'Listas suspensas'!$B$22,IF(X244='Listas suspensas'!$A$32,'Listas suspensas'!$B$22,IF(X244='Listas suspensas'!$A$33,'Listas suspensas'!$B$21,IF(X244='Listas suspensas'!$A$24,'Listas suspensas'!$B$22,IF(X244='Listas suspensas'!$A$30,'Listas suspensas'!$B$21,""))))))))</f>
        <v>6.5</v>
      </c>
      <c r="Z244" s="8" t="s">
        <v>80</v>
      </c>
      <c r="AA244" s="8">
        <v>2</v>
      </c>
      <c r="AB244" s="8" t="str">
        <f>IF(AA244='Listas suspensas'!$A$2,'Listas suspensas'!$B$2,IF(AA244='Listas suspensas'!$A$3,'Listas suspensas'!$B$3,IF(AA244='Listas suspensas'!$A$4,'Listas suspensas'!$B$4,IF(AA244='Listas suspensas'!$A$5,'Listas suspensas'!$B$5,IF(AA244='Listas suspensas'!$A$6,'Listas suspensas'!$B$6,"")))))</f>
        <v>Profunda e irregular</v>
      </c>
      <c r="AC244" s="8" t="str">
        <f>IF(AA244='Listas suspensas'!$A$2,'Listas suspensas'!$C$2,IF(AA244='Listas suspensas'!$A$3,'Listas suspensas'!$C$3,IF(AA244='Listas suspensas'!$A$4,'Listas suspensas'!$C$4,IF(AA244='Listas suspensas'!$A$5,'Listas suspensas'!$C$5,IF(AA244='Listas suspensas'!$A$6,'Listas suspensas'!$C$6,"")))))</f>
        <v>Indica a penetração profunda, mas desuniforme em toda a extensão do alburno.</v>
      </c>
      <c r="BD244" s="13">
        <v>0.625</v>
      </c>
      <c r="BE244" s="18">
        <f t="shared" si="53"/>
        <v>625</v>
      </c>
      <c r="BF244" s="8">
        <v>0.50600000000000001</v>
      </c>
      <c r="BG244" s="8">
        <v>0.27200000000000002</v>
      </c>
      <c r="BH244" s="8">
        <v>0.65400000000000003</v>
      </c>
      <c r="BI244" s="13">
        <f t="shared" si="54"/>
        <v>1.4319999999999999</v>
      </c>
      <c r="BJ244" s="14">
        <v>35.4</v>
      </c>
      <c r="BK244" s="14">
        <v>19</v>
      </c>
      <c r="BL244" s="14">
        <v>45.6</v>
      </c>
      <c r="BM244" s="16">
        <f t="shared" si="55"/>
        <v>100</v>
      </c>
      <c r="BN244" s="21">
        <f t="shared" si="56"/>
        <v>3.16</v>
      </c>
      <c r="BO244" s="21">
        <f t="shared" si="57"/>
        <v>1.7</v>
      </c>
      <c r="BP244" s="21">
        <f t="shared" si="58"/>
        <v>4.09</v>
      </c>
      <c r="BQ244" s="14">
        <f t="shared" si="59"/>
        <v>8.9499999999999993</v>
      </c>
      <c r="BR244" s="22" t="str">
        <f>IF(OR(AND(X244="Mourões", BQ244&gt;=6.5),AND(X244="Postes", BQ244&gt;=9.6),AND(X244="Dormentes", BQ244&gt;=9.6),AND(X244="Estacas", BQ244&gt;=6.5),AND(X244="Cruzetas", BQ244&gt;=6.5),AND(X244="Outros - Solo", BQ244&gt;=6.5),AND(X244="Outros - Suspenso",BQ244&gt;=4),AND(X244="Deck",BQ244&gt;=4)),'Listas suspensas'!$C$21,'Listas suspensas'!$C$22)</f>
        <v>Os resultados da análise química apresentaram uma retenção do produto de acordo com o padrão mínimo exigido pela norma ABNT NBR 16143</v>
      </c>
    </row>
    <row r="245" spans="2:70" x14ac:dyDescent="0.25">
      <c r="B245" s="8" t="s">
        <v>659</v>
      </c>
      <c r="C245" s="8" t="s">
        <v>71</v>
      </c>
      <c r="F245" s="11">
        <v>45884</v>
      </c>
      <c r="G245" s="11">
        <v>45887</v>
      </c>
      <c r="H245" s="11">
        <v>45911</v>
      </c>
      <c r="I245" s="8" t="s">
        <v>660</v>
      </c>
      <c r="J245" s="8" t="s">
        <v>661</v>
      </c>
      <c r="K245" s="8" t="s">
        <v>619</v>
      </c>
      <c r="L245" s="8" t="s">
        <v>15</v>
      </c>
      <c r="M245" s="30" t="s">
        <v>662</v>
      </c>
      <c r="N245" s="8" t="s">
        <v>75</v>
      </c>
      <c r="O245" s="8" t="s">
        <v>545</v>
      </c>
      <c r="P245" s="28" t="s">
        <v>77</v>
      </c>
      <c r="Q245" s="16" t="s">
        <v>663</v>
      </c>
      <c r="X245" s="8" t="s">
        <v>79</v>
      </c>
      <c r="Y245" s="34">
        <f>IF(X245='Listas suspensas'!$A$21,'Listas suspensas'!$B$23,IF(X245='Listas suspensas'!$A$22,'Listas suspensas'!$B$23,IF(X245='Listas suspensas'!$A$23,'Listas suspensas'!$B$22,IF(X245='Listas suspensas'!$A$26,'Listas suspensas'!$B$22,IF(X245='Listas suspensas'!$A$32,'Listas suspensas'!$B$22,IF(X245='Listas suspensas'!$A$33,'Listas suspensas'!$B$21,IF(X245='Listas suspensas'!$A$24,'Listas suspensas'!$B$22,IF(X245='Listas suspensas'!$A$30,'Listas suspensas'!$B$21,""))))))))</f>
        <v>6.5</v>
      </c>
      <c r="Z245" s="8" t="s">
        <v>80</v>
      </c>
      <c r="AA245" s="8">
        <v>5</v>
      </c>
      <c r="AB245" s="8" t="str">
        <f>IF(AA245='Listas suspensas'!$A$2,'Listas suspensas'!$B$2,IF(AA245='Listas suspensas'!$A$3,'Listas suspensas'!$B$3,IF(AA245='Listas suspensas'!$A$4,'Listas suspensas'!$B$4,IF(AA245='Listas suspensas'!$A$5,'Listas suspensas'!$B$5,IF(AA245='Listas suspensas'!$A$6,'Listas suspensas'!$B$6,"")))))</f>
        <v>Sem Reação do Cromoazurol</v>
      </c>
      <c r="AC245" s="8" t="str">
        <f>IF(AA245='Listas suspensas'!$A$2,'Listas suspensas'!$C$2,IF(AA245='Listas suspensas'!$A$3,'Listas suspensas'!$C$3,IF(AA245='Listas suspensas'!$A$4,'Listas suspensas'!$C$4,IF(AA245='Listas suspensas'!$A$5,'Listas suspensas'!$C$5,IF(AA245='Listas suspensas'!$A$6,'Listas suspensas'!$C$6,"")))))</f>
        <v>Sem Reação do Cromoazurol</v>
      </c>
      <c r="BD245" s="13">
        <v>0.64900000000000002</v>
      </c>
      <c r="BE245" s="18">
        <f t="shared" si="53"/>
        <v>649</v>
      </c>
      <c r="BF245" s="8">
        <v>0.251</v>
      </c>
      <c r="BG245" s="8">
        <v>0.128</v>
      </c>
      <c r="BH245" s="8">
        <v>0.20100000000000001</v>
      </c>
      <c r="BI245" s="13">
        <f t="shared" si="54"/>
        <v>0.58000000000000007</v>
      </c>
      <c r="BJ245" s="14">
        <v>43.3</v>
      </c>
      <c r="BK245" s="14">
        <v>22</v>
      </c>
      <c r="BL245" s="14">
        <v>34.700000000000003</v>
      </c>
      <c r="BM245" s="16">
        <f t="shared" si="55"/>
        <v>100</v>
      </c>
      <c r="BN245" s="21">
        <f t="shared" si="56"/>
        <v>1.63</v>
      </c>
      <c r="BO245" s="21">
        <f t="shared" si="57"/>
        <v>0.83</v>
      </c>
      <c r="BP245" s="21">
        <f t="shared" si="58"/>
        <v>1.3</v>
      </c>
      <c r="BQ245" s="14">
        <f t="shared" si="59"/>
        <v>3.76</v>
      </c>
      <c r="BR245" s="22" t="str">
        <f>IF(OR(AND(X245="Mourões", BQ245&gt;=6.5),AND(X245="Postes", BQ245&gt;=9.6),AND(X245="Dormentes", BQ245&gt;=9.6),AND(X245="Estacas", BQ245&gt;=6.5),AND(X245="Cruzetas", BQ245&gt;=6.5),AND(X245="Outros - Solo", BQ245&gt;=6.5),AND(X245="Outros - Suspenso",BQ245&gt;=4),AND(X245="Deck",BQ245&gt;=4)),'Listas suspensas'!$C$21,'Listas suspensas'!$C$22)</f>
        <v>Os resultados da análise química apresentaram uma retenção do produto inferior ao padrão mínimo exigido pela norma ABNT NBR 16143</v>
      </c>
    </row>
    <row r="246" spans="2:70" x14ac:dyDescent="0.25">
      <c r="B246" s="8" t="s">
        <v>664</v>
      </c>
      <c r="C246" s="8" t="s">
        <v>71</v>
      </c>
      <c r="F246" s="11">
        <v>45884</v>
      </c>
      <c r="G246" s="11">
        <v>45887</v>
      </c>
      <c r="H246" s="11">
        <v>45911</v>
      </c>
      <c r="I246" s="8" t="s">
        <v>660</v>
      </c>
      <c r="J246" s="8" t="s">
        <v>661</v>
      </c>
      <c r="K246" s="8" t="s">
        <v>619</v>
      </c>
      <c r="L246" s="8" t="s">
        <v>15</v>
      </c>
      <c r="M246" s="30" t="s">
        <v>662</v>
      </c>
      <c r="N246" s="8" t="s">
        <v>75</v>
      </c>
      <c r="O246" s="8" t="s">
        <v>545</v>
      </c>
      <c r="P246" s="28" t="s">
        <v>77</v>
      </c>
      <c r="Q246" s="16" t="s">
        <v>665</v>
      </c>
      <c r="X246" s="8" t="s">
        <v>79</v>
      </c>
      <c r="Y246" s="34">
        <f>IF(X246='Listas suspensas'!$A$21,'Listas suspensas'!$B$23,IF(X246='Listas suspensas'!$A$22,'Listas suspensas'!$B$23,IF(X246='Listas suspensas'!$A$23,'Listas suspensas'!$B$22,IF(X246='Listas suspensas'!$A$26,'Listas suspensas'!$B$22,IF(X246='Listas suspensas'!$A$32,'Listas suspensas'!$B$22,IF(X246='Listas suspensas'!$A$33,'Listas suspensas'!$B$21,IF(X246='Listas suspensas'!$A$24,'Listas suspensas'!$B$22,IF(X246='Listas suspensas'!$A$30,'Listas suspensas'!$B$21,""))))))))</f>
        <v>6.5</v>
      </c>
      <c r="Z246" s="8" t="s">
        <v>80</v>
      </c>
      <c r="AA246" s="8">
        <v>5</v>
      </c>
      <c r="AB246" s="8" t="str">
        <f>IF(AA246='Listas suspensas'!$A$2,'Listas suspensas'!$B$2,IF(AA246='Listas suspensas'!$A$3,'Listas suspensas'!$B$3,IF(AA246='Listas suspensas'!$A$4,'Listas suspensas'!$B$4,IF(AA246='Listas suspensas'!$A$5,'Listas suspensas'!$B$5,IF(AA246='Listas suspensas'!$A$6,'Listas suspensas'!$B$6,"")))))</f>
        <v>Sem Reação do Cromoazurol</v>
      </c>
      <c r="AC246" s="8" t="str">
        <f>IF(AA246='Listas suspensas'!$A$2,'Listas suspensas'!$C$2,IF(AA246='Listas suspensas'!$A$3,'Listas suspensas'!$C$3,IF(AA246='Listas suspensas'!$A$4,'Listas suspensas'!$C$4,IF(AA246='Listas suspensas'!$A$5,'Listas suspensas'!$C$5,IF(AA246='Listas suspensas'!$A$6,'Listas suspensas'!$C$6,"")))))</f>
        <v>Sem Reação do Cromoazurol</v>
      </c>
      <c r="BD246" s="13">
        <v>0.67400000000000004</v>
      </c>
      <c r="BE246" s="18">
        <f t="shared" si="53"/>
        <v>674</v>
      </c>
      <c r="BF246" s="8">
        <v>0.39300000000000002</v>
      </c>
      <c r="BG246" s="8">
        <v>0.14199999999999999</v>
      </c>
      <c r="BH246" s="8">
        <v>0.22</v>
      </c>
      <c r="BI246" s="13">
        <f t="shared" si="54"/>
        <v>0.755</v>
      </c>
      <c r="BJ246" s="14">
        <v>52</v>
      </c>
      <c r="BK246" s="14">
        <v>18.8</v>
      </c>
      <c r="BL246" s="14">
        <v>29.2</v>
      </c>
      <c r="BM246" s="16">
        <f t="shared" si="55"/>
        <v>100</v>
      </c>
      <c r="BN246" s="21">
        <f t="shared" si="56"/>
        <v>2.65</v>
      </c>
      <c r="BO246" s="21">
        <f t="shared" si="57"/>
        <v>0.96</v>
      </c>
      <c r="BP246" s="21">
        <f t="shared" si="58"/>
        <v>1.48</v>
      </c>
      <c r="BQ246" s="14">
        <f t="shared" si="59"/>
        <v>5.09</v>
      </c>
      <c r="BR246" s="22" t="str">
        <f>IF(OR(AND(X246="Mourões", BQ246&gt;=6.5),AND(X246="Postes", BQ246&gt;=9.6),AND(X246="Dormentes", BQ246&gt;=9.6),AND(X246="Estacas", BQ246&gt;=6.5),AND(X246="Cruzetas", BQ246&gt;=6.5),AND(X246="Outros - Solo", BQ246&gt;=6.5),AND(X246="Outros - Suspenso",BQ246&gt;=4),AND(X246="Deck",BQ246&gt;=4)),'Listas suspensas'!$C$21,'Listas suspensas'!$C$22)</f>
        <v>Os resultados da análise química apresentaram uma retenção do produto inferior ao padrão mínimo exigido pela norma ABNT NBR 16143</v>
      </c>
    </row>
    <row r="247" spans="2:70" x14ac:dyDescent="0.25">
      <c r="B247" s="8" t="s">
        <v>666</v>
      </c>
      <c r="C247" s="8" t="s">
        <v>71</v>
      </c>
      <c r="F247" s="11">
        <v>45884</v>
      </c>
      <c r="G247" s="11">
        <v>45887</v>
      </c>
      <c r="H247" s="11">
        <v>45911</v>
      </c>
      <c r="I247" s="8" t="s">
        <v>660</v>
      </c>
      <c r="J247" s="8" t="s">
        <v>661</v>
      </c>
      <c r="K247" s="8" t="s">
        <v>619</v>
      </c>
      <c r="L247" s="8" t="s">
        <v>15</v>
      </c>
      <c r="M247" s="30" t="s">
        <v>662</v>
      </c>
      <c r="N247" s="8" t="s">
        <v>75</v>
      </c>
      <c r="O247" s="8" t="s">
        <v>545</v>
      </c>
      <c r="P247" s="28" t="s">
        <v>77</v>
      </c>
      <c r="Q247" s="16" t="s">
        <v>667</v>
      </c>
      <c r="X247" s="8" t="s">
        <v>79</v>
      </c>
      <c r="Y247" s="34">
        <f>IF(X247='Listas suspensas'!$A$21,'Listas suspensas'!$B$23,IF(X247='Listas suspensas'!$A$22,'Listas suspensas'!$B$23,IF(X247='Listas suspensas'!$A$23,'Listas suspensas'!$B$22,IF(X247='Listas suspensas'!$A$26,'Listas suspensas'!$B$22,IF(X247='Listas suspensas'!$A$32,'Listas suspensas'!$B$22,IF(X247='Listas suspensas'!$A$33,'Listas suspensas'!$B$21,IF(X247='Listas suspensas'!$A$24,'Listas suspensas'!$B$22,IF(X247='Listas suspensas'!$A$30,'Listas suspensas'!$B$21,""))))))))</f>
        <v>6.5</v>
      </c>
      <c r="Z247" s="8" t="s">
        <v>80</v>
      </c>
      <c r="AA247" s="8">
        <v>5</v>
      </c>
      <c r="AB247" s="8" t="str">
        <f>IF(AA247='Listas suspensas'!$A$2,'Listas suspensas'!$B$2,IF(AA247='Listas suspensas'!$A$3,'Listas suspensas'!$B$3,IF(AA247='Listas suspensas'!$A$4,'Listas suspensas'!$B$4,IF(AA247='Listas suspensas'!$A$5,'Listas suspensas'!$B$5,IF(AA247='Listas suspensas'!$A$6,'Listas suspensas'!$B$6,"")))))</f>
        <v>Sem Reação do Cromoazurol</v>
      </c>
      <c r="AC247" s="8" t="str">
        <f>IF(AA247='Listas suspensas'!$A$2,'Listas suspensas'!$C$2,IF(AA247='Listas suspensas'!$A$3,'Listas suspensas'!$C$3,IF(AA247='Listas suspensas'!$A$4,'Listas suspensas'!$C$4,IF(AA247='Listas suspensas'!$A$5,'Listas suspensas'!$C$5,IF(AA247='Listas suspensas'!$A$6,'Listas suspensas'!$C$6,"")))))</f>
        <v>Sem Reação do Cromoazurol</v>
      </c>
      <c r="BD247" s="13">
        <v>0.41</v>
      </c>
      <c r="BE247" s="18">
        <f t="shared" si="53"/>
        <v>410</v>
      </c>
      <c r="BF247" s="8">
        <v>0.28599999999999998</v>
      </c>
      <c r="BG247" s="8">
        <v>0.10199999999999999</v>
      </c>
      <c r="BH247" s="8">
        <v>0.22500000000000001</v>
      </c>
      <c r="BI247" s="13">
        <f t="shared" si="54"/>
        <v>0.61299999999999999</v>
      </c>
      <c r="BJ247" s="14">
        <v>46.7</v>
      </c>
      <c r="BK247" s="14">
        <v>16.600000000000001</v>
      </c>
      <c r="BL247" s="14">
        <v>36.700000000000003</v>
      </c>
      <c r="BM247" s="16">
        <f t="shared" si="55"/>
        <v>100</v>
      </c>
      <c r="BN247" s="21">
        <f t="shared" si="56"/>
        <v>1.17</v>
      </c>
      <c r="BO247" s="21">
        <f t="shared" si="57"/>
        <v>0.42</v>
      </c>
      <c r="BP247" s="21">
        <f t="shared" si="58"/>
        <v>0.92</v>
      </c>
      <c r="BQ247" s="14">
        <f t="shared" si="59"/>
        <v>2.5099999999999998</v>
      </c>
      <c r="BR247" s="22" t="str">
        <f>IF(OR(AND(X247="Mourões", BQ247&gt;=6.5),AND(X247="Postes", BQ247&gt;=9.6),AND(X247="Dormentes", BQ247&gt;=9.6),AND(X247="Estacas", BQ247&gt;=6.5),AND(X247="Cruzetas", BQ247&gt;=6.5),AND(X247="Outros - Solo", BQ247&gt;=6.5),AND(X247="Outros - Suspenso",BQ247&gt;=4),AND(X247="Deck",BQ247&gt;=4)),'Listas suspensas'!$C$21,'Listas suspensas'!$C$22)</f>
        <v>Os resultados da análise química apresentaram uma retenção do produto inferior ao padrão mínimo exigido pela norma ABNT NBR 16143</v>
      </c>
    </row>
    <row r="248" spans="2:70" x14ac:dyDescent="0.25">
      <c r="B248" s="8" t="s">
        <v>668</v>
      </c>
      <c r="C248" s="8" t="s">
        <v>71</v>
      </c>
      <c r="F248" s="11">
        <v>45884</v>
      </c>
      <c r="G248" s="11">
        <v>45887</v>
      </c>
      <c r="H248" s="11">
        <v>45911</v>
      </c>
      <c r="I248" s="8" t="s">
        <v>660</v>
      </c>
      <c r="J248" s="8" t="s">
        <v>661</v>
      </c>
      <c r="K248" s="8" t="s">
        <v>619</v>
      </c>
      <c r="L248" s="8" t="s">
        <v>15</v>
      </c>
      <c r="M248" s="30" t="s">
        <v>662</v>
      </c>
      <c r="N248" s="8" t="s">
        <v>75</v>
      </c>
      <c r="O248" s="8" t="s">
        <v>545</v>
      </c>
      <c r="P248" s="28" t="s">
        <v>77</v>
      </c>
      <c r="Q248" s="16" t="s">
        <v>669</v>
      </c>
      <c r="X248" s="8" t="s">
        <v>79</v>
      </c>
      <c r="Y248" s="34">
        <f>IF(X248='Listas suspensas'!$A$21,'Listas suspensas'!$B$23,IF(X248='Listas suspensas'!$A$22,'Listas suspensas'!$B$23,IF(X248='Listas suspensas'!$A$23,'Listas suspensas'!$B$22,IF(X248='Listas suspensas'!$A$26,'Listas suspensas'!$B$22,IF(X248='Listas suspensas'!$A$32,'Listas suspensas'!$B$22,IF(X248='Listas suspensas'!$A$33,'Listas suspensas'!$B$21,IF(X248='Listas suspensas'!$A$24,'Listas suspensas'!$B$22,IF(X248='Listas suspensas'!$A$30,'Listas suspensas'!$B$21,""))))))))</f>
        <v>6.5</v>
      </c>
      <c r="Z248" s="8" t="s">
        <v>80</v>
      </c>
      <c r="AA248" s="8">
        <v>5</v>
      </c>
      <c r="AB248" s="8" t="str">
        <f>IF(AA248='Listas suspensas'!$A$2,'Listas suspensas'!$B$2,IF(AA248='Listas suspensas'!$A$3,'Listas suspensas'!$B$3,IF(AA248='Listas suspensas'!$A$4,'Listas suspensas'!$B$4,IF(AA248='Listas suspensas'!$A$5,'Listas suspensas'!$B$5,IF(AA248='Listas suspensas'!$A$6,'Listas suspensas'!$B$6,"")))))</f>
        <v>Sem Reação do Cromoazurol</v>
      </c>
      <c r="AC248" s="8" t="str">
        <f>IF(AA248='Listas suspensas'!$A$2,'Listas suspensas'!$C$2,IF(AA248='Listas suspensas'!$A$3,'Listas suspensas'!$C$3,IF(AA248='Listas suspensas'!$A$4,'Listas suspensas'!$C$4,IF(AA248='Listas suspensas'!$A$5,'Listas suspensas'!$C$5,IF(AA248='Listas suspensas'!$A$6,'Listas suspensas'!$C$6,"")))))</f>
        <v>Sem Reação do Cromoazurol</v>
      </c>
      <c r="BD248" s="13">
        <v>0.59699999999999998</v>
      </c>
      <c r="BE248" s="18">
        <f t="shared" si="53"/>
        <v>597</v>
      </c>
      <c r="BF248" s="8">
        <v>0.33</v>
      </c>
      <c r="BG248" s="8">
        <v>0.13</v>
      </c>
      <c r="BH248" s="8">
        <v>0.21099999999999999</v>
      </c>
      <c r="BI248" s="13">
        <f t="shared" si="54"/>
        <v>0.67100000000000004</v>
      </c>
      <c r="BJ248" s="14">
        <v>49.2</v>
      </c>
      <c r="BK248" s="14">
        <v>19.399999999999999</v>
      </c>
      <c r="BL248" s="14">
        <v>31.4</v>
      </c>
      <c r="BM248" s="16">
        <f t="shared" si="55"/>
        <v>100</v>
      </c>
      <c r="BN248" s="21">
        <f t="shared" si="56"/>
        <v>1.97</v>
      </c>
      <c r="BO248" s="21">
        <f t="shared" si="57"/>
        <v>0.78</v>
      </c>
      <c r="BP248" s="21">
        <f t="shared" si="58"/>
        <v>1.26</v>
      </c>
      <c r="BQ248" s="14">
        <f t="shared" si="59"/>
        <v>4.01</v>
      </c>
      <c r="BR248" s="22" t="str">
        <f>IF(OR(AND(X248="Mourões", BQ248&gt;=6.5),AND(X248="Postes", BQ248&gt;=9.6),AND(X248="Dormentes", BQ248&gt;=9.6),AND(X248="Estacas", BQ248&gt;=6.5),AND(X248="Cruzetas", BQ248&gt;=6.5),AND(X248="Outros - Solo", BQ248&gt;=6.5),AND(X248="Outros - Suspenso",BQ248&gt;=4),AND(X248="Deck",BQ248&gt;=4)),'Listas suspensas'!$C$21,'Listas suspensas'!$C$22)</f>
        <v>Os resultados da análise química apresentaram uma retenção do produto inferior ao padrão mínimo exigido pela norma ABNT NBR 16143</v>
      </c>
    </row>
    <row r="249" spans="2:70" x14ac:dyDescent="0.25">
      <c r="B249" s="8" t="s">
        <v>670</v>
      </c>
      <c r="C249" s="8" t="s">
        <v>71</v>
      </c>
      <c r="F249" s="11">
        <v>45884</v>
      </c>
      <c r="G249" s="11">
        <v>45887</v>
      </c>
      <c r="H249" s="11">
        <v>45911</v>
      </c>
      <c r="I249" s="8" t="s">
        <v>660</v>
      </c>
      <c r="J249" s="8" t="s">
        <v>661</v>
      </c>
      <c r="K249" s="8" t="s">
        <v>619</v>
      </c>
      <c r="L249" s="8" t="s">
        <v>15</v>
      </c>
      <c r="M249" s="30" t="s">
        <v>662</v>
      </c>
      <c r="N249" s="8" t="s">
        <v>75</v>
      </c>
      <c r="O249" s="8" t="s">
        <v>545</v>
      </c>
      <c r="P249" s="28" t="s">
        <v>77</v>
      </c>
      <c r="Q249" s="16" t="s">
        <v>671</v>
      </c>
      <c r="X249" s="8" t="s">
        <v>79</v>
      </c>
      <c r="Y249" s="34">
        <f>IF(X249='Listas suspensas'!$A$21,'Listas suspensas'!$B$23,IF(X249='Listas suspensas'!$A$22,'Listas suspensas'!$B$23,IF(X249='Listas suspensas'!$A$23,'Listas suspensas'!$B$22,IF(X249='Listas suspensas'!$A$26,'Listas suspensas'!$B$22,IF(X249='Listas suspensas'!$A$32,'Listas suspensas'!$B$22,IF(X249='Listas suspensas'!$A$33,'Listas suspensas'!$B$21,IF(X249='Listas suspensas'!$A$24,'Listas suspensas'!$B$22,IF(X249='Listas suspensas'!$A$30,'Listas suspensas'!$B$21,""))))))))</f>
        <v>6.5</v>
      </c>
      <c r="Z249" s="8" t="s">
        <v>80</v>
      </c>
      <c r="AA249" s="8">
        <v>5</v>
      </c>
      <c r="AB249" s="8" t="str">
        <f>IF(AA249='Listas suspensas'!$A$2,'Listas suspensas'!$B$2,IF(AA249='Listas suspensas'!$A$3,'Listas suspensas'!$B$3,IF(AA249='Listas suspensas'!$A$4,'Listas suspensas'!$B$4,IF(AA249='Listas suspensas'!$A$5,'Listas suspensas'!$B$5,IF(AA249='Listas suspensas'!$A$6,'Listas suspensas'!$B$6,"")))))</f>
        <v>Sem Reação do Cromoazurol</v>
      </c>
      <c r="AC249" s="8" t="str">
        <f>IF(AA249='Listas suspensas'!$A$2,'Listas suspensas'!$C$2,IF(AA249='Listas suspensas'!$A$3,'Listas suspensas'!$C$3,IF(AA249='Listas suspensas'!$A$4,'Listas suspensas'!$C$4,IF(AA249='Listas suspensas'!$A$5,'Listas suspensas'!$C$5,IF(AA249='Listas suspensas'!$A$6,'Listas suspensas'!$C$6,"")))))</f>
        <v>Sem Reação do Cromoazurol</v>
      </c>
      <c r="BD249" s="13">
        <v>0.60699999999999998</v>
      </c>
      <c r="BE249" s="18">
        <f t="shared" ref="BE249:BE312" si="60">BD249*1000</f>
        <v>607</v>
      </c>
      <c r="BF249" s="8">
        <v>0.26</v>
      </c>
      <c r="BG249" s="8">
        <v>0.123</v>
      </c>
      <c r="BH249" s="8">
        <v>0.16200000000000001</v>
      </c>
      <c r="BI249" s="13">
        <f t="shared" si="54"/>
        <v>0.54500000000000004</v>
      </c>
      <c r="BJ249" s="14">
        <v>47.7</v>
      </c>
      <c r="BK249" s="14">
        <v>22.6</v>
      </c>
      <c r="BL249" s="14">
        <v>29.7</v>
      </c>
      <c r="BM249" s="16">
        <f t="shared" si="55"/>
        <v>100</v>
      </c>
      <c r="BN249" s="21">
        <f t="shared" si="56"/>
        <v>1.58</v>
      </c>
      <c r="BO249" s="21">
        <f t="shared" si="57"/>
        <v>0.75</v>
      </c>
      <c r="BP249" s="21">
        <f t="shared" si="58"/>
        <v>0.98</v>
      </c>
      <c r="BQ249" s="14">
        <f t="shared" si="59"/>
        <v>3.31</v>
      </c>
      <c r="BR249" s="22" t="str">
        <f>IF(OR(AND(X249="Mourões", BQ249&gt;=6.5),AND(X249="Postes", BQ249&gt;=9.6),AND(X249="Dormentes", BQ249&gt;=9.6),AND(X249="Estacas", BQ249&gt;=6.5),AND(X249="Cruzetas", BQ249&gt;=6.5),AND(X249="Outros - Solo", BQ249&gt;=6.5),AND(X249="Outros - Suspenso",BQ249&gt;=4),AND(X249="Deck",BQ249&gt;=4)),'Listas suspensas'!$C$21,'Listas suspensas'!$C$22)</f>
        <v>Os resultados da análise química apresentaram uma retenção do produto inferior ao padrão mínimo exigido pela norma ABNT NBR 16143</v>
      </c>
    </row>
    <row r="250" spans="2:70" x14ac:dyDescent="0.25">
      <c r="B250" s="8" t="s">
        <v>672</v>
      </c>
      <c r="C250" s="8" t="s">
        <v>71</v>
      </c>
      <c r="F250" s="11">
        <v>45884</v>
      </c>
      <c r="G250" s="11">
        <v>45887</v>
      </c>
      <c r="H250" s="11">
        <v>45911</v>
      </c>
      <c r="I250" s="8" t="s">
        <v>660</v>
      </c>
      <c r="J250" s="8" t="s">
        <v>661</v>
      </c>
      <c r="K250" s="8" t="s">
        <v>619</v>
      </c>
      <c r="L250" s="8" t="s">
        <v>15</v>
      </c>
      <c r="M250" s="30" t="s">
        <v>662</v>
      </c>
      <c r="N250" s="8" t="s">
        <v>75</v>
      </c>
      <c r="O250" s="8" t="s">
        <v>545</v>
      </c>
      <c r="P250" s="28" t="s">
        <v>77</v>
      </c>
      <c r="Q250" s="16" t="s">
        <v>673</v>
      </c>
      <c r="X250" s="8" t="s">
        <v>79</v>
      </c>
      <c r="Y250" s="34">
        <f>IF(X250='Listas suspensas'!$A$21,'Listas suspensas'!$B$23,IF(X250='Listas suspensas'!$A$22,'Listas suspensas'!$B$23,IF(X250='Listas suspensas'!$A$23,'Listas suspensas'!$B$22,IF(X250='Listas suspensas'!$A$26,'Listas suspensas'!$B$22,IF(X250='Listas suspensas'!$A$32,'Listas suspensas'!$B$22,IF(X250='Listas suspensas'!$A$33,'Listas suspensas'!$B$21,IF(X250='Listas suspensas'!$A$24,'Listas suspensas'!$B$22,IF(X250='Listas suspensas'!$A$30,'Listas suspensas'!$B$21,""))))))))</f>
        <v>6.5</v>
      </c>
      <c r="Z250" s="8" t="s">
        <v>80</v>
      </c>
      <c r="AA250" s="8">
        <v>4</v>
      </c>
      <c r="AB250" s="8" t="str">
        <f>IF(AA250='Listas suspensas'!$A$2,'Listas suspensas'!$B$2,IF(AA250='Listas suspensas'!$A$3,'Listas suspensas'!$B$3,IF(AA250='Listas suspensas'!$A$4,'Listas suspensas'!$B$4,IF(AA250='Listas suspensas'!$A$5,'Listas suspensas'!$B$5,IF(AA250='Listas suspensas'!$A$6,'Listas suspensas'!$B$6,"")))))</f>
        <v>Parcial e irregular</v>
      </c>
      <c r="AC250" s="8" t="str">
        <f>IF(AA250='Listas suspensas'!$A$2,'Listas suspensas'!$C$2,IF(AA250='Listas suspensas'!$A$3,'Listas suspensas'!$C$3,IF(AA250='Listas suspensas'!$A$4,'Listas suspensas'!$C$4,IF(AA250='Listas suspensas'!$A$5,'Listas suspensas'!$C$5,IF(AA250='Listas suspensas'!$A$6,'Listas suspensas'!$C$6,"")))))</f>
        <v>Indica a penetração desuniforme e não total pela extensão do alburno.</v>
      </c>
      <c r="BD250" s="13">
        <v>0.77200000000000002</v>
      </c>
      <c r="BE250" s="18">
        <f t="shared" si="60"/>
        <v>772</v>
      </c>
      <c r="BF250" s="8">
        <v>0.20499999999999999</v>
      </c>
      <c r="BG250" s="8">
        <v>0.10299999999999999</v>
      </c>
      <c r="BH250" s="8">
        <v>0.14599999999999999</v>
      </c>
      <c r="BI250" s="13">
        <f t="shared" si="54"/>
        <v>0.45399999999999996</v>
      </c>
      <c r="BJ250" s="14">
        <v>45.1</v>
      </c>
      <c r="BK250" s="14">
        <v>22.8</v>
      </c>
      <c r="BL250" s="14">
        <v>32.1</v>
      </c>
      <c r="BM250" s="16">
        <f t="shared" si="55"/>
        <v>100</v>
      </c>
      <c r="BN250" s="21">
        <f t="shared" si="56"/>
        <v>1.58</v>
      </c>
      <c r="BO250" s="21">
        <f t="shared" si="57"/>
        <v>0.8</v>
      </c>
      <c r="BP250" s="21">
        <f t="shared" si="58"/>
        <v>1.1299999999999999</v>
      </c>
      <c r="BQ250" s="14">
        <f t="shared" si="59"/>
        <v>3.51</v>
      </c>
      <c r="BR250" s="22" t="str">
        <f>IF(OR(AND(X250="Mourões", BQ250&gt;=6.5),AND(X250="Postes", BQ250&gt;=9.6),AND(X250="Dormentes", BQ250&gt;=9.6),AND(X250="Estacas", BQ250&gt;=6.5),AND(X250="Cruzetas", BQ250&gt;=6.5),AND(X250="Outros - Solo", BQ250&gt;=6.5),AND(X250="Outros - Suspenso",BQ250&gt;=4),AND(X250="Deck",BQ250&gt;=4)),'Listas suspensas'!$C$21,'Listas suspensas'!$C$22)</f>
        <v>Os resultados da análise química apresentaram uma retenção do produto inferior ao padrão mínimo exigido pela norma ABNT NBR 16143</v>
      </c>
    </row>
    <row r="251" spans="2:70" x14ac:dyDescent="0.25">
      <c r="B251" s="8" t="s">
        <v>674</v>
      </c>
      <c r="C251" s="8" t="s">
        <v>71</v>
      </c>
      <c r="F251" s="11">
        <v>45884</v>
      </c>
      <c r="G251" s="11">
        <v>45887</v>
      </c>
      <c r="H251" s="11">
        <v>45911</v>
      </c>
      <c r="I251" s="8" t="s">
        <v>660</v>
      </c>
      <c r="J251" s="8" t="s">
        <v>661</v>
      </c>
      <c r="K251" s="8" t="s">
        <v>619</v>
      </c>
      <c r="L251" s="8" t="s">
        <v>15</v>
      </c>
      <c r="M251" s="30" t="s">
        <v>662</v>
      </c>
      <c r="N251" s="8" t="s">
        <v>75</v>
      </c>
      <c r="O251" s="8" t="s">
        <v>545</v>
      </c>
      <c r="P251" s="28" t="s">
        <v>77</v>
      </c>
      <c r="Q251" s="16" t="s">
        <v>675</v>
      </c>
      <c r="X251" s="8" t="s">
        <v>79</v>
      </c>
      <c r="Y251" s="34">
        <f>IF(X251='Listas suspensas'!$A$21,'Listas suspensas'!$B$23,IF(X251='Listas suspensas'!$A$22,'Listas suspensas'!$B$23,IF(X251='Listas suspensas'!$A$23,'Listas suspensas'!$B$22,IF(X251='Listas suspensas'!$A$26,'Listas suspensas'!$B$22,IF(X251='Listas suspensas'!$A$32,'Listas suspensas'!$B$22,IF(X251='Listas suspensas'!$A$33,'Listas suspensas'!$B$21,IF(X251='Listas suspensas'!$A$24,'Listas suspensas'!$B$22,IF(X251='Listas suspensas'!$A$30,'Listas suspensas'!$B$21,""))))))))</f>
        <v>6.5</v>
      </c>
      <c r="Z251" s="8" t="s">
        <v>80</v>
      </c>
      <c r="AA251" s="8">
        <v>4</v>
      </c>
      <c r="AB251" s="8" t="str">
        <f>IF(AA251='Listas suspensas'!$A$2,'Listas suspensas'!$B$2,IF(AA251='Listas suspensas'!$A$3,'Listas suspensas'!$B$3,IF(AA251='Listas suspensas'!$A$4,'Listas suspensas'!$B$4,IF(AA251='Listas suspensas'!$A$5,'Listas suspensas'!$B$5,IF(AA251='Listas suspensas'!$A$6,'Listas suspensas'!$B$6,"")))))</f>
        <v>Parcial e irregular</v>
      </c>
      <c r="AC251" s="8" t="str">
        <f>IF(AA251='Listas suspensas'!$A$2,'Listas suspensas'!$C$2,IF(AA251='Listas suspensas'!$A$3,'Listas suspensas'!$C$3,IF(AA251='Listas suspensas'!$A$4,'Listas suspensas'!$C$4,IF(AA251='Listas suspensas'!$A$5,'Listas suspensas'!$C$5,IF(AA251='Listas suspensas'!$A$6,'Listas suspensas'!$C$6,"")))))</f>
        <v>Indica a penetração desuniforme e não total pela extensão do alburno.</v>
      </c>
      <c r="BD251" s="13">
        <v>0.66</v>
      </c>
      <c r="BE251" s="18">
        <f t="shared" si="60"/>
        <v>660</v>
      </c>
      <c r="BF251" s="8">
        <v>0.25900000000000001</v>
      </c>
      <c r="BG251" s="8">
        <v>9.5000000000000001E-2</v>
      </c>
      <c r="BH251" s="8">
        <v>0.123</v>
      </c>
      <c r="BI251" s="13">
        <f t="shared" si="54"/>
        <v>0.47699999999999998</v>
      </c>
      <c r="BJ251" s="14">
        <v>54.3</v>
      </c>
      <c r="BK251" s="14">
        <v>19.8</v>
      </c>
      <c r="BL251" s="14">
        <v>25.9</v>
      </c>
      <c r="BM251" s="16">
        <f t="shared" si="55"/>
        <v>100</v>
      </c>
      <c r="BN251" s="21">
        <f t="shared" si="56"/>
        <v>1.71</v>
      </c>
      <c r="BO251" s="21">
        <f t="shared" si="57"/>
        <v>0.63</v>
      </c>
      <c r="BP251" s="21">
        <f t="shared" si="58"/>
        <v>0.81</v>
      </c>
      <c r="BQ251" s="14">
        <f t="shared" si="59"/>
        <v>3.15</v>
      </c>
      <c r="BR251" s="22" t="str">
        <f>IF(OR(AND(X251="Mourões", BQ251&gt;=6.5),AND(X251="Postes", BQ251&gt;=9.6),AND(X251="Dormentes", BQ251&gt;=9.6),AND(X251="Estacas", BQ251&gt;=6.5),AND(X251="Cruzetas", BQ251&gt;=6.5),AND(X251="Outros - Solo", BQ251&gt;=6.5),AND(X251="Outros - Suspenso",BQ251&gt;=4),AND(X251="Deck",BQ251&gt;=4)),'Listas suspensas'!$C$21,'Listas suspensas'!$C$22)</f>
        <v>Os resultados da análise química apresentaram uma retenção do produto inferior ao padrão mínimo exigido pela norma ABNT NBR 16143</v>
      </c>
    </row>
    <row r="252" spans="2:70" x14ac:dyDescent="0.25">
      <c r="B252" s="8" t="s">
        <v>676</v>
      </c>
      <c r="C252" s="8" t="s">
        <v>71</v>
      </c>
      <c r="F252" s="11">
        <v>45884</v>
      </c>
      <c r="G252" s="11">
        <v>45887</v>
      </c>
      <c r="H252" s="11">
        <v>45911</v>
      </c>
      <c r="I252" s="8" t="s">
        <v>660</v>
      </c>
      <c r="J252" s="8" t="s">
        <v>661</v>
      </c>
      <c r="K252" s="8" t="s">
        <v>619</v>
      </c>
      <c r="L252" s="8" t="s">
        <v>15</v>
      </c>
      <c r="M252" s="30" t="s">
        <v>662</v>
      </c>
      <c r="N252" s="8" t="s">
        <v>75</v>
      </c>
      <c r="O252" s="8" t="s">
        <v>545</v>
      </c>
      <c r="P252" s="28" t="s">
        <v>77</v>
      </c>
      <c r="Q252" s="16" t="s">
        <v>677</v>
      </c>
      <c r="X252" s="8" t="s">
        <v>79</v>
      </c>
      <c r="Y252" s="34">
        <f>IF(X252='Listas suspensas'!$A$21,'Listas suspensas'!$B$23,IF(X252='Listas suspensas'!$A$22,'Listas suspensas'!$B$23,IF(X252='Listas suspensas'!$A$23,'Listas suspensas'!$B$22,IF(X252='Listas suspensas'!$A$26,'Listas suspensas'!$B$22,IF(X252='Listas suspensas'!$A$32,'Listas suspensas'!$B$22,IF(X252='Listas suspensas'!$A$33,'Listas suspensas'!$B$21,IF(X252='Listas suspensas'!$A$24,'Listas suspensas'!$B$22,IF(X252='Listas suspensas'!$A$30,'Listas suspensas'!$B$21,""))))))))</f>
        <v>6.5</v>
      </c>
      <c r="Z252" s="8" t="s">
        <v>80</v>
      </c>
      <c r="AA252" s="8">
        <v>4</v>
      </c>
      <c r="AB252" s="8" t="str">
        <f>IF(AA252='Listas suspensas'!$A$2,'Listas suspensas'!$B$2,IF(AA252='Listas suspensas'!$A$3,'Listas suspensas'!$B$3,IF(AA252='Listas suspensas'!$A$4,'Listas suspensas'!$B$4,IF(AA252='Listas suspensas'!$A$5,'Listas suspensas'!$B$5,IF(AA252='Listas suspensas'!$A$6,'Listas suspensas'!$B$6,"")))))</f>
        <v>Parcial e irregular</v>
      </c>
      <c r="AC252" s="8" t="str">
        <f>IF(AA252='Listas suspensas'!$A$2,'Listas suspensas'!$C$2,IF(AA252='Listas suspensas'!$A$3,'Listas suspensas'!$C$3,IF(AA252='Listas suspensas'!$A$4,'Listas suspensas'!$C$4,IF(AA252='Listas suspensas'!$A$5,'Listas suspensas'!$C$5,IF(AA252='Listas suspensas'!$A$6,'Listas suspensas'!$C$6,"")))))</f>
        <v>Indica a penetração desuniforme e não total pela extensão do alburno.</v>
      </c>
      <c r="BD252" s="13">
        <v>0.60199999999999998</v>
      </c>
      <c r="BE252" s="18">
        <f t="shared" si="60"/>
        <v>602</v>
      </c>
      <c r="BF252" s="8">
        <v>0.42899999999999999</v>
      </c>
      <c r="BG252" s="8">
        <v>0.17899999999999999</v>
      </c>
      <c r="BH252" s="8">
        <v>0.35099999999999998</v>
      </c>
      <c r="BI252" s="13">
        <f t="shared" si="54"/>
        <v>0.95899999999999996</v>
      </c>
      <c r="BJ252" s="14">
        <v>44.8</v>
      </c>
      <c r="BK252" s="14">
        <v>18.600000000000001</v>
      </c>
      <c r="BL252" s="14">
        <v>36.6</v>
      </c>
      <c r="BM252" s="16">
        <f t="shared" si="55"/>
        <v>100</v>
      </c>
      <c r="BN252" s="21">
        <f t="shared" si="56"/>
        <v>2.58</v>
      </c>
      <c r="BO252" s="21">
        <f t="shared" si="57"/>
        <v>1.08</v>
      </c>
      <c r="BP252" s="21">
        <f t="shared" si="58"/>
        <v>2.11</v>
      </c>
      <c r="BQ252" s="14">
        <f t="shared" si="59"/>
        <v>5.77</v>
      </c>
      <c r="BR252" s="22" t="str">
        <f>IF(OR(AND(X252="Mourões", BQ252&gt;=6.5),AND(X252="Postes", BQ252&gt;=9.6),AND(X252="Dormentes", BQ252&gt;=9.6),AND(X252="Estacas", BQ252&gt;=6.5),AND(X252="Cruzetas", BQ252&gt;=6.5),AND(X252="Outros - Solo", BQ252&gt;=6.5),AND(X252="Outros - Suspenso",BQ252&gt;=4),AND(X252="Deck",BQ252&gt;=4)),'Listas suspensas'!$C$21,'Listas suspensas'!$C$22)</f>
        <v>Os resultados da análise química apresentaram uma retenção do produto inferior ao padrão mínimo exigido pela norma ABNT NBR 16143</v>
      </c>
    </row>
    <row r="253" spans="2:70" x14ac:dyDescent="0.25">
      <c r="B253" s="8" t="s">
        <v>678</v>
      </c>
      <c r="C253" s="8" t="s">
        <v>71</v>
      </c>
      <c r="F253" s="11">
        <v>45884</v>
      </c>
      <c r="G253" s="11">
        <v>45887</v>
      </c>
      <c r="H253" s="11">
        <v>45911</v>
      </c>
      <c r="I253" s="8" t="s">
        <v>660</v>
      </c>
      <c r="J253" s="8" t="s">
        <v>661</v>
      </c>
      <c r="K253" s="8" t="s">
        <v>619</v>
      </c>
      <c r="L253" s="8" t="s">
        <v>15</v>
      </c>
      <c r="M253" s="30" t="s">
        <v>662</v>
      </c>
      <c r="N253" s="8" t="s">
        <v>75</v>
      </c>
      <c r="O253" s="8" t="s">
        <v>545</v>
      </c>
      <c r="P253" s="28" t="s">
        <v>146</v>
      </c>
      <c r="Q253" s="16" t="s">
        <v>679</v>
      </c>
      <c r="X253" s="8" t="s">
        <v>79</v>
      </c>
      <c r="Y253" s="34">
        <f>IF(X253='Listas suspensas'!$A$21,'Listas suspensas'!$B$23,IF(X253='Listas suspensas'!$A$22,'Listas suspensas'!$B$23,IF(X253='Listas suspensas'!$A$23,'Listas suspensas'!$B$22,IF(X253='Listas suspensas'!$A$26,'Listas suspensas'!$B$22,IF(X253='Listas suspensas'!$A$32,'Listas suspensas'!$B$22,IF(X253='Listas suspensas'!$A$33,'Listas suspensas'!$B$21,IF(X253='Listas suspensas'!$A$24,'Listas suspensas'!$B$22,IF(X253='Listas suspensas'!$A$30,'Listas suspensas'!$B$21,""))))))))</f>
        <v>6.5</v>
      </c>
      <c r="Z253" s="8" t="s">
        <v>80</v>
      </c>
      <c r="AA253" s="8">
        <v>4</v>
      </c>
      <c r="AB253" s="8" t="str">
        <f>IF(AA253='Listas suspensas'!$A$2,'Listas suspensas'!$B$2,IF(AA253='Listas suspensas'!$A$3,'Listas suspensas'!$B$3,IF(AA253='Listas suspensas'!$A$4,'Listas suspensas'!$B$4,IF(AA253='Listas suspensas'!$A$5,'Listas suspensas'!$B$5,IF(AA253='Listas suspensas'!$A$6,'Listas suspensas'!$B$6,"")))))</f>
        <v>Parcial e irregular</v>
      </c>
      <c r="AC253" s="8" t="str">
        <f>IF(AA253='Listas suspensas'!$A$2,'Listas suspensas'!$C$2,IF(AA253='Listas suspensas'!$A$3,'Listas suspensas'!$C$3,IF(AA253='Listas suspensas'!$A$4,'Listas suspensas'!$C$4,IF(AA253='Listas suspensas'!$A$5,'Listas suspensas'!$C$5,IF(AA253='Listas suspensas'!$A$6,'Listas suspensas'!$C$6,"")))))</f>
        <v>Indica a penetração desuniforme e não total pela extensão do alburno.</v>
      </c>
      <c r="BD253" s="13">
        <v>0.56599999999999995</v>
      </c>
      <c r="BE253" s="18">
        <f t="shared" si="60"/>
        <v>566</v>
      </c>
      <c r="BF253" s="8">
        <v>0.41199999999999998</v>
      </c>
      <c r="BG253" s="8">
        <v>0.19500000000000001</v>
      </c>
      <c r="BH253" s="8">
        <v>0.30499999999999999</v>
      </c>
      <c r="BI253" s="13">
        <f t="shared" si="54"/>
        <v>0.91199999999999992</v>
      </c>
      <c r="BJ253" s="14">
        <v>45.2</v>
      </c>
      <c r="BK253" s="14">
        <v>21.4</v>
      </c>
      <c r="BL253" s="14">
        <v>33.4</v>
      </c>
      <c r="BM253" s="16">
        <f t="shared" si="55"/>
        <v>100</v>
      </c>
      <c r="BN253" s="21">
        <f t="shared" si="56"/>
        <v>2.33</v>
      </c>
      <c r="BO253" s="21">
        <f t="shared" si="57"/>
        <v>1.1000000000000001</v>
      </c>
      <c r="BP253" s="21">
        <f t="shared" si="58"/>
        <v>1.73</v>
      </c>
      <c r="BQ253" s="14">
        <f t="shared" si="59"/>
        <v>5.16</v>
      </c>
      <c r="BR253" s="22" t="str">
        <f>IF(OR(AND(X253="Mourões", BQ253&gt;=6.5),AND(X253="Postes", BQ253&gt;=9.6),AND(X253="Dormentes", BQ253&gt;=9.6),AND(X253="Estacas", BQ253&gt;=6.5),AND(X253="Cruzetas", BQ253&gt;=6.5),AND(X253="Outros - Solo", BQ253&gt;=6.5),AND(X253="Outros - Suspenso",BQ253&gt;=4),AND(X253="Deck",BQ253&gt;=4)),'Listas suspensas'!$C$21,'Listas suspensas'!$C$22)</f>
        <v>Os resultados da análise química apresentaram uma retenção do produto inferior ao padrão mínimo exigido pela norma ABNT NBR 16143</v>
      </c>
    </row>
    <row r="254" spans="2:70" x14ac:dyDescent="0.25">
      <c r="B254" s="8" t="s">
        <v>680</v>
      </c>
      <c r="C254" s="8" t="s">
        <v>71</v>
      </c>
      <c r="F254" s="11">
        <v>45884</v>
      </c>
      <c r="G254" s="11">
        <v>45887</v>
      </c>
      <c r="H254" s="11">
        <v>45911</v>
      </c>
      <c r="I254" s="8" t="s">
        <v>660</v>
      </c>
      <c r="J254" s="8" t="s">
        <v>661</v>
      </c>
      <c r="K254" s="8" t="s">
        <v>619</v>
      </c>
      <c r="L254" s="8" t="s">
        <v>15</v>
      </c>
      <c r="M254" s="30" t="s">
        <v>662</v>
      </c>
      <c r="N254" s="8" t="s">
        <v>75</v>
      </c>
      <c r="O254" s="8" t="s">
        <v>545</v>
      </c>
      <c r="P254" s="28" t="s">
        <v>146</v>
      </c>
      <c r="Q254" s="16" t="s">
        <v>681</v>
      </c>
      <c r="X254" s="8" t="s">
        <v>79</v>
      </c>
      <c r="Y254" s="34">
        <f>IF(X254='Listas suspensas'!$A$21,'Listas suspensas'!$B$23,IF(X254='Listas suspensas'!$A$22,'Listas suspensas'!$B$23,IF(X254='Listas suspensas'!$A$23,'Listas suspensas'!$B$22,IF(X254='Listas suspensas'!$A$26,'Listas suspensas'!$B$22,IF(X254='Listas suspensas'!$A$32,'Listas suspensas'!$B$22,IF(X254='Listas suspensas'!$A$33,'Listas suspensas'!$B$21,IF(X254='Listas suspensas'!$A$24,'Listas suspensas'!$B$22,IF(X254='Listas suspensas'!$A$30,'Listas suspensas'!$B$21,""))))))))</f>
        <v>6.5</v>
      </c>
      <c r="Z254" s="8" t="s">
        <v>80</v>
      </c>
      <c r="AA254" s="8">
        <v>4</v>
      </c>
      <c r="AB254" s="8" t="str">
        <f>IF(AA254='Listas suspensas'!$A$2,'Listas suspensas'!$B$2,IF(AA254='Listas suspensas'!$A$3,'Listas suspensas'!$B$3,IF(AA254='Listas suspensas'!$A$4,'Listas suspensas'!$B$4,IF(AA254='Listas suspensas'!$A$5,'Listas suspensas'!$B$5,IF(AA254='Listas suspensas'!$A$6,'Listas suspensas'!$B$6,"")))))</f>
        <v>Parcial e irregular</v>
      </c>
      <c r="AC254" s="8" t="str">
        <f>IF(AA254='Listas suspensas'!$A$2,'Listas suspensas'!$C$2,IF(AA254='Listas suspensas'!$A$3,'Listas suspensas'!$C$3,IF(AA254='Listas suspensas'!$A$4,'Listas suspensas'!$C$4,IF(AA254='Listas suspensas'!$A$5,'Listas suspensas'!$C$5,IF(AA254='Listas suspensas'!$A$6,'Listas suspensas'!$C$6,"")))))</f>
        <v>Indica a penetração desuniforme e não total pela extensão do alburno.</v>
      </c>
      <c r="BD254" s="13">
        <v>0.77900000000000003</v>
      </c>
      <c r="BE254" s="18">
        <f t="shared" si="60"/>
        <v>779</v>
      </c>
      <c r="BF254" s="8">
        <v>0.50900000000000001</v>
      </c>
      <c r="BG254" s="8">
        <v>0.32900000000000001</v>
      </c>
      <c r="BH254" s="8">
        <v>0.48599999999999999</v>
      </c>
      <c r="BI254" s="13">
        <f t="shared" si="54"/>
        <v>1.3240000000000001</v>
      </c>
      <c r="BJ254" s="14">
        <v>38.4</v>
      </c>
      <c r="BK254" s="14">
        <v>24.9</v>
      </c>
      <c r="BL254" s="14">
        <v>36.700000000000003</v>
      </c>
      <c r="BM254" s="16">
        <f t="shared" si="55"/>
        <v>100</v>
      </c>
      <c r="BN254" s="21">
        <f t="shared" si="56"/>
        <v>3.97</v>
      </c>
      <c r="BO254" s="21">
        <f t="shared" si="57"/>
        <v>2.56</v>
      </c>
      <c r="BP254" s="21">
        <f t="shared" si="58"/>
        <v>3.79</v>
      </c>
      <c r="BQ254" s="14">
        <f t="shared" si="59"/>
        <v>10.32</v>
      </c>
      <c r="BR254" s="22" t="str">
        <f>IF(OR(AND(X254="Mourões", BQ254&gt;=6.5),AND(X254="Postes", BQ254&gt;=9.6),AND(X254="Dormentes", BQ254&gt;=9.6),AND(X254="Estacas", BQ254&gt;=6.5),AND(X254="Cruzetas", BQ254&gt;=6.5),AND(X254="Outros - Solo", BQ254&gt;=6.5),AND(X254="Outros - Suspenso",BQ254&gt;=4),AND(X254="Deck",BQ254&gt;=4)),'Listas suspensas'!$C$21,'Listas suspensas'!$C$22)</f>
        <v>Os resultados da análise química apresentaram uma retenção do produto de acordo com o padrão mínimo exigido pela norma ABNT NBR 16143</v>
      </c>
    </row>
    <row r="255" spans="2:70" x14ac:dyDescent="0.25">
      <c r="B255" s="8" t="s">
        <v>682</v>
      </c>
      <c r="C255" s="8" t="s">
        <v>71</v>
      </c>
      <c r="F255" s="11">
        <v>45884</v>
      </c>
      <c r="G255" s="11">
        <v>45887</v>
      </c>
      <c r="H255" s="11">
        <v>45905</v>
      </c>
      <c r="I255" s="8" t="s">
        <v>660</v>
      </c>
      <c r="J255" s="8" t="s">
        <v>661</v>
      </c>
      <c r="K255" s="8" t="s">
        <v>619</v>
      </c>
      <c r="L255" s="8" t="s">
        <v>15</v>
      </c>
      <c r="M255" s="30" t="s">
        <v>662</v>
      </c>
      <c r="N255" s="8" t="s">
        <v>75</v>
      </c>
      <c r="O255" s="8" t="s">
        <v>94</v>
      </c>
      <c r="P255" s="28" t="s">
        <v>77</v>
      </c>
      <c r="Q255" s="16" t="s">
        <v>683</v>
      </c>
      <c r="X255" s="8" t="s">
        <v>180</v>
      </c>
      <c r="Y255" s="34">
        <f>IF(X255='Listas suspensas'!$A$21,'Listas suspensas'!$B$23,IF(X255='Listas suspensas'!$A$22,'Listas suspensas'!$B$23,IF(X255='Listas suspensas'!$A$23,'Listas suspensas'!$B$22,IF(X255='Listas suspensas'!$A$26,'Listas suspensas'!$B$22,IF(X255='Listas suspensas'!$A$32,'Listas suspensas'!$B$22,IF(X255='Listas suspensas'!$A$33,'Listas suspensas'!$B$21,IF(X255='Listas suspensas'!$A$24,'Listas suspensas'!$B$22,IF(X255='Listas suspensas'!$A$30,'Listas suspensas'!$B$21,""))))))))</f>
        <v>6.5</v>
      </c>
      <c r="Z255" s="8" t="s">
        <v>80</v>
      </c>
      <c r="AA255" s="8">
        <v>2</v>
      </c>
      <c r="AB255" s="8" t="str">
        <f>IF(AA255='Listas suspensas'!$A$2,'Listas suspensas'!$B$2,IF(AA255='Listas suspensas'!$A$3,'Listas suspensas'!$B$3,IF(AA255='Listas suspensas'!$A$4,'Listas suspensas'!$B$4,IF(AA255='Listas suspensas'!$A$5,'Listas suspensas'!$B$5,IF(AA255='Listas suspensas'!$A$6,'Listas suspensas'!$B$6,"")))))</f>
        <v>Profunda e irregular</v>
      </c>
      <c r="AC255" s="8" t="str">
        <f>IF(AA255='Listas suspensas'!$A$2,'Listas suspensas'!$C$2,IF(AA255='Listas suspensas'!$A$3,'Listas suspensas'!$C$3,IF(AA255='Listas suspensas'!$A$4,'Listas suspensas'!$C$4,IF(AA255='Listas suspensas'!$A$5,'Listas suspensas'!$C$5,IF(AA255='Listas suspensas'!$A$6,'Listas suspensas'!$C$6,"")))))</f>
        <v>Indica a penetração profunda, mas desuniforme em toda a extensão do alburno.</v>
      </c>
      <c r="BD255" s="13">
        <v>0.84199999999999997</v>
      </c>
      <c r="BE255" s="18">
        <f t="shared" si="60"/>
        <v>842</v>
      </c>
      <c r="BF255" s="8">
        <v>0.311</v>
      </c>
      <c r="BG255" s="8">
        <v>0.17399999999999999</v>
      </c>
      <c r="BH255" s="8">
        <v>0.39500000000000002</v>
      </c>
      <c r="BI255" s="13">
        <f t="shared" si="54"/>
        <v>0.88</v>
      </c>
      <c r="BJ255" s="14">
        <v>35.299999999999997</v>
      </c>
      <c r="BK255" s="14">
        <v>19.8</v>
      </c>
      <c r="BL255" s="14">
        <v>44.9</v>
      </c>
      <c r="BM255" s="16">
        <f t="shared" si="55"/>
        <v>100</v>
      </c>
      <c r="BN255" s="21">
        <f t="shared" si="56"/>
        <v>2.62</v>
      </c>
      <c r="BO255" s="21">
        <f t="shared" si="57"/>
        <v>1.47</v>
      </c>
      <c r="BP255" s="21">
        <f t="shared" si="58"/>
        <v>3.33</v>
      </c>
      <c r="BQ255" s="14">
        <f t="shared" si="59"/>
        <v>7.42</v>
      </c>
      <c r="BR255" s="22" t="str">
        <f>IF(OR(AND(X255="Mourões", BQ255&gt;=6.5),AND(X255="Postes", BQ255&gt;=9.6),AND(X255="Dormentes", BQ255&gt;=9.6),AND(X255="Estacas", BQ255&gt;=6.5),AND(X255="Cruzetas", BQ255&gt;=6.5),AND(X255="Outros - Solo", BQ255&gt;=6.5),AND(X255="Outros - Suspenso",BQ255&gt;=4),AND(X255="Deck",BQ255&gt;=4)),'Listas suspensas'!$C$21,'Listas suspensas'!$C$22)</f>
        <v>Os resultados da análise química apresentaram uma retenção do produto inferior ao padrão mínimo exigido pela norma ABNT NBR 16143</v>
      </c>
    </row>
    <row r="256" spans="2:70" x14ac:dyDescent="0.25">
      <c r="B256" s="8" t="s">
        <v>684</v>
      </c>
      <c r="C256" s="8" t="s">
        <v>71</v>
      </c>
      <c r="F256" s="11">
        <v>45887</v>
      </c>
      <c r="G256" s="11">
        <v>45888</v>
      </c>
      <c r="H256" s="11">
        <v>45889</v>
      </c>
      <c r="I256" s="8" t="s">
        <v>685</v>
      </c>
      <c r="J256" s="8" t="s">
        <v>686</v>
      </c>
      <c r="K256" s="8" t="s">
        <v>92</v>
      </c>
      <c r="L256" s="8" t="s">
        <v>15</v>
      </c>
      <c r="M256" s="30" t="s">
        <v>687</v>
      </c>
      <c r="N256" s="8" t="s">
        <v>75</v>
      </c>
      <c r="O256" s="8" t="s">
        <v>94</v>
      </c>
      <c r="P256" s="28" t="s">
        <v>174</v>
      </c>
      <c r="Q256" s="16" t="s">
        <v>688</v>
      </c>
      <c r="X256" s="8" t="s">
        <v>98</v>
      </c>
      <c r="Y256" s="34">
        <f>IF(X256='Listas suspensas'!$A$21,'Listas suspensas'!$B$23,IF(X256='Listas suspensas'!$A$22,'Listas suspensas'!$B$23,IF(X256='Listas suspensas'!$A$23,'Listas suspensas'!$B$22,IF(X256='Listas suspensas'!$A$26,'Listas suspensas'!$B$22,IF(X256='Listas suspensas'!$A$32,'Listas suspensas'!$B$22,IF(X256='Listas suspensas'!$A$33,'Listas suspensas'!$B$21,IF(X256='Listas suspensas'!$A$24,'Listas suspensas'!$B$22,IF(X256='Listas suspensas'!$A$30,'Listas suspensas'!$B$21,""))))))))</f>
        <v>9.6</v>
      </c>
      <c r="Z256" s="8" t="s">
        <v>80</v>
      </c>
      <c r="AA256" s="8">
        <v>3</v>
      </c>
      <c r="AB256" s="8" t="str">
        <f>IF(AA256='Listas suspensas'!$A$2,'Listas suspensas'!$B$2,IF(AA256='Listas suspensas'!$A$3,'Listas suspensas'!$B$3,IF(AA256='Listas suspensas'!$A$4,'Listas suspensas'!$B$4,IF(AA256='Listas suspensas'!$A$5,'Listas suspensas'!$B$5,IF(AA256='Listas suspensas'!$A$6,'Listas suspensas'!$B$6,"")))))</f>
        <v xml:space="preserve"> Parcial e regular</v>
      </c>
      <c r="AC256" s="8" t="str">
        <f>IF(AA256='Listas suspensas'!$A$2,'Listas suspensas'!$C$2,IF(AA256='Listas suspensas'!$A$3,'Listas suspensas'!$C$3,IF(AA256='Listas suspensas'!$A$4,'Listas suspensas'!$C$4,IF(AA256='Listas suspensas'!$A$5,'Listas suspensas'!$C$5,IF(AA256='Listas suspensas'!$A$6,'Listas suspensas'!$C$6,"")))))</f>
        <v>Indica a penetração uniforme, mas não total pela extensão do alburno.</v>
      </c>
      <c r="BD256" s="13">
        <v>0.89900000000000002</v>
      </c>
      <c r="BE256" s="18">
        <f t="shared" si="60"/>
        <v>899</v>
      </c>
      <c r="BF256" s="8">
        <v>0.25800000000000001</v>
      </c>
      <c r="BG256" s="8">
        <v>0.155</v>
      </c>
      <c r="BH256" s="8">
        <v>0.26100000000000001</v>
      </c>
      <c r="BI256" s="13">
        <f t="shared" si="54"/>
        <v>0.67400000000000004</v>
      </c>
      <c r="BJ256" s="14">
        <v>38.299999999999997</v>
      </c>
      <c r="BK256" s="14">
        <v>23</v>
      </c>
      <c r="BL256" s="14">
        <v>38.700000000000003</v>
      </c>
      <c r="BM256" s="16">
        <f t="shared" si="55"/>
        <v>100</v>
      </c>
      <c r="BN256" s="21">
        <f t="shared" si="56"/>
        <v>2.3199999999999998</v>
      </c>
      <c r="BO256" s="21">
        <f t="shared" si="57"/>
        <v>1.39</v>
      </c>
      <c r="BP256" s="21">
        <f t="shared" si="58"/>
        <v>2.35</v>
      </c>
      <c r="BQ256" s="14">
        <f t="shared" si="59"/>
        <v>6.06</v>
      </c>
      <c r="BR256" s="22" t="str">
        <f>IF(OR(AND(X256="Mourões", BQ256&gt;=6.5),AND(X256="Postes", BQ256&gt;=9.6),AND(X256="Dormentes", BQ256&gt;=9.6),AND(X256="Estacas", BQ256&gt;=6.5),AND(X256="Cruzetas", BQ256&gt;=6.5),AND(X256="Outros - Solo", BQ256&gt;=6.5),AND(X256="Outros - Suspenso",BQ256&gt;=4),AND(X256="Deck",BQ256&gt;=4)),'Listas suspensas'!$C$21,'Listas suspensas'!$C$22)</f>
        <v>Os resultados da análise química apresentaram uma retenção do produto inferior ao padrão mínimo exigido pela norma ABNT NBR 16143</v>
      </c>
    </row>
    <row r="257" spans="2:70" x14ac:dyDescent="0.25">
      <c r="B257" s="8" t="s">
        <v>689</v>
      </c>
      <c r="C257" s="8" t="s">
        <v>71</v>
      </c>
      <c r="F257" s="11">
        <v>45887</v>
      </c>
      <c r="G257" s="11">
        <v>45888</v>
      </c>
      <c r="H257" s="11">
        <v>45889</v>
      </c>
      <c r="I257" s="8" t="s">
        <v>685</v>
      </c>
      <c r="J257" s="8" t="s">
        <v>686</v>
      </c>
      <c r="K257" s="8" t="s">
        <v>92</v>
      </c>
      <c r="L257" s="8" t="s">
        <v>15</v>
      </c>
      <c r="M257" s="30" t="s">
        <v>687</v>
      </c>
      <c r="N257" s="8" t="s">
        <v>75</v>
      </c>
      <c r="O257" s="8" t="s">
        <v>94</v>
      </c>
      <c r="P257" s="28" t="s">
        <v>174</v>
      </c>
      <c r="Q257" s="16" t="s">
        <v>690</v>
      </c>
      <c r="X257" s="8" t="s">
        <v>98</v>
      </c>
      <c r="Y257" s="34">
        <f>IF(X257='Listas suspensas'!$A$21,'Listas suspensas'!$B$23,IF(X257='Listas suspensas'!$A$22,'Listas suspensas'!$B$23,IF(X257='Listas suspensas'!$A$23,'Listas suspensas'!$B$22,IF(X257='Listas suspensas'!$A$26,'Listas suspensas'!$B$22,IF(X257='Listas suspensas'!$A$32,'Listas suspensas'!$B$22,IF(X257='Listas suspensas'!$A$33,'Listas suspensas'!$B$21,IF(X257='Listas suspensas'!$A$24,'Listas suspensas'!$B$22,IF(X257='Listas suspensas'!$A$30,'Listas suspensas'!$B$21,""))))))))</f>
        <v>9.6</v>
      </c>
      <c r="Z257" s="8" t="s">
        <v>80</v>
      </c>
      <c r="AA257" s="8">
        <v>5</v>
      </c>
      <c r="AB257" s="8" t="str">
        <f>IF(AA257='Listas suspensas'!$A$2,'Listas suspensas'!$B$2,IF(AA257='Listas suspensas'!$A$3,'Listas suspensas'!$B$3,IF(AA257='Listas suspensas'!$A$4,'Listas suspensas'!$B$4,IF(AA257='Listas suspensas'!$A$5,'Listas suspensas'!$B$5,IF(AA257='Listas suspensas'!$A$6,'Listas suspensas'!$B$6,"")))))</f>
        <v>Sem Reação do Cromoazurol</v>
      </c>
      <c r="AC257" s="8" t="str">
        <f>IF(AA257='Listas suspensas'!$A$2,'Listas suspensas'!$C$2,IF(AA257='Listas suspensas'!$A$3,'Listas suspensas'!$C$3,IF(AA257='Listas suspensas'!$A$4,'Listas suspensas'!$C$4,IF(AA257='Listas suspensas'!$A$5,'Listas suspensas'!$C$5,IF(AA257='Listas suspensas'!$A$6,'Listas suspensas'!$C$6,"")))))</f>
        <v>Sem Reação do Cromoazurol</v>
      </c>
      <c r="BD257" s="13">
        <v>0.749</v>
      </c>
      <c r="BE257" s="18">
        <f t="shared" si="60"/>
        <v>749</v>
      </c>
      <c r="BF257" s="8">
        <v>7.6999999999999999E-2</v>
      </c>
      <c r="BG257" s="8">
        <v>6.0000000000000001E-3</v>
      </c>
      <c r="BH257" s="8">
        <v>2.3E-2</v>
      </c>
      <c r="BI257" s="13">
        <f t="shared" si="54"/>
        <v>0.10600000000000001</v>
      </c>
      <c r="BJ257" s="14">
        <v>72.3</v>
      </c>
      <c r="BK257" s="14">
        <v>5.8</v>
      </c>
      <c r="BL257" s="14">
        <v>21.9</v>
      </c>
      <c r="BM257" s="16">
        <f t="shared" si="55"/>
        <v>100</v>
      </c>
      <c r="BN257" s="21">
        <f t="shared" si="56"/>
        <v>0.57999999999999996</v>
      </c>
      <c r="BO257" s="21">
        <f t="shared" si="57"/>
        <v>0.04</v>
      </c>
      <c r="BP257" s="21">
        <f t="shared" si="58"/>
        <v>0.17</v>
      </c>
      <c r="BQ257" s="14">
        <f t="shared" si="59"/>
        <v>0.79</v>
      </c>
      <c r="BR257" s="22" t="str">
        <f>IF(OR(AND(X257="Mourões", BQ257&gt;=6.5),AND(X257="Postes", BQ257&gt;=9.6),AND(X257="Dormentes", BQ257&gt;=9.6),AND(X257="Estacas", BQ257&gt;=6.5),AND(X257="Cruzetas", BQ257&gt;=6.5),AND(X257="Outros - Solo", BQ257&gt;=6.5),AND(X257="Outros - Suspenso",BQ257&gt;=4),AND(X257="Deck",BQ257&gt;=4)),'Listas suspensas'!$C$21,'Listas suspensas'!$C$22)</f>
        <v>Os resultados da análise química apresentaram uma retenção do produto inferior ao padrão mínimo exigido pela norma ABNT NBR 16143</v>
      </c>
    </row>
    <row r="258" spans="2:70" x14ac:dyDescent="0.25">
      <c r="B258" s="8" t="s">
        <v>691</v>
      </c>
      <c r="C258" s="8" t="s">
        <v>71</v>
      </c>
      <c r="F258" s="11">
        <v>45887</v>
      </c>
      <c r="G258" s="11">
        <v>45888</v>
      </c>
      <c r="H258" s="11">
        <v>45889</v>
      </c>
      <c r="I258" s="8" t="s">
        <v>685</v>
      </c>
      <c r="J258" s="8" t="s">
        <v>686</v>
      </c>
      <c r="K258" s="8" t="s">
        <v>92</v>
      </c>
      <c r="L258" s="8" t="s">
        <v>15</v>
      </c>
      <c r="M258" s="30" t="s">
        <v>687</v>
      </c>
      <c r="N258" s="8" t="s">
        <v>75</v>
      </c>
      <c r="O258" s="8" t="s">
        <v>94</v>
      </c>
      <c r="P258" s="28" t="s">
        <v>174</v>
      </c>
      <c r="Q258" s="16" t="s">
        <v>692</v>
      </c>
      <c r="X258" s="8" t="s">
        <v>98</v>
      </c>
      <c r="Y258" s="34">
        <f>IF(X258='Listas suspensas'!$A$21,'Listas suspensas'!$B$23,IF(X258='Listas suspensas'!$A$22,'Listas suspensas'!$B$23,IF(X258='Listas suspensas'!$A$23,'Listas suspensas'!$B$22,IF(X258='Listas suspensas'!$A$26,'Listas suspensas'!$B$22,IF(X258='Listas suspensas'!$A$32,'Listas suspensas'!$B$22,IF(X258='Listas suspensas'!$A$33,'Listas suspensas'!$B$21,IF(X258='Listas suspensas'!$A$24,'Listas suspensas'!$B$22,IF(X258='Listas suspensas'!$A$30,'Listas suspensas'!$B$21,""))))))))</f>
        <v>9.6</v>
      </c>
      <c r="Z258" s="8" t="s">
        <v>80</v>
      </c>
      <c r="AA258" s="8">
        <v>5</v>
      </c>
      <c r="AB258" s="8" t="str">
        <f>IF(AA258='Listas suspensas'!$A$2,'Listas suspensas'!$B$2,IF(AA258='Listas suspensas'!$A$3,'Listas suspensas'!$B$3,IF(AA258='Listas suspensas'!$A$4,'Listas suspensas'!$B$4,IF(AA258='Listas suspensas'!$A$5,'Listas suspensas'!$B$5,IF(AA258='Listas suspensas'!$A$6,'Listas suspensas'!$B$6,"")))))</f>
        <v>Sem Reação do Cromoazurol</v>
      </c>
      <c r="AC258" s="8" t="str">
        <f>IF(AA258='Listas suspensas'!$A$2,'Listas suspensas'!$C$2,IF(AA258='Listas suspensas'!$A$3,'Listas suspensas'!$C$3,IF(AA258='Listas suspensas'!$A$4,'Listas suspensas'!$C$4,IF(AA258='Listas suspensas'!$A$5,'Listas suspensas'!$C$5,IF(AA258='Listas suspensas'!$A$6,'Listas suspensas'!$C$6,"")))))</f>
        <v>Sem Reação do Cromoazurol</v>
      </c>
      <c r="BD258" s="13">
        <v>0.99199999999999999</v>
      </c>
      <c r="BE258" s="18">
        <f t="shared" si="60"/>
        <v>992</v>
      </c>
      <c r="BF258" s="8">
        <v>8.5000000000000006E-2</v>
      </c>
      <c r="BG258" s="8">
        <v>1.4E-2</v>
      </c>
      <c r="BH258" s="8">
        <v>1.6E-2</v>
      </c>
      <c r="BI258" s="13">
        <f t="shared" ref="BI258:BI321" si="61">SUM(BF258:BH258)</f>
        <v>0.115</v>
      </c>
      <c r="BJ258" s="14">
        <v>73.7</v>
      </c>
      <c r="BK258" s="14">
        <v>12.1</v>
      </c>
      <c r="BL258" s="14">
        <v>14.2</v>
      </c>
      <c r="BM258" s="16">
        <f t="shared" si="55"/>
        <v>100</v>
      </c>
      <c r="BN258" s="21">
        <f t="shared" si="56"/>
        <v>0.84</v>
      </c>
      <c r="BO258" s="21">
        <f t="shared" si="57"/>
        <v>0.14000000000000001</v>
      </c>
      <c r="BP258" s="21">
        <f t="shared" si="58"/>
        <v>0.16</v>
      </c>
      <c r="BQ258" s="14">
        <f t="shared" si="59"/>
        <v>1.1399999999999999</v>
      </c>
      <c r="BR258" s="22" t="str">
        <f>IF(OR(AND(X258="Mourões", BQ258&gt;=6.5),AND(X258="Postes", BQ258&gt;=9.6),AND(X258="Dormentes", BQ258&gt;=9.6),AND(X258="Estacas", BQ258&gt;=6.5),AND(X258="Cruzetas", BQ258&gt;=6.5),AND(X258="Outros - Solo", BQ258&gt;=6.5),AND(X258="Outros - Suspenso",BQ258&gt;=4),AND(X258="Deck",BQ258&gt;=4)),'Listas suspensas'!$C$21,'Listas suspensas'!$C$22)</f>
        <v>Os resultados da análise química apresentaram uma retenção do produto inferior ao padrão mínimo exigido pela norma ABNT NBR 16143</v>
      </c>
    </row>
    <row r="259" spans="2:70" x14ac:dyDescent="0.25">
      <c r="B259" s="8" t="s">
        <v>693</v>
      </c>
      <c r="C259" s="8" t="s">
        <v>71</v>
      </c>
      <c r="F259" s="11">
        <v>45887</v>
      </c>
      <c r="G259" s="11">
        <v>45888</v>
      </c>
      <c r="H259" s="11">
        <v>45889</v>
      </c>
      <c r="I259" s="8" t="s">
        <v>685</v>
      </c>
      <c r="J259" s="8" t="s">
        <v>686</v>
      </c>
      <c r="K259" s="8" t="s">
        <v>92</v>
      </c>
      <c r="L259" s="8" t="s">
        <v>15</v>
      </c>
      <c r="M259" s="30" t="s">
        <v>687</v>
      </c>
      <c r="N259" s="8" t="s">
        <v>75</v>
      </c>
      <c r="O259" s="8" t="s">
        <v>94</v>
      </c>
      <c r="P259" s="28" t="s">
        <v>174</v>
      </c>
      <c r="Q259" s="16" t="s">
        <v>694</v>
      </c>
      <c r="X259" s="8" t="s">
        <v>98</v>
      </c>
      <c r="Y259" s="34">
        <f>IF(X259='Listas suspensas'!$A$21,'Listas suspensas'!$B$23,IF(X259='Listas suspensas'!$A$22,'Listas suspensas'!$B$23,IF(X259='Listas suspensas'!$A$23,'Listas suspensas'!$B$22,IF(X259='Listas suspensas'!$A$26,'Listas suspensas'!$B$22,IF(X259='Listas suspensas'!$A$32,'Listas suspensas'!$B$22,IF(X259='Listas suspensas'!$A$33,'Listas suspensas'!$B$21,IF(X259='Listas suspensas'!$A$24,'Listas suspensas'!$B$22,IF(X259='Listas suspensas'!$A$30,'Listas suspensas'!$B$21,""))))))))</f>
        <v>9.6</v>
      </c>
      <c r="Z259" s="8" t="s">
        <v>80</v>
      </c>
      <c r="AA259" s="8">
        <v>5</v>
      </c>
      <c r="AB259" s="8" t="str">
        <f>IF(AA259='Listas suspensas'!$A$2,'Listas suspensas'!$B$2,IF(AA259='Listas suspensas'!$A$3,'Listas suspensas'!$B$3,IF(AA259='Listas suspensas'!$A$4,'Listas suspensas'!$B$4,IF(AA259='Listas suspensas'!$A$5,'Listas suspensas'!$B$5,IF(AA259='Listas suspensas'!$A$6,'Listas suspensas'!$B$6,"")))))</f>
        <v>Sem Reação do Cromoazurol</v>
      </c>
      <c r="AC259" s="8" t="str">
        <f>IF(AA259='Listas suspensas'!$A$2,'Listas suspensas'!$C$2,IF(AA259='Listas suspensas'!$A$3,'Listas suspensas'!$C$3,IF(AA259='Listas suspensas'!$A$4,'Listas suspensas'!$C$4,IF(AA259='Listas suspensas'!$A$5,'Listas suspensas'!$C$5,IF(AA259='Listas suspensas'!$A$6,'Listas suspensas'!$C$6,"")))))</f>
        <v>Sem Reação do Cromoazurol</v>
      </c>
      <c r="BD259" s="13">
        <v>0.86899999999999999</v>
      </c>
      <c r="BE259" s="18">
        <f t="shared" si="60"/>
        <v>869</v>
      </c>
      <c r="BF259" s="8">
        <v>8.6999999999999994E-2</v>
      </c>
      <c r="BG259" s="8">
        <v>2.5000000000000001E-2</v>
      </c>
      <c r="BH259" s="8">
        <v>4.2000000000000003E-2</v>
      </c>
      <c r="BI259" s="13">
        <f t="shared" si="61"/>
        <v>0.154</v>
      </c>
      <c r="BJ259" s="14">
        <v>56.5</v>
      </c>
      <c r="BK259" s="14">
        <v>16.2</v>
      </c>
      <c r="BL259" s="14">
        <v>27.3</v>
      </c>
      <c r="BM259" s="16">
        <f t="shared" si="55"/>
        <v>100</v>
      </c>
      <c r="BN259" s="21">
        <f t="shared" si="56"/>
        <v>0.76</v>
      </c>
      <c r="BO259" s="21">
        <f t="shared" si="57"/>
        <v>0.22</v>
      </c>
      <c r="BP259" s="21">
        <f t="shared" si="58"/>
        <v>0.36</v>
      </c>
      <c r="BQ259" s="14">
        <f t="shared" si="59"/>
        <v>1.34</v>
      </c>
      <c r="BR259" s="22" t="str">
        <f>IF(OR(AND(X259="Mourões", BQ259&gt;=6.5),AND(X259="Postes", BQ259&gt;=9.6),AND(X259="Dormentes", BQ259&gt;=9.6),AND(X259="Estacas", BQ259&gt;=6.5),AND(X259="Cruzetas", BQ259&gt;=6.5),AND(X259="Outros - Solo", BQ259&gt;=6.5),AND(X259="Outros - Suspenso",BQ259&gt;=4),AND(X259="Deck",BQ259&gt;=4)),'Listas suspensas'!$C$21,'Listas suspensas'!$C$22)</f>
        <v>Os resultados da análise química apresentaram uma retenção do produto inferior ao padrão mínimo exigido pela norma ABNT NBR 16143</v>
      </c>
    </row>
    <row r="260" spans="2:70" x14ac:dyDescent="0.25">
      <c r="B260" s="8" t="s">
        <v>695</v>
      </c>
      <c r="C260" s="8" t="s">
        <v>71</v>
      </c>
      <c r="F260" s="11">
        <v>45881</v>
      </c>
      <c r="G260" s="11">
        <v>45884</v>
      </c>
      <c r="H260" s="11">
        <v>45896</v>
      </c>
      <c r="I260" s="8" t="s">
        <v>696</v>
      </c>
      <c r="J260" s="8" t="s">
        <v>697</v>
      </c>
      <c r="K260" s="8" t="s">
        <v>202</v>
      </c>
      <c r="L260" s="8" t="s">
        <v>15</v>
      </c>
      <c r="N260" s="8" t="s">
        <v>75</v>
      </c>
      <c r="O260" s="8" t="s">
        <v>104</v>
      </c>
      <c r="P260" s="28" t="s">
        <v>146</v>
      </c>
      <c r="Q260" s="16" t="s">
        <v>698</v>
      </c>
      <c r="X260" s="8" t="s">
        <v>699</v>
      </c>
      <c r="Y260" s="34">
        <f>IF(X260='Listas suspensas'!$A$21,'Listas suspensas'!$B$23,IF(X260='Listas suspensas'!$A$22,'Listas suspensas'!$B$23,IF(X260='Listas suspensas'!$A$23,'Listas suspensas'!$B$22,IF(X260='Listas suspensas'!$A$26,'Listas suspensas'!$B$22,IF(X260='Listas suspensas'!$A$32,'Listas suspensas'!$B$22,IF(X260='Listas suspensas'!$A$33,'Listas suspensas'!$B$21,IF(X260='Listas suspensas'!$A$24,'Listas suspensas'!$B$22,IF(X260='Listas suspensas'!$A$30,'Listas suspensas'!$B$21,""))))))))</f>
        <v>4</v>
      </c>
      <c r="Z260" s="8" t="s">
        <v>80</v>
      </c>
      <c r="AA260" s="8">
        <v>1</v>
      </c>
      <c r="AB260" s="8" t="str">
        <f>IF(AA260='Listas suspensas'!$A$2,'Listas suspensas'!$B$2,IF(AA260='Listas suspensas'!$A$3,'Listas suspensas'!$B$3,IF(AA260='Listas suspensas'!$A$4,'Listas suspensas'!$B$4,IF(AA260='Listas suspensas'!$A$5,'Listas suspensas'!$B$5,IF(AA260='Listas suspensas'!$A$6,'Listas suspensas'!$B$6,"")))))</f>
        <v>Profunda e regular</v>
      </c>
      <c r="AC260" s="8" t="str">
        <f>IF(AA260='Listas suspensas'!$A$2,'Listas suspensas'!$C$2,IF(AA260='Listas suspensas'!$A$3,'Listas suspensas'!$C$3,IF(AA260='Listas suspensas'!$A$4,'Listas suspensas'!$C$4,IF(AA260='Listas suspensas'!$A$5,'Listas suspensas'!$C$5,IF(AA260='Listas suspensas'!$A$6,'Listas suspensas'!$C$6,"")))))</f>
        <v>Indica a penetração profunda e uniforme em toda a extensão do alburno.</v>
      </c>
      <c r="BD260" s="13">
        <v>0.498</v>
      </c>
      <c r="BE260" s="18">
        <f t="shared" si="60"/>
        <v>498</v>
      </c>
      <c r="BF260" s="8">
        <v>1.2270000000000001</v>
      </c>
      <c r="BG260" s="8">
        <v>0.41199999999999998</v>
      </c>
      <c r="BH260" s="8">
        <v>0.86499999999999999</v>
      </c>
      <c r="BI260" s="13">
        <f t="shared" si="61"/>
        <v>2.504</v>
      </c>
      <c r="BJ260" s="14">
        <v>49</v>
      </c>
      <c r="BK260" s="14">
        <v>16.5</v>
      </c>
      <c r="BL260" s="14">
        <v>34.5</v>
      </c>
      <c r="BM260" s="16">
        <f t="shared" si="55"/>
        <v>100</v>
      </c>
      <c r="BN260" s="21">
        <f t="shared" si="56"/>
        <v>6.11</v>
      </c>
      <c r="BO260" s="21">
        <f t="shared" si="57"/>
        <v>2.0499999999999998</v>
      </c>
      <c r="BP260" s="21">
        <f t="shared" si="58"/>
        <v>4.3099999999999996</v>
      </c>
      <c r="BQ260" s="14">
        <f t="shared" si="59"/>
        <v>12.47</v>
      </c>
      <c r="BR260" s="22" t="str">
        <f>IF(OR(AND(X260="Mourões", BQ260&gt;=6.5),AND(X260="Postes", BQ260&gt;=9.6),AND(X260="Dormentes", BQ260&gt;=9.6),AND(X260="Estacas", BQ260&gt;=6.5),AND(X260="Cruzetas", BQ260&gt;=6.5),AND(X260="Outros - Solo", BQ260&gt;=6.5),AND(X260="Outros - Suspenso",BQ260&gt;=4),AND(X260="Deck",BQ260&gt;=4)),'Listas suspensas'!$C$21,'Listas suspensas'!$C$22)</f>
        <v>Os resultados da análise química apresentaram uma retenção do produto de acordo com o padrão mínimo exigido pela norma ABNT NBR 16143</v>
      </c>
    </row>
    <row r="261" spans="2:70" x14ac:dyDescent="0.25">
      <c r="B261" s="8" t="s">
        <v>700</v>
      </c>
      <c r="C261" s="8" t="s">
        <v>71</v>
      </c>
      <c r="F261" s="11">
        <v>45881</v>
      </c>
      <c r="G261" s="11">
        <v>45884</v>
      </c>
      <c r="H261" s="11">
        <v>45896</v>
      </c>
      <c r="I261" s="8" t="s">
        <v>696</v>
      </c>
      <c r="J261" s="8" t="s">
        <v>697</v>
      </c>
      <c r="K261" s="8" t="s">
        <v>202</v>
      </c>
      <c r="L261" s="8" t="s">
        <v>15</v>
      </c>
      <c r="N261" s="8" t="s">
        <v>75</v>
      </c>
      <c r="O261" s="8" t="s">
        <v>104</v>
      </c>
      <c r="P261" s="28" t="s">
        <v>146</v>
      </c>
      <c r="Q261" s="16" t="s">
        <v>701</v>
      </c>
      <c r="X261" s="8" t="s">
        <v>699</v>
      </c>
      <c r="Y261" s="34">
        <f>IF(X261='Listas suspensas'!$A$21,'Listas suspensas'!$B$23,IF(X261='Listas suspensas'!$A$22,'Listas suspensas'!$B$23,IF(X261='Listas suspensas'!$A$23,'Listas suspensas'!$B$22,IF(X261='Listas suspensas'!$A$26,'Listas suspensas'!$B$22,IF(X261='Listas suspensas'!$A$32,'Listas suspensas'!$B$22,IF(X261='Listas suspensas'!$A$33,'Listas suspensas'!$B$21,IF(X261='Listas suspensas'!$A$24,'Listas suspensas'!$B$22,IF(X261='Listas suspensas'!$A$30,'Listas suspensas'!$B$21,""))))))))</f>
        <v>4</v>
      </c>
      <c r="Z261" s="8" t="s">
        <v>80</v>
      </c>
      <c r="AA261" s="8">
        <v>1</v>
      </c>
      <c r="AB261" s="8" t="str">
        <f>IF(AA261='Listas suspensas'!$A$2,'Listas suspensas'!$B$2,IF(AA261='Listas suspensas'!$A$3,'Listas suspensas'!$B$3,IF(AA261='Listas suspensas'!$A$4,'Listas suspensas'!$B$4,IF(AA261='Listas suspensas'!$A$5,'Listas suspensas'!$B$5,IF(AA261='Listas suspensas'!$A$6,'Listas suspensas'!$B$6,"")))))</f>
        <v>Profunda e regular</v>
      </c>
      <c r="AC261" s="8" t="str">
        <f>IF(AA261='Listas suspensas'!$A$2,'Listas suspensas'!$C$2,IF(AA261='Listas suspensas'!$A$3,'Listas suspensas'!$C$3,IF(AA261='Listas suspensas'!$A$4,'Listas suspensas'!$C$4,IF(AA261='Listas suspensas'!$A$5,'Listas suspensas'!$C$5,IF(AA261='Listas suspensas'!$A$6,'Listas suspensas'!$C$6,"")))))</f>
        <v>Indica a penetração profunda e uniforme em toda a extensão do alburno.</v>
      </c>
      <c r="BD261" s="13">
        <v>0.48099999999999998</v>
      </c>
      <c r="BE261" s="18">
        <f t="shared" si="60"/>
        <v>481</v>
      </c>
      <c r="BF261" s="8">
        <v>1.234</v>
      </c>
      <c r="BG261" s="8">
        <v>0.40899999999999997</v>
      </c>
      <c r="BH261" s="8">
        <v>0.91800000000000004</v>
      </c>
      <c r="BI261" s="13">
        <f t="shared" si="61"/>
        <v>2.5609999999999999</v>
      </c>
      <c r="BJ261" s="14">
        <v>48.2</v>
      </c>
      <c r="BK261" s="14">
        <v>16</v>
      </c>
      <c r="BL261" s="14">
        <v>35.799999999999997</v>
      </c>
      <c r="BM261" s="16">
        <f t="shared" si="55"/>
        <v>100</v>
      </c>
      <c r="BN261" s="21">
        <f t="shared" si="56"/>
        <v>5.94</v>
      </c>
      <c r="BO261" s="21">
        <f t="shared" si="57"/>
        <v>1.97</v>
      </c>
      <c r="BP261" s="21">
        <f t="shared" si="58"/>
        <v>4.42</v>
      </c>
      <c r="BQ261" s="14">
        <f t="shared" si="59"/>
        <v>12.33</v>
      </c>
      <c r="BR261" s="22" t="str">
        <f>IF(OR(AND(X261="Mourões", BQ261&gt;=6.5),AND(X261="Postes", BQ261&gt;=9.6),AND(X261="Dormentes", BQ261&gt;=9.6),AND(X261="Estacas", BQ261&gt;=6.5),AND(X261="Cruzetas", BQ261&gt;=6.5),AND(X261="Outros - Solo", BQ261&gt;=6.5),AND(X261="Outros - Suspenso",BQ261&gt;=4),AND(X261="Deck",BQ261&gt;=4)),'Listas suspensas'!$C$21,'Listas suspensas'!$C$22)</f>
        <v>Os resultados da análise química apresentaram uma retenção do produto de acordo com o padrão mínimo exigido pela norma ABNT NBR 16143</v>
      </c>
    </row>
    <row r="262" spans="2:70" x14ac:dyDescent="0.25">
      <c r="B262" s="8" t="s">
        <v>702</v>
      </c>
      <c r="C262" s="8" t="s">
        <v>71</v>
      </c>
      <c r="F262" s="11">
        <v>45881</v>
      </c>
      <c r="G262" s="11">
        <v>45884</v>
      </c>
      <c r="H262" s="11">
        <v>45896</v>
      </c>
      <c r="I262" s="8" t="s">
        <v>696</v>
      </c>
      <c r="J262" s="8" t="s">
        <v>697</v>
      </c>
      <c r="K262" s="8" t="s">
        <v>202</v>
      </c>
      <c r="L262" s="8" t="s">
        <v>15</v>
      </c>
      <c r="N262" s="8" t="s">
        <v>75</v>
      </c>
      <c r="O262" s="8" t="s">
        <v>104</v>
      </c>
      <c r="P262" s="28" t="s">
        <v>146</v>
      </c>
      <c r="Q262" s="16" t="s">
        <v>703</v>
      </c>
      <c r="X262" s="8" t="s">
        <v>699</v>
      </c>
      <c r="Y262" s="34">
        <f>IF(X262='Listas suspensas'!$A$21,'Listas suspensas'!$B$23,IF(X262='Listas suspensas'!$A$22,'Listas suspensas'!$B$23,IF(X262='Listas suspensas'!$A$23,'Listas suspensas'!$B$22,IF(X262='Listas suspensas'!$A$26,'Listas suspensas'!$B$22,IF(X262='Listas suspensas'!$A$32,'Listas suspensas'!$B$22,IF(X262='Listas suspensas'!$A$33,'Listas suspensas'!$B$21,IF(X262='Listas suspensas'!$A$24,'Listas suspensas'!$B$22,IF(X262='Listas suspensas'!$A$30,'Listas suspensas'!$B$21,""))))))))</f>
        <v>4</v>
      </c>
      <c r="Z262" s="8" t="s">
        <v>80</v>
      </c>
      <c r="AA262" s="8">
        <v>1</v>
      </c>
      <c r="AB262" s="8" t="str">
        <f>IF(AA262='Listas suspensas'!$A$2,'Listas suspensas'!$B$2,IF(AA262='Listas suspensas'!$A$3,'Listas suspensas'!$B$3,IF(AA262='Listas suspensas'!$A$4,'Listas suspensas'!$B$4,IF(AA262='Listas suspensas'!$A$5,'Listas suspensas'!$B$5,IF(AA262='Listas suspensas'!$A$6,'Listas suspensas'!$B$6,"")))))</f>
        <v>Profunda e regular</v>
      </c>
      <c r="AC262" s="8" t="str">
        <f>IF(AA262='Listas suspensas'!$A$2,'Listas suspensas'!$C$2,IF(AA262='Listas suspensas'!$A$3,'Listas suspensas'!$C$3,IF(AA262='Listas suspensas'!$A$4,'Listas suspensas'!$C$4,IF(AA262='Listas suspensas'!$A$5,'Listas suspensas'!$C$5,IF(AA262='Listas suspensas'!$A$6,'Listas suspensas'!$C$6,"")))))</f>
        <v>Indica a penetração profunda e uniforme em toda a extensão do alburno.</v>
      </c>
      <c r="BD262" s="13">
        <v>0.47199999999999998</v>
      </c>
      <c r="BE262" s="18">
        <f t="shared" si="60"/>
        <v>472</v>
      </c>
      <c r="BF262" s="8">
        <v>1.419</v>
      </c>
      <c r="BG262" s="8">
        <v>0.45100000000000001</v>
      </c>
      <c r="BH262" s="8">
        <v>0.92300000000000004</v>
      </c>
      <c r="BI262" s="13">
        <f t="shared" si="61"/>
        <v>2.7930000000000001</v>
      </c>
      <c r="BJ262" s="14">
        <v>50.8</v>
      </c>
      <c r="BK262" s="14">
        <v>16.100000000000001</v>
      </c>
      <c r="BL262" s="14">
        <v>33.1</v>
      </c>
      <c r="BM262" s="16">
        <f t="shared" si="55"/>
        <v>100</v>
      </c>
      <c r="BN262" s="21">
        <f t="shared" si="56"/>
        <v>6.7</v>
      </c>
      <c r="BO262" s="21">
        <f t="shared" si="57"/>
        <v>2.13</v>
      </c>
      <c r="BP262" s="21">
        <f t="shared" si="58"/>
        <v>4.3600000000000003</v>
      </c>
      <c r="BQ262" s="14">
        <f t="shared" si="59"/>
        <v>13.19</v>
      </c>
      <c r="BR262" s="22" t="str">
        <f>IF(OR(AND(X262="Mourões", BQ262&gt;=6.5),AND(X262="Postes", BQ262&gt;=9.6),AND(X262="Dormentes", BQ262&gt;=9.6),AND(X262="Estacas", BQ262&gt;=6.5),AND(X262="Cruzetas", BQ262&gt;=6.5),AND(X262="Outros - Solo", BQ262&gt;=6.5),AND(X262="Outros - Suspenso",BQ262&gt;=4),AND(X262="Deck",BQ262&gt;=4)),'Listas suspensas'!$C$21,'Listas suspensas'!$C$22)</f>
        <v>Os resultados da análise química apresentaram uma retenção do produto de acordo com o padrão mínimo exigido pela norma ABNT NBR 16143</v>
      </c>
    </row>
    <row r="263" spans="2:70" x14ac:dyDescent="0.25">
      <c r="B263" s="8" t="s">
        <v>704</v>
      </c>
      <c r="C263" s="8" t="s">
        <v>71</v>
      </c>
      <c r="F263" s="11">
        <v>45881</v>
      </c>
      <c r="G263" s="11">
        <v>45884</v>
      </c>
      <c r="H263" s="11">
        <v>45896</v>
      </c>
      <c r="I263" s="8" t="s">
        <v>696</v>
      </c>
      <c r="J263" s="8" t="s">
        <v>697</v>
      </c>
      <c r="K263" s="8" t="s">
        <v>202</v>
      </c>
      <c r="L263" s="8" t="s">
        <v>15</v>
      </c>
      <c r="N263" s="8" t="s">
        <v>75</v>
      </c>
      <c r="O263" s="8" t="s">
        <v>104</v>
      </c>
      <c r="P263" s="28" t="s">
        <v>146</v>
      </c>
      <c r="Q263" s="16" t="s">
        <v>705</v>
      </c>
      <c r="X263" s="8" t="s">
        <v>699</v>
      </c>
      <c r="Y263" s="34">
        <f>IF(X263='Listas suspensas'!$A$21,'Listas suspensas'!$B$23,IF(X263='Listas suspensas'!$A$22,'Listas suspensas'!$B$23,IF(X263='Listas suspensas'!$A$23,'Listas suspensas'!$B$22,IF(X263='Listas suspensas'!$A$26,'Listas suspensas'!$B$22,IF(X263='Listas suspensas'!$A$32,'Listas suspensas'!$B$22,IF(X263='Listas suspensas'!$A$33,'Listas suspensas'!$B$21,IF(X263='Listas suspensas'!$A$24,'Listas suspensas'!$B$22,IF(X263='Listas suspensas'!$A$30,'Listas suspensas'!$B$21,""))))))))</f>
        <v>4</v>
      </c>
      <c r="Z263" s="8" t="s">
        <v>80</v>
      </c>
      <c r="AA263" s="8">
        <v>1</v>
      </c>
      <c r="AB263" s="8" t="str">
        <f>IF(AA263='Listas suspensas'!$A$2,'Listas suspensas'!$B$2,IF(AA263='Listas suspensas'!$A$3,'Listas suspensas'!$B$3,IF(AA263='Listas suspensas'!$A$4,'Listas suspensas'!$B$4,IF(AA263='Listas suspensas'!$A$5,'Listas suspensas'!$B$5,IF(AA263='Listas suspensas'!$A$6,'Listas suspensas'!$B$6,"")))))</f>
        <v>Profunda e regular</v>
      </c>
      <c r="AC263" s="8" t="str">
        <f>IF(AA263='Listas suspensas'!$A$2,'Listas suspensas'!$C$2,IF(AA263='Listas suspensas'!$A$3,'Listas suspensas'!$C$3,IF(AA263='Listas suspensas'!$A$4,'Listas suspensas'!$C$4,IF(AA263='Listas suspensas'!$A$5,'Listas suspensas'!$C$5,IF(AA263='Listas suspensas'!$A$6,'Listas suspensas'!$C$6,"")))))</f>
        <v>Indica a penetração profunda e uniforme em toda a extensão do alburno.</v>
      </c>
      <c r="BD263" s="13">
        <v>0.504</v>
      </c>
      <c r="BE263" s="18">
        <f t="shared" si="60"/>
        <v>504</v>
      </c>
      <c r="BF263" s="8">
        <v>1.1259999999999999</v>
      </c>
      <c r="BG263" s="8">
        <v>0.36199999999999999</v>
      </c>
      <c r="BH263" s="8">
        <v>0.69899999999999995</v>
      </c>
      <c r="BI263" s="13">
        <f t="shared" si="61"/>
        <v>2.1869999999999998</v>
      </c>
      <c r="BJ263" s="14">
        <v>51.5</v>
      </c>
      <c r="BK263" s="14">
        <v>16.600000000000001</v>
      </c>
      <c r="BL263" s="14">
        <v>31.9</v>
      </c>
      <c r="BM263" s="16">
        <f t="shared" si="55"/>
        <v>100</v>
      </c>
      <c r="BN263" s="21">
        <f t="shared" si="56"/>
        <v>5.68</v>
      </c>
      <c r="BO263" s="21">
        <f t="shared" si="57"/>
        <v>1.82</v>
      </c>
      <c r="BP263" s="21">
        <f t="shared" si="58"/>
        <v>3.52</v>
      </c>
      <c r="BQ263" s="14">
        <f t="shared" si="59"/>
        <v>11.02</v>
      </c>
      <c r="BR263" s="22" t="str">
        <f>IF(OR(AND(X263="Mourões", BQ263&gt;=6.5),AND(X263="Postes", BQ263&gt;=9.6),AND(X263="Dormentes", BQ263&gt;=9.6),AND(X263="Estacas", BQ263&gt;=6.5),AND(X263="Cruzetas", BQ263&gt;=6.5),AND(X263="Outros - Solo", BQ263&gt;=6.5),AND(X263="Outros - Suspenso",BQ263&gt;=4),AND(X263="Deck",BQ263&gt;=4)),'Listas suspensas'!$C$21,'Listas suspensas'!$C$22)</f>
        <v>Os resultados da análise química apresentaram uma retenção do produto de acordo com o padrão mínimo exigido pela norma ABNT NBR 16143</v>
      </c>
    </row>
    <row r="264" spans="2:70" x14ac:dyDescent="0.25">
      <c r="B264" s="8" t="s">
        <v>706</v>
      </c>
      <c r="C264" s="8" t="s">
        <v>71</v>
      </c>
      <c r="F264" s="11">
        <v>45881</v>
      </c>
      <c r="G264" s="11">
        <v>45884</v>
      </c>
      <c r="H264" s="11">
        <v>45896</v>
      </c>
      <c r="I264" s="8" t="s">
        <v>696</v>
      </c>
      <c r="J264" s="8" t="s">
        <v>697</v>
      </c>
      <c r="K264" s="8" t="s">
        <v>202</v>
      </c>
      <c r="L264" s="8" t="s">
        <v>15</v>
      </c>
      <c r="N264" s="8" t="s">
        <v>75</v>
      </c>
      <c r="O264" s="8" t="s">
        <v>104</v>
      </c>
      <c r="P264" s="28" t="s">
        <v>146</v>
      </c>
      <c r="Q264" s="16" t="s">
        <v>707</v>
      </c>
      <c r="X264" s="8" t="s">
        <v>699</v>
      </c>
      <c r="Y264" s="34">
        <f>IF(X264='Listas suspensas'!$A$21,'Listas suspensas'!$B$23,IF(X264='Listas suspensas'!$A$22,'Listas suspensas'!$B$23,IF(X264='Listas suspensas'!$A$23,'Listas suspensas'!$B$22,IF(X264='Listas suspensas'!$A$26,'Listas suspensas'!$B$22,IF(X264='Listas suspensas'!$A$32,'Listas suspensas'!$B$22,IF(X264='Listas suspensas'!$A$33,'Listas suspensas'!$B$21,IF(X264='Listas suspensas'!$A$24,'Listas suspensas'!$B$22,IF(X264='Listas suspensas'!$A$30,'Listas suspensas'!$B$21,""))))))))</f>
        <v>4</v>
      </c>
      <c r="Z264" s="8" t="s">
        <v>80</v>
      </c>
      <c r="AA264" s="8">
        <v>1</v>
      </c>
      <c r="AB264" s="8" t="str">
        <f>IF(AA264='Listas suspensas'!$A$2,'Listas suspensas'!$B$2,IF(AA264='Listas suspensas'!$A$3,'Listas suspensas'!$B$3,IF(AA264='Listas suspensas'!$A$4,'Listas suspensas'!$B$4,IF(AA264='Listas suspensas'!$A$5,'Listas suspensas'!$B$5,IF(AA264='Listas suspensas'!$A$6,'Listas suspensas'!$B$6,"")))))</f>
        <v>Profunda e regular</v>
      </c>
      <c r="AC264" s="8" t="str">
        <f>IF(AA264='Listas suspensas'!$A$2,'Listas suspensas'!$C$2,IF(AA264='Listas suspensas'!$A$3,'Listas suspensas'!$C$3,IF(AA264='Listas suspensas'!$A$4,'Listas suspensas'!$C$4,IF(AA264='Listas suspensas'!$A$5,'Listas suspensas'!$C$5,IF(AA264='Listas suspensas'!$A$6,'Listas suspensas'!$C$6,"")))))</f>
        <v>Indica a penetração profunda e uniforme em toda a extensão do alburno.</v>
      </c>
      <c r="BD264" s="13">
        <v>0.49399999999999999</v>
      </c>
      <c r="BE264" s="18">
        <f t="shared" si="60"/>
        <v>494</v>
      </c>
      <c r="BF264" s="8">
        <v>1.29</v>
      </c>
      <c r="BG264" s="8">
        <v>0.40300000000000002</v>
      </c>
      <c r="BH264" s="8">
        <v>0.79700000000000004</v>
      </c>
      <c r="BI264" s="13">
        <f t="shared" si="61"/>
        <v>2.4900000000000002</v>
      </c>
      <c r="BJ264" s="14">
        <v>51.8</v>
      </c>
      <c r="BK264" s="14">
        <v>16.2</v>
      </c>
      <c r="BL264" s="14">
        <v>32</v>
      </c>
      <c r="BM264" s="16">
        <f t="shared" si="55"/>
        <v>100</v>
      </c>
      <c r="BN264" s="21">
        <f t="shared" si="56"/>
        <v>6.37</v>
      </c>
      <c r="BO264" s="21">
        <f t="shared" si="57"/>
        <v>1.99</v>
      </c>
      <c r="BP264" s="21">
        <f t="shared" si="58"/>
        <v>3.94</v>
      </c>
      <c r="BQ264" s="14">
        <f t="shared" si="59"/>
        <v>12.3</v>
      </c>
      <c r="BR264" s="22" t="str">
        <f>IF(OR(AND(X264="Mourões", BQ264&gt;=6.5),AND(X264="Postes", BQ264&gt;=9.6),AND(X264="Dormentes", BQ264&gt;=9.6),AND(X264="Estacas", BQ264&gt;=6.5),AND(X264="Cruzetas", BQ264&gt;=6.5),AND(X264="Outros - Solo", BQ264&gt;=6.5),AND(X264="Outros - Suspenso",BQ264&gt;=4),AND(X264="Deck",BQ264&gt;=4)),'Listas suspensas'!$C$21,'Listas suspensas'!$C$22)</f>
        <v>Os resultados da análise química apresentaram uma retenção do produto de acordo com o padrão mínimo exigido pela norma ABNT NBR 16143</v>
      </c>
    </row>
    <row r="265" spans="2:70" x14ac:dyDescent="0.25">
      <c r="B265" s="8" t="s">
        <v>708</v>
      </c>
      <c r="C265" s="8" t="s">
        <v>71</v>
      </c>
      <c r="F265" s="11">
        <v>45881</v>
      </c>
      <c r="G265" s="11">
        <v>45884</v>
      </c>
      <c r="H265" s="11">
        <v>45896</v>
      </c>
      <c r="I265" s="8" t="s">
        <v>696</v>
      </c>
      <c r="J265" s="8" t="s">
        <v>697</v>
      </c>
      <c r="K265" s="8" t="s">
        <v>202</v>
      </c>
      <c r="L265" s="8" t="s">
        <v>15</v>
      </c>
      <c r="N265" s="8" t="s">
        <v>75</v>
      </c>
      <c r="O265" s="8" t="s">
        <v>104</v>
      </c>
      <c r="P265" s="28" t="s">
        <v>146</v>
      </c>
      <c r="Q265" s="16" t="s">
        <v>709</v>
      </c>
      <c r="X265" s="8" t="s">
        <v>699</v>
      </c>
      <c r="Y265" s="34">
        <f>IF(X265='Listas suspensas'!$A$21,'Listas suspensas'!$B$23,IF(X265='Listas suspensas'!$A$22,'Listas suspensas'!$B$23,IF(X265='Listas suspensas'!$A$23,'Listas suspensas'!$B$22,IF(X265='Listas suspensas'!$A$26,'Listas suspensas'!$B$22,IF(X265='Listas suspensas'!$A$32,'Listas suspensas'!$B$22,IF(X265='Listas suspensas'!$A$33,'Listas suspensas'!$B$21,IF(X265='Listas suspensas'!$A$24,'Listas suspensas'!$B$22,IF(X265='Listas suspensas'!$A$30,'Listas suspensas'!$B$21,""))))))))</f>
        <v>4</v>
      </c>
      <c r="Z265" s="8" t="s">
        <v>80</v>
      </c>
      <c r="AA265" s="8">
        <v>1</v>
      </c>
      <c r="AB265" s="8" t="str">
        <f>IF(AA265='Listas suspensas'!$A$2,'Listas suspensas'!$B$2,IF(AA265='Listas suspensas'!$A$3,'Listas suspensas'!$B$3,IF(AA265='Listas suspensas'!$A$4,'Listas suspensas'!$B$4,IF(AA265='Listas suspensas'!$A$5,'Listas suspensas'!$B$5,IF(AA265='Listas suspensas'!$A$6,'Listas suspensas'!$B$6,"")))))</f>
        <v>Profunda e regular</v>
      </c>
      <c r="AC265" s="8" t="str">
        <f>IF(AA265='Listas suspensas'!$A$2,'Listas suspensas'!$C$2,IF(AA265='Listas suspensas'!$A$3,'Listas suspensas'!$C$3,IF(AA265='Listas suspensas'!$A$4,'Listas suspensas'!$C$4,IF(AA265='Listas suspensas'!$A$5,'Listas suspensas'!$C$5,IF(AA265='Listas suspensas'!$A$6,'Listas suspensas'!$C$6,"")))))</f>
        <v>Indica a penetração profunda e uniforme em toda a extensão do alburno.</v>
      </c>
      <c r="BD265" s="13">
        <v>0.47199999999999998</v>
      </c>
      <c r="BE265" s="18">
        <f t="shared" si="60"/>
        <v>472</v>
      </c>
      <c r="BF265" s="8">
        <v>1.4</v>
      </c>
      <c r="BG265" s="8">
        <v>0.47199999999999998</v>
      </c>
      <c r="BH265" s="8">
        <v>1.0029999999999999</v>
      </c>
      <c r="BI265" s="13">
        <f t="shared" si="61"/>
        <v>2.875</v>
      </c>
      <c r="BJ265" s="14">
        <v>48.7</v>
      </c>
      <c r="BK265" s="14">
        <v>16.399999999999999</v>
      </c>
      <c r="BL265" s="14">
        <v>34.9</v>
      </c>
      <c r="BM265" s="16">
        <f t="shared" si="55"/>
        <v>100</v>
      </c>
      <c r="BN265" s="21">
        <f t="shared" si="56"/>
        <v>6.61</v>
      </c>
      <c r="BO265" s="21">
        <f t="shared" si="57"/>
        <v>2.23</v>
      </c>
      <c r="BP265" s="21">
        <f t="shared" si="58"/>
        <v>4.7300000000000004</v>
      </c>
      <c r="BQ265" s="14">
        <f t="shared" si="59"/>
        <v>13.57</v>
      </c>
      <c r="BR265" s="22" t="str">
        <f>IF(OR(AND(X265="Mourões", BQ265&gt;=6.5),AND(X265="Postes", BQ265&gt;=9.6),AND(X265="Dormentes", BQ265&gt;=9.6),AND(X265="Estacas", BQ265&gt;=6.5),AND(X265="Cruzetas", BQ265&gt;=6.5),AND(X265="Outros - Solo", BQ265&gt;=6.5),AND(X265="Outros - Suspenso",BQ265&gt;=4),AND(X265="Deck",BQ265&gt;=4)),'Listas suspensas'!$C$21,'Listas suspensas'!$C$22)</f>
        <v>Os resultados da análise química apresentaram uma retenção do produto de acordo com o padrão mínimo exigido pela norma ABNT NBR 16143</v>
      </c>
    </row>
    <row r="266" spans="2:70" x14ac:dyDescent="0.25">
      <c r="B266" s="8" t="s">
        <v>710</v>
      </c>
      <c r="C266" s="8" t="s">
        <v>71</v>
      </c>
      <c r="F266" s="11">
        <v>45881</v>
      </c>
      <c r="G266" s="11">
        <v>45884</v>
      </c>
      <c r="H266" s="11">
        <v>45896</v>
      </c>
      <c r="I266" s="8" t="s">
        <v>696</v>
      </c>
      <c r="J266" s="8" t="s">
        <v>697</v>
      </c>
      <c r="K266" s="8" t="s">
        <v>202</v>
      </c>
      <c r="L266" s="8" t="s">
        <v>15</v>
      </c>
      <c r="N266" s="8" t="s">
        <v>75</v>
      </c>
      <c r="O266" s="8" t="s">
        <v>104</v>
      </c>
      <c r="P266" s="28" t="s">
        <v>146</v>
      </c>
      <c r="Q266" s="16" t="s">
        <v>711</v>
      </c>
      <c r="X266" s="8" t="s">
        <v>699</v>
      </c>
      <c r="Y266" s="34">
        <f>IF(X266='Listas suspensas'!$A$21,'Listas suspensas'!$B$23,IF(X266='Listas suspensas'!$A$22,'Listas suspensas'!$B$23,IF(X266='Listas suspensas'!$A$23,'Listas suspensas'!$B$22,IF(X266='Listas suspensas'!$A$26,'Listas suspensas'!$B$22,IF(X266='Listas suspensas'!$A$32,'Listas suspensas'!$B$22,IF(X266='Listas suspensas'!$A$33,'Listas suspensas'!$B$21,IF(X266='Listas suspensas'!$A$24,'Listas suspensas'!$B$22,IF(X266='Listas suspensas'!$A$30,'Listas suspensas'!$B$21,""))))))))</f>
        <v>4</v>
      </c>
      <c r="Z266" s="8" t="s">
        <v>80</v>
      </c>
      <c r="AA266" s="8">
        <v>1</v>
      </c>
      <c r="AB266" s="8" t="str">
        <f>IF(AA266='Listas suspensas'!$A$2,'Listas suspensas'!$B$2,IF(AA266='Listas suspensas'!$A$3,'Listas suspensas'!$B$3,IF(AA266='Listas suspensas'!$A$4,'Listas suspensas'!$B$4,IF(AA266='Listas suspensas'!$A$5,'Listas suspensas'!$B$5,IF(AA266='Listas suspensas'!$A$6,'Listas suspensas'!$B$6,"")))))</f>
        <v>Profunda e regular</v>
      </c>
      <c r="AC266" s="8" t="str">
        <f>IF(AA266='Listas suspensas'!$A$2,'Listas suspensas'!$C$2,IF(AA266='Listas suspensas'!$A$3,'Listas suspensas'!$C$3,IF(AA266='Listas suspensas'!$A$4,'Listas suspensas'!$C$4,IF(AA266='Listas suspensas'!$A$5,'Listas suspensas'!$C$5,IF(AA266='Listas suspensas'!$A$6,'Listas suspensas'!$C$6,"")))))</f>
        <v>Indica a penetração profunda e uniforme em toda a extensão do alburno.</v>
      </c>
      <c r="BD266" s="13">
        <v>0.69899999999999995</v>
      </c>
      <c r="BE266" s="18">
        <f t="shared" si="60"/>
        <v>699</v>
      </c>
      <c r="BF266" s="8">
        <v>1.145</v>
      </c>
      <c r="BG266" s="8">
        <v>0.38700000000000001</v>
      </c>
      <c r="BH266" s="8">
        <v>0.78300000000000003</v>
      </c>
      <c r="BI266" s="13">
        <f t="shared" si="61"/>
        <v>2.3149999999999999</v>
      </c>
      <c r="BJ266" s="14">
        <v>49.5</v>
      </c>
      <c r="BK266" s="14">
        <v>16.7</v>
      </c>
      <c r="BL266" s="14">
        <v>33.799999999999997</v>
      </c>
      <c r="BM266" s="16">
        <f t="shared" si="55"/>
        <v>100</v>
      </c>
      <c r="BN266" s="21">
        <f t="shared" si="56"/>
        <v>8</v>
      </c>
      <c r="BO266" s="21">
        <f t="shared" si="57"/>
        <v>2.71</v>
      </c>
      <c r="BP266" s="21">
        <f t="shared" si="58"/>
        <v>5.47</v>
      </c>
      <c r="BQ266" s="14">
        <f t="shared" si="59"/>
        <v>16.18</v>
      </c>
      <c r="BR266" s="22" t="str">
        <f>IF(OR(AND(X266="Mourões", BQ266&gt;=6.5),AND(X266="Postes", BQ266&gt;=9.6),AND(X266="Dormentes", BQ266&gt;=9.6),AND(X266="Estacas", BQ266&gt;=6.5),AND(X266="Cruzetas", BQ266&gt;=6.5),AND(X266="Outros - Solo", BQ266&gt;=6.5),AND(X266="Outros - Suspenso",BQ266&gt;=4),AND(X266="Deck",BQ266&gt;=4)),'Listas suspensas'!$C$21,'Listas suspensas'!$C$22)</f>
        <v>Os resultados da análise química apresentaram uma retenção do produto de acordo com o padrão mínimo exigido pela norma ABNT NBR 16143</v>
      </c>
    </row>
    <row r="267" spans="2:70" x14ac:dyDescent="0.25">
      <c r="B267" s="8" t="s">
        <v>712</v>
      </c>
      <c r="C267" s="8" t="s">
        <v>71</v>
      </c>
      <c r="F267" s="11">
        <v>45881</v>
      </c>
      <c r="G267" s="11">
        <v>45884</v>
      </c>
      <c r="H267" s="11">
        <v>45896</v>
      </c>
      <c r="I267" s="8" t="s">
        <v>696</v>
      </c>
      <c r="J267" s="8" t="s">
        <v>697</v>
      </c>
      <c r="K267" s="8" t="s">
        <v>202</v>
      </c>
      <c r="L267" s="8" t="s">
        <v>15</v>
      </c>
      <c r="N267" s="8" t="s">
        <v>75</v>
      </c>
      <c r="O267" s="8" t="s">
        <v>104</v>
      </c>
      <c r="P267" s="28" t="s">
        <v>146</v>
      </c>
      <c r="Q267" s="16" t="s">
        <v>713</v>
      </c>
      <c r="X267" s="8" t="s">
        <v>699</v>
      </c>
      <c r="Y267" s="34">
        <f>IF(X267='Listas suspensas'!$A$21,'Listas suspensas'!$B$23,IF(X267='Listas suspensas'!$A$22,'Listas suspensas'!$B$23,IF(X267='Listas suspensas'!$A$23,'Listas suspensas'!$B$22,IF(X267='Listas suspensas'!$A$26,'Listas suspensas'!$B$22,IF(X267='Listas suspensas'!$A$32,'Listas suspensas'!$B$22,IF(X267='Listas suspensas'!$A$33,'Listas suspensas'!$B$21,IF(X267='Listas suspensas'!$A$24,'Listas suspensas'!$B$22,IF(X267='Listas suspensas'!$A$30,'Listas suspensas'!$B$21,""))))))))</f>
        <v>4</v>
      </c>
      <c r="Z267" s="8" t="s">
        <v>80</v>
      </c>
      <c r="AA267" s="8">
        <v>1</v>
      </c>
      <c r="AB267" s="8" t="str">
        <f>IF(AA267='Listas suspensas'!$A$2,'Listas suspensas'!$B$2,IF(AA267='Listas suspensas'!$A$3,'Listas suspensas'!$B$3,IF(AA267='Listas suspensas'!$A$4,'Listas suspensas'!$B$4,IF(AA267='Listas suspensas'!$A$5,'Listas suspensas'!$B$5,IF(AA267='Listas suspensas'!$A$6,'Listas suspensas'!$B$6,"")))))</f>
        <v>Profunda e regular</v>
      </c>
      <c r="AC267" s="8" t="str">
        <f>IF(AA267='Listas suspensas'!$A$2,'Listas suspensas'!$C$2,IF(AA267='Listas suspensas'!$A$3,'Listas suspensas'!$C$3,IF(AA267='Listas suspensas'!$A$4,'Listas suspensas'!$C$4,IF(AA267='Listas suspensas'!$A$5,'Listas suspensas'!$C$5,IF(AA267='Listas suspensas'!$A$6,'Listas suspensas'!$C$6,"")))))</f>
        <v>Indica a penetração profunda e uniforme em toda a extensão do alburno.</v>
      </c>
      <c r="BD267" s="13">
        <v>0.57199999999999995</v>
      </c>
      <c r="BE267" s="18">
        <f t="shared" si="60"/>
        <v>572</v>
      </c>
      <c r="BF267" s="8">
        <v>1.1399999999999999</v>
      </c>
      <c r="BG267" s="8">
        <v>0.38</v>
      </c>
      <c r="BH267" s="8">
        <v>0.81299999999999994</v>
      </c>
      <c r="BI267" s="13">
        <f t="shared" si="61"/>
        <v>2.3330000000000002</v>
      </c>
      <c r="BJ267" s="14">
        <v>48.9</v>
      </c>
      <c r="BK267" s="14">
        <v>16.3</v>
      </c>
      <c r="BL267" s="14">
        <v>34.799999999999997</v>
      </c>
      <c r="BM267" s="16">
        <f t="shared" si="55"/>
        <v>100</v>
      </c>
      <c r="BN267" s="21">
        <f t="shared" si="56"/>
        <v>6.52</v>
      </c>
      <c r="BO267" s="21">
        <f t="shared" si="57"/>
        <v>2.17</v>
      </c>
      <c r="BP267" s="21">
        <f t="shared" si="58"/>
        <v>4.6500000000000004</v>
      </c>
      <c r="BQ267" s="14">
        <f t="shared" si="59"/>
        <v>13.34</v>
      </c>
      <c r="BR267" s="22" t="str">
        <f>IF(OR(AND(X267="Mourões", BQ267&gt;=6.5),AND(X267="Postes", BQ267&gt;=9.6),AND(X267="Dormentes", BQ267&gt;=9.6),AND(X267="Estacas", BQ267&gt;=6.5),AND(X267="Cruzetas", BQ267&gt;=6.5),AND(X267="Outros - Solo", BQ267&gt;=6.5),AND(X267="Outros - Suspenso",BQ267&gt;=4),AND(X267="Deck",BQ267&gt;=4)),'Listas suspensas'!$C$21,'Listas suspensas'!$C$22)</f>
        <v>Os resultados da análise química apresentaram uma retenção do produto de acordo com o padrão mínimo exigido pela norma ABNT NBR 16143</v>
      </c>
    </row>
    <row r="268" spans="2:70" x14ac:dyDescent="0.25">
      <c r="B268" s="8" t="s">
        <v>714</v>
      </c>
      <c r="C268" s="8" t="s">
        <v>71</v>
      </c>
      <c r="F268" s="11">
        <v>45881</v>
      </c>
      <c r="G268" s="11">
        <v>45884</v>
      </c>
      <c r="H268" s="11">
        <v>45896</v>
      </c>
      <c r="I268" s="8" t="s">
        <v>696</v>
      </c>
      <c r="J268" s="8" t="s">
        <v>697</v>
      </c>
      <c r="K268" s="8" t="s">
        <v>202</v>
      </c>
      <c r="L268" s="8" t="s">
        <v>15</v>
      </c>
      <c r="N268" s="8" t="s">
        <v>75</v>
      </c>
      <c r="O268" s="8" t="s">
        <v>104</v>
      </c>
      <c r="P268" s="28" t="s">
        <v>146</v>
      </c>
      <c r="Q268" s="16" t="s">
        <v>715</v>
      </c>
      <c r="X268" s="8" t="s">
        <v>699</v>
      </c>
      <c r="Y268" s="34">
        <f>IF(X268='Listas suspensas'!$A$21,'Listas suspensas'!$B$23,IF(X268='Listas suspensas'!$A$22,'Listas suspensas'!$B$23,IF(X268='Listas suspensas'!$A$23,'Listas suspensas'!$B$22,IF(X268='Listas suspensas'!$A$26,'Listas suspensas'!$B$22,IF(X268='Listas suspensas'!$A$32,'Listas suspensas'!$B$22,IF(X268='Listas suspensas'!$A$33,'Listas suspensas'!$B$21,IF(X268='Listas suspensas'!$A$24,'Listas suspensas'!$B$22,IF(X268='Listas suspensas'!$A$30,'Listas suspensas'!$B$21,""))))))))</f>
        <v>4</v>
      </c>
      <c r="Z268" s="8" t="s">
        <v>80</v>
      </c>
      <c r="AA268" s="8">
        <v>1</v>
      </c>
      <c r="AB268" s="8" t="str">
        <f>IF(AA268='Listas suspensas'!$A$2,'Listas suspensas'!$B$2,IF(AA268='Listas suspensas'!$A$3,'Listas suspensas'!$B$3,IF(AA268='Listas suspensas'!$A$4,'Listas suspensas'!$B$4,IF(AA268='Listas suspensas'!$A$5,'Listas suspensas'!$B$5,IF(AA268='Listas suspensas'!$A$6,'Listas suspensas'!$B$6,"")))))</f>
        <v>Profunda e regular</v>
      </c>
      <c r="AC268" s="8" t="str">
        <f>IF(AA268='Listas suspensas'!$A$2,'Listas suspensas'!$C$2,IF(AA268='Listas suspensas'!$A$3,'Listas suspensas'!$C$3,IF(AA268='Listas suspensas'!$A$4,'Listas suspensas'!$C$4,IF(AA268='Listas suspensas'!$A$5,'Listas suspensas'!$C$5,IF(AA268='Listas suspensas'!$A$6,'Listas suspensas'!$C$6,"")))))</f>
        <v>Indica a penetração profunda e uniforme em toda a extensão do alburno.</v>
      </c>
      <c r="BD268" s="13">
        <v>0.55700000000000005</v>
      </c>
      <c r="BE268" s="18">
        <f t="shared" si="60"/>
        <v>557</v>
      </c>
      <c r="BF268" s="8">
        <v>1.3360000000000001</v>
      </c>
      <c r="BG268" s="8">
        <v>0.41799999999999998</v>
      </c>
      <c r="BH268" s="8">
        <v>0.88700000000000001</v>
      </c>
      <c r="BI268" s="13">
        <f t="shared" si="61"/>
        <v>2.641</v>
      </c>
      <c r="BJ268" s="14">
        <v>50.6</v>
      </c>
      <c r="BK268" s="14">
        <v>15.8</v>
      </c>
      <c r="BL268" s="14">
        <v>33.6</v>
      </c>
      <c r="BM268" s="16">
        <f t="shared" si="55"/>
        <v>100</v>
      </c>
      <c r="BN268" s="21">
        <f t="shared" si="56"/>
        <v>7.44</v>
      </c>
      <c r="BO268" s="21">
        <f t="shared" si="57"/>
        <v>2.33</v>
      </c>
      <c r="BP268" s="21">
        <f t="shared" si="58"/>
        <v>4.9400000000000004</v>
      </c>
      <c r="BQ268" s="14">
        <f t="shared" si="59"/>
        <v>14.71</v>
      </c>
      <c r="BR268" s="22" t="str">
        <f>IF(OR(AND(X268="Mourões", BQ268&gt;=6.5),AND(X268="Postes", BQ268&gt;=9.6),AND(X268="Dormentes", BQ268&gt;=9.6),AND(X268="Estacas", BQ268&gt;=6.5),AND(X268="Cruzetas", BQ268&gt;=6.5),AND(X268="Outros - Solo", BQ268&gt;=6.5),AND(X268="Outros - Suspenso",BQ268&gt;=4),AND(X268="Deck",BQ268&gt;=4)),'Listas suspensas'!$C$21,'Listas suspensas'!$C$22)</f>
        <v>Os resultados da análise química apresentaram uma retenção do produto de acordo com o padrão mínimo exigido pela norma ABNT NBR 16143</v>
      </c>
    </row>
    <row r="269" spans="2:70" x14ac:dyDescent="0.25">
      <c r="B269" s="8" t="s">
        <v>716</v>
      </c>
      <c r="C269" s="8" t="s">
        <v>71</v>
      </c>
      <c r="F269" s="11">
        <v>45881</v>
      </c>
      <c r="G269" s="11">
        <v>45884</v>
      </c>
      <c r="H269" s="11">
        <v>45896</v>
      </c>
      <c r="I269" s="8" t="s">
        <v>696</v>
      </c>
      <c r="J269" s="8" t="s">
        <v>697</v>
      </c>
      <c r="K269" s="8" t="s">
        <v>202</v>
      </c>
      <c r="L269" s="8" t="s">
        <v>15</v>
      </c>
      <c r="N269" s="8" t="s">
        <v>75</v>
      </c>
      <c r="O269" s="8" t="s">
        <v>104</v>
      </c>
      <c r="P269" s="28" t="s">
        <v>146</v>
      </c>
      <c r="Q269" s="16" t="s">
        <v>717</v>
      </c>
      <c r="X269" s="8" t="s">
        <v>699</v>
      </c>
      <c r="Y269" s="34">
        <f>IF(X269='Listas suspensas'!$A$21,'Listas suspensas'!$B$23,IF(X269='Listas suspensas'!$A$22,'Listas suspensas'!$B$23,IF(X269='Listas suspensas'!$A$23,'Listas suspensas'!$B$22,IF(X269='Listas suspensas'!$A$26,'Listas suspensas'!$B$22,IF(X269='Listas suspensas'!$A$32,'Listas suspensas'!$B$22,IF(X269='Listas suspensas'!$A$33,'Listas suspensas'!$B$21,IF(X269='Listas suspensas'!$A$24,'Listas suspensas'!$B$22,IF(X269='Listas suspensas'!$A$30,'Listas suspensas'!$B$21,""))))))))</f>
        <v>4</v>
      </c>
      <c r="Z269" s="8" t="s">
        <v>80</v>
      </c>
      <c r="AA269" s="8">
        <v>1</v>
      </c>
      <c r="AB269" s="8" t="str">
        <f>IF(AA269='Listas suspensas'!$A$2,'Listas suspensas'!$B$2,IF(AA269='Listas suspensas'!$A$3,'Listas suspensas'!$B$3,IF(AA269='Listas suspensas'!$A$4,'Listas suspensas'!$B$4,IF(AA269='Listas suspensas'!$A$5,'Listas suspensas'!$B$5,IF(AA269='Listas suspensas'!$A$6,'Listas suspensas'!$B$6,"")))))</f>
        <v>Profunda e regular</v>
      </c>
      <c r="AC269" s="8" t="str">
        <f>IF(AA269='Listas suspensas'!$A$2,'Listas suspensas'!$C$2,IF(AA269='Listas suspensas'!$A$3,'Listas suspensas'!$C$3,IF(AA269='Listas suspensas'!$A$4,'Listas suspensas'!$C$4,IF(AA269='Listas suspensas'!$A$5,'Listas suspensas'!$C$5,IF(AA269='Listas suspensas'!$A$6,'Listas suspensas'!$C$6,"")))))</f>
        <v>Indica a penetração profunda e uniforme em toda a extensão do alburno.</v>
      </c>
      <c r="BD269" s="13">
        <v>0.497</v>
      </c>
      <c r="BE269" s="18">
        <f t="shared" si="60"/>
        <v>497</v>
      </c>
      <c r="BF269" s="8">
        <v>1.363</v>
      </c>
      <c r="BG269" s="8">
        <v>0.47199999999999998</v>
      </c>
      <c r="BH269" s="8">
        <v>0.91100000000000003</v>
      </c>
      <c r="BI269" s="13">
        <f t="shared" si="61"/>
        <v>2.746</v>
      </c>
      <c r="BJ269" s="14">
        <v>49.6</v>
      </c>
      <c r="BK269" s="14">
        <v>17.2</v>
      </c>
      <c r="BL269" s="14">
        <v>33.200000000000003</v>
      </c>
      <c r="BM269" s="16">
        <f t="shared" si="55"/>
        <v>100</v>
      </c>
      <c r="BN269" s="21">
        <f t="shared" si="56"/>
        <v>6.77</v>
      </c>
      <c r="BO269" s="21">
        <f t="shared" si="57"/>
        <v>2.35</v>
      </c>
      <c r="BP269" s="21">
        <f t="shared" si="58"/>
        <v>4.53</v>
      </c>
      <c r="BQ269" s="14">
        <f t="shared" si="59"/>
        <v>13.65</v>
      </c>
      <c r="BR269" s="22" t="str">
        <f>IF(OR(AND(X269="Mourões", BQ269&gt;=6.5),AND(X269="Postes", BQ269&gt;=9.6),AND(X269="Dormentes", BQ269&gt;=9.6),AND(X269="Estacas", BQ269&gt;=6.5),AND(X269="Cruzetas", BQ269&gt;=6.5),AND(X269="Outros - Solo", BQ269&gt;=6.5),AND(X269="Outros - Suspenso",BQ269&gt;=4),AND(X269="Deck",BQ269&gt;=4)),'Listas suspensas'!$C$21,'Listas suspensas'!$C$22)</f>
        <v>Os resultados da análise química apresentaram uma retenção do produto de acordo com o padrão mínimo exigido pela norma ABNT NBR 16143</v>
      </c>
    </row>
    <row r="270" spans="2:70" x14ac:dyDescent="0.25">
      <c r="B270" s="8" t="s">
        <v>718</v>
      </c>
      <c r="C270" s="8" t="s">
        <v>71</v>
      </c>
      <c r="F270" s="11">
        <v>45883</v>
      </c>
      <c r="G270" s="11">
        <v>45887</v>
      </c>
      <c r="H270" s="11">
        <v>45905</v>
      </c>
      <c r="I270" s="8" t="s">
        <v>90</v>
      </c>
      <c r="J270" s="8" t="s">
        <v>91</v>
      </c>
      <c r="K270" s="8" t="s">
        <v>92</v>
      </c>
      <c r="L270" s="8" t="s">
        <v>15</v>
      </c>
      <c r="N270" s="8" t="s">
        <v>75</v>
      </c>
      <c r="O270" s="8" t="s">
        <v>94</v>
      </c>
      <c r="P270" s="28" t="s">
        <v>146</v>
      </c>
      <c r="Q270" s="16" t="s">
        <v>719</v>
      </c>
      <c r="X270" s="8" t="s">
        <v>79</v>
      </c>
      <c r="Y270" s="34">
        <f>IF(X270='Listas suspensas'!$A$21,'Listas suspensas'!$B$23,IF(X270='Listas suspensas'!$A$22,'Listas suspensas'!$B$23,IF(X270='Listas suspensas'!$A$23,'Listas suspensas'!$B$22,IF(X270='Listas suspensas'!$A$26,'Listas suspensas'!$B$22,IF(X270='Listas suspensas'!$A$32,'Listas suspensas'!$B$22,IF(X270='Listas suspensas'!$A$33,'Listas suspensas'!$B$21,IF(X270='Listas suspensas'!$A$24,'Listas suspensas'!$B$22,IF(X270='Listas suspensas'!$A$30,'Listas suspensas'!$B$21,""))))))))</f>
        <v>6.5</v>
      </c>
      <c r="Z270" s="8" t="s">
        <v>80</v>
      </c>
      <c r="AA270" s="8">
        <v>2</v>
      </c>
      <c r="AB270" s="8" t="str">
        <f>IF(AA270='Listas suspensas'!$A$2,'Listas suspensas'!$B$2,IF(AA270='Listas suspensas'!$A$3,'Listas suspensas'!$B$3,IF(AA270='Listas suspensas'!$A$4,'Listas suspensas'!$B$4,IF(AA270='Listas suspensas'!$A$5,'Listas suspensas'!$B$5,IF(AA270='Listas suspensas'!$A$6,'Listas suspensas'!$B$6,"")))))</f>
        <v>Profunda e irregular</v>
      </c>
      <c r="AC270" s="8" t="str">
        <f>IF(AA270='Listas suspensas'!$A$2,'Listas suspensas'!$C$2,IF(AA270='Listas suspensas'!$A$3,'Listas suspensas'!$C$3,IF(AA270='Listas suspensas'!$A$4,'Listas suspensas'!$C$4,IF(AA270='Listas suspensas'!$A$5,'Listas suspensas'!$C$5,IF(AA270='Listas suspensas'!$A$6,'Listas suspensas'!$C$6,"")))))</f>
        <v>Indica a penetração profunda, mas desuniforme em toda a extensão do alburno.</v>
      </c>
      <c r="BD270" s="13">
        <v>0.97099999999999997</v>
      </c>
      <c r="BE270" s="18">
        <f t="shared" si="60"/>
        <v>971</v>
      </c>
      <c r="BF270" s="8">
        <v>0.40500000000000003</v>
      </c>
      <c r="BG270" s="8">
        <v>0.12</v>
      </c>
      <c r="BH270" s="8">
        <v>0.33700000000000002</v>
      </c>
      <c r="BI270" s="13">
        <f t="shared" si="61"/>
        <v>0.8620000000000001</v>
      </c>
      <c r="BJ270" s="14">
        <v>47</v>
      </c>
      <c r="BK270" s="14">
        <v>13.9</v>
      </c>
      <c r="BL270" s="14">
        <v>39.1</v>
      </c>
      <c r="BM270" s="16">
        <f t="shared" si="55"/>
        <v>100</v>
      </c>
      <c r="BN270" s="21">
        <f t="shared" si="56"/>
        <v>3.93</v>
      </c>
      <c r="BO270" s="21">
        <f t="shared" si="57"/>
        <v>1.17</v>
      </c>
      <c r="BP270" s="21">
        <f t="shared" si="58"/>
        <v>3.27</v>
      </c>
      <c r="BQ270" s="14">
        <f t="shared" si="59"/>
        <v>8.3699999999999992</v>
      </c>
      <c r="BR270" s="22" t="str">
        <f>IF(OR(AND(X270="Mourões", BQ270&gt;=6.5),AND(X270="Postes", BQ270&gt;=9.6),AND(X270="Dormentes", BQ270&gt;=9.6),AND(X270="Estacas", BQ270&gt;=6.5),AND(X270="Cruzetas", BQ270&gt;=6.5),AND(X270="Outros - Solo", BQ270&gt;=6.5),AND(X270="Outros - Suspenso",BQ270&gt;=4),AND(X270="Deck",BQ270&gt;=4)),'Listas suspensas'!$C$21,'Listas suspensas'!$C$22)</f>
        <v>Os resultados da análise química apresentaram uma retenção do produto de acordo com o padrão mínimo exigido pela norma ABNT NBR 16143</v>
      </c>
    </row>
    <row r="271" spans="2:70" x14ac:dyDescent="0.25">
      <c r="B271" s="8" t="s">
        <v>720</v>
      </c>
      <c r="C271" s="8" t="s">
        <v>71</v>
      </c>
      <c r="F271" s="11">
        <v>45881</v>
      </c>
      <c r="G271" s="11">
        <v>45884</v>
      </c>
      <c r="H271" s="11">
        <v>45905</v>
      </c>
      <c r="I271" s="8" t="s">
        <v>696</v>
      </c>
      <c r="J271" s="8" t="s">
        <v>697</v>
      </c>
      <c r="K271" s="8" t="s">
        <v>202</v>
      </c>
      <c r="L271" s="8" t="s">
        <v>15</v>
      </c>
      <c r="N271" s="8" t="s">
        <v>75</v>
      </c>
      <c r="O271" s="8" t="s">
        <v>104</v>
      </c>
      <c r="P271" s="28" t="s">
        <v>146</v>
      </c>
      <c r="Q271" s="16" t="s">
        <v>721</v>
      </c>
      <c r="X271" s="8" t="s">
        <v>699</v>
      </c>
      <c r="Y271" s="34">
        <f>IF(X271='Listas suspensas'!$A$21,'Listas suspensas'!$B$23,IF(X271='Listas suspensas'!$A$22,'Listas suspensas'!$B$23,IF(X271='Listas suspensas'!$A$23,'Listas suspensas'!$B$22,IF(X271='Listas suspensas'!$A$26,'Listas suspensas'!$B$22,IF(X271='Listas suspensas'!$A$32,'Listas suspensas'!$B$22,IF(X271='Listas suspensas'!$A$33,'Listas suspensas'!$B$21,IF(X271='Listas suspensas'!$A$24,'Listas suspensas'!$B$22,IF(X271='Listas suspensas'!$A$30,'Listas suspensas'!$B$21,""))))))))</f>
        <v>4</v>
      </c>
      <c r="Z271" s="8" t="s">
        <v>80</v>
      </c>
      <c r="AA271" s="8">
        <v>1</v>
      </c>
      <c r="AB271" s="8" t="str">
        <f>IF(AA271='Listas suspensas'!$A$2,'Listas suspensas'!$B$2,IF(AA271='Listas suspensas'!$A$3,'Listas suspensas'!$B$3,IF(AA271='Listas suspensas'!$A$4,'Listas suspensas'!$B$4,IF(AA271='Listas suspensas'!$A$5,'Listas suspensas'!$B$5,IF(AA271='Listas suspensas'!$A$6,'Listas suspensas'!$B$6,"")))))</f>
        <v>Profunda e regular</v>
      </c>
      <c r="AC271" s="8" t="str">
        <f>IF(AA271='Listas suspensas'!$A$2,'Listas suspensas'!$C$2,IF(AA271='Listas suspensas'!$A$3,'Listas suspensas'!$C$3,IF(AA271='Listas suspensas'!$A$4,'Listas suspensas'!$C$4,IF(AA271='Listas suspensas'!$A$5,'Listas suspensas'!$C$5,IF(AA271='Listas suspensas'!$A$6,'Listas suspensas'!$C$6,"")))))</f>
        <v>Indica a penetração profunda e uniforme em toda a extensão do alburno.</v>
      </c>
      <c r="BD271" s="13">
        <v>0.55600000000000005</v>
      </c>
      <c r="BE271" s="18">
        <f t="shared" si="60"/>
        <v>556</v>
      </c>
      <c r="BF271" s="8">
        <v>0.99099999999999999</v>
      </c>
      <c r="BG271" s="8">
        <v>0.377</v>
      </c>
      <c r="BH271" s="8">
        <v>0.73199999999999998</v>
      </c>
      <c r="BI271" s="13">
        <f t="shared" si="61"/>
        <v>2.0999999999999996</v>
      </c>
      <c r="BJ271" s="14">
        <v>47.2</v>
      </c>
      <c r="BK271" s="14">
        <v>18</v>
      </c>
      <c r="BL271" s="14">
        <v>34.799999999999997</v>
      </c>
      <c r="BM271" s="16">
        <f t="shared" si="55"/>
        <v>100</v>
      </c>
      <c r="BN271" s="21">
        <f t="shared" si="56"/>
        <v>5.51</v>
      </c>
      <c r="BO271" s="21">
        <f t="shared" si="57"/>
        <v>2.1</v>
      </c>
      <c r="BP271" s="21">
        <f t="shared" si="58"/>
        <v>4.07</v>
      </c>
      <c r="BQ271" s="14">
        <f t="shared" si="59"/>
        <v>11.68</v>
      </c>
      <c r="BR271" s="22" t="str">
        <f>IF(OR(AND(X271="Mourões", BQ271&gt;=6.5),AND(X271="Postes", BQ271&gt;=9.6),AND(X271="Dormentes", BQ271&gt;=9.6),AND(X271="Estacas", BQ271&gt;=6.5),AND(X271="Cruzetas", BQ271&gt;=6.5),AND(X271="Outros - Solo", BQ271&gt;=6.5),AND(X271="Outros - Suspenso",BQ271&gt;=4),AND(X271="Deck",BQ271&gt;=4)),'Listas suspensas'!$C$21,'Listas suspensas'!$C$22)</f>
        <v>Os resultados da análise química apresentaram uma retenção do produto de acordo com o padrão mínimo exigido pela norma ABNT NBR 16143</v>
      </c>
    </row>
    <row r="272" spans="2:70" x14ac:dyDescent="0.25">
      <c r="B272" s="8" t="s">
        <v>722</v>
      </c>
      <c r="C272" s="8" t="s">
        <v>71</v>
      </c>
      <c r="F272" s="11">
        <v>45881</v>
      </c>
      <c r="G272" s="11">
        <v>45884</v>
      </c>
      <c r="H272" s="11">
        <v>45905</v>
      </c>
      <c r="I272" s="8" t="s">
        <v>696</v>
      </c>
      <c r="J272" s="8" t="s">
        <v>697</v>
      </c>
      <c r="K272" s="8" t="s">
        <v>202</v>
      </c>
      <c r="L272" s="8" t="s">
        <v>15</v>
      </c>
      <c r="N272" s="8" t="s">
        <v>75</v>
      </c>
      <c r="O272" s="8" t="s">
        <v>104</v>
      </c>
      <c r="P272" s="28" t="s">
        <v>146</v>
      </c>
      <c r="Q272" s="16" t="s">
        <v>723</v>
      </c>
      <c r="X272" s="8" t="s">
        <v>699</v>
      </c>
      <c r="Y272" s="34">
        <f>IF(X272='Listas suspensas'!$A$21,'Listas suspensas'!$B$23,IF(X272='Listas suspensas'!$A$22,'Listas suspensas'!$B$23,IF(X272='Listas suspensas'!$A$23,'Listas suspensas'!$B$22,IF(X272='Listas suspensas'!$A$26,'Listas suspensas'!$B$22,IF(X272='Listas suspensas'!$A$32,'Listas suspensas'!$B$22,IF(X272='Listas suspensas'!$A$33,'Listas suspensas'!$B$21,IF(X272='Listas suspensas'!$A$24,'Listas suspensas'!$B$22,IF(X272='Listas suspensas'!$A$30,'Listas suspensas'!$B$21,""))))))))</f>
        <v>4</v>
      </c>
      <c r="Z272" s="8" t="s">
        <v>80</v>
      </c>
      <c r="AA272" s="8">
        <v>1</v>
      </c>
      <c r="AB272" s="8" t="str">
        <f>IF(AA272='Listas suspensas'!$A$2,'Listas suspensas'!$B$2,IF(AA272='Listas suspensas'!$A$3,'Listas suspensas'!$B$3,IF(AA272='Listas suspensas'!$A$4,'Listas suspensas'!$B$4,IF(AA272='Listas suspensas'!$A$5,'Listas suspensas'!$B$5,IF(AA272='Listas suspensas'!$A$6,'Listas suspensas'!$B$6,"")))))</f>
        <v>Profunda e regular</v>
      </c>
      <c r="AC272" s="8" t="str">
        <f>IF(AA272='Listas suspensas'!$A$2,'Listas suspensas'!$C$2,IF(AA272='Listas suspensas'!$A$3,'Listas suspensas'!$C$3,IF(AA272='Listas suspensas'!$A$4,'Listas suspensas'!$C$4,IF(AA272='Listas suspensas'!$A$5,'Listas suspensas'!$C$5,IF(AA272='Listas suspensas'!$A$6,'Listas suspensas'!$C$6,"")))))</f>
        <v>Indica a penetração profunda e uniforme em toda a extensão do alburno.</v>
      </c>
      <c r="BD272" s="13">
        <v>0.53400000000000003</v>
      </c>
      <c r="BE272" s="18">
        <f t="shared" si="60"/>
        <v>534</v>
      </c>
      <c r="BF272" s="8">
        <v>0.73</v>
      </c>
      <c r="BG272" s="8">
        <v>0.28799999999999998</v>
      </c>
      <c r="BH272" s="8">
        <v>0.54500000000000004</v>
      </c>
      <c r="BI272" s="13">
        <f t="shared" si="61"/>
        <v>1.5630000000000002</v>
      </c>
      <c r="BJ272" s="14">
        <v>46.7</v>
      </c>
      <c r="BK272" s="14">
        <v>18.399999999999999</v>
      </c>
      <c r="BL272" s="14">
        <v>34.9</v>
      </c>
      <c r="BM272" s="16">
        <f t="shared" si="55"/>
        <v>100</v>
      </c>
      <c r="BN272" s="21">
        <f t="shared" si="56"/>
        <v>3.9</v>
      </c>
      <c r="BO272" s="21">
        <f t="shared" si="57"/>
        <v>1.54</v>
      </c>
      <c r="BP272" s="21">
        <f t="shared" si="58"/>
        <v>2.91</v>
      </c>
      <c r="BQ272" s="14">
        <f t="shared" si="59"/>
        <v>8.35</v>
      </c>
      <c r="BR272" s="22" t="str">
        <f>IF(OR(AND(X272="Mourões", BQ272&gt;=6.5),AND(X272="Postes", BQ272&gt;=9.6),AND(X272="Dormentes", BQ272&gt;=9.6),AND(X272="Estacas", BQ272&gt;=6.5),AND(X272="Cruzetas", BQ272&gt;=6.5),AND(X272="Outros - Solo", BQ272&gt;=6.5),AND(X272="Outros - Suspenso",BQ272&gt;=4),AND(X272="Deck",BQ272&gt;=4)),'Listas suspensas'!$C$21,'Listas suspensas'!$C$22)</f>
        <v>Os resultados da análise química apresentaram uma retenção do produto de acordo com o padrão mínimo exigido pela norma ABNT NBR 16143</v>
      </c>
    </row>
    <row r="273" spans="2:70" x14ac:dyDescent="0.25">
      <c r="B273" s="8" t="s">
        <v>724</v>
      </c>
      <c r="C273" s="8" t="s">
        <v>71</v>
      </c>
      <c r="F273" s="11">
        <v>45881</v>
      </c>
      <c r="G273" s="11">
        <v>45884</v>
      </c>
      <c r="H273" s="11">
        <v>45905</v>
      </c>
      <c r="I273" s="8" t="s">
        <v>696</v>
      </c>
      <c r="J273" s="8" t="s">
        <v>697</v>
      </c>
      <c r="K273" s="8" t="s">
        <v>202</v>
      </c>
      <c r="L273" s="8" t="s">
        <v>15</v>
      </c>
      <c r="N273" s="8" t="s">
        <v>75</v>
      </c>
      <c r="O273" s="8" t="s">
        <v>104</v>
      </c>
      <c r="P273" s="28" t="s">
        <v>146</v>
      </c>
      <c r="Q273" s="16" t="s">
        <v>725</v>
      </c>
      <c r="X273" s="8" t="s">
        <v>699</v>
      </c>
      <c r="Y273" s="34">
        <f>IF(X273='Listas suspensas'!$A$21,'Listas suspensas'!$B$23,IF(X273='Listas suspensas'!$A$22,'Listas suspensas'!$B$23,IF(X273='Listas suspensas'!$A$23,'Listas suspensas'!$B$22,IF(X273='Listas suspensas'!$A$26,'Listas suspensas'!$B$22,IF(X273='Listas suspensas'!$A$32,'Listas suspensas'!$B$22,IF(X273='Listas suspensas'!$A$33,'Listas suspensas'!$B$21,IF(X273='Listas suspensas'!$A$24,'Listas suspensas'!$B$22,IF(X273='Listas suspensas'!$A$30,'Listas suspensas'!$B$21,""))))))))</f>
        <v>4</v>
      </c>
      <c r="Z273" s="8" t="s">
        <v>80</v>
      </c>
      <c r="AA273" s="8">
        <v>1</v>
      </c>
      <c r="AB273" s="8" t="str">
        <f>IF(AA273='Listas suspensas'!$A$2,'Listas suspensas'!$B$2,IF(AA273='Listas suspensas'!$A$3,'Listas suspensas'!$B$3,IF(AA273='Listas suspensas'!$A$4,'Listas suspensas'!$B$4,IF(AA273='Listas suspensas'!$A$5,'Listas suspensas'!$B$5,IF(AA273='Listas suspensas'!$A$6,'Listas suspensas'!$B$6,"")))))</f>
        <v>Profunda e regular</v>
      </c>
      <c r="AC273" s="8" t="str">
        <f>IF(AA273='Listas suspensas'!$A$2,'Listas suspensas'!$C$2,IF(AA273='Listas suspensas'!$A$3,'Listas suspensas'!$C$3,IF(AA273='Listas suspensas'!$A$4,'Listas suspensas'!$C$4,IF(AA273='Listas suspensas'!$A$5,'Listas suspensas'!$C$5,IF(AA273='Listas suspensas'!$A$6,'Listas suspensas'!$C$6,"")))))</f>
        <v>Indica a penetração profunda e uniforme em toda a extensão do alburno.</v>
      </c>
      <c r="BD273" s="13">
        <v>0.55300000000000005</v>
      </c>
      <c r="BE273" s="18">
        <f t="shared" si="60"/>
        <v>553</v>
      </c>
      <c r="BF273" s="8">
        <v>0.80800000000000005</v>
      </c>
      <c r="BG273" s="8">
        <v>0.33300000000000002</v>
      </c>
      <c r="BH273" s="8">
        <v>0.69699999999999995</v>
      </c>
      <c r="BI273" s="13">
        <f t="shared" si="61"/>
        <v>1.8380000000000001</v>
      </c>
      <c r="BJ273" s="14">
        <v>44</v>
      </c>
      <c r="BK273" s="14">
        <v>18.100000000000001</v>
      </c>
      <c r="BL273" s="14">
        <v>37.9</v>
      </c>
      <c r="BM273" s="16">
        <f t="shared" si="55"/>
        <v>100</v>
      </c>
      <c r="BN273" s="21">
        <f t="shared" si="56"/>
        <v>4.47</v>
      </c>
      <c r="BO273" s="21">
        <f t="shared" si="57"/>
        <v>1.84</v>
      </c>
      <c r="BP273" s="21">
        <f t="shared" si="58"/>
        <v>3.85</v>
      </c>
      <c r="BQ273" s="14">
        <f t="shared" si="59"/>
        <v>10.16</v>
      </c>
      <c r="BR273" s="22" t="str">
        <f>IF(OR(AND(X273="Mourões", BQ273&gt;=6.5),AND(X273="Postes", BQ273&gt;=9.6),AND(X273="Dormentes", BQ273&gt;=9.6),AND(X273="Estacas", BQ273&gt;=6.5),AND(X273="Cruzetas", BQ273&gt;=6.5),AND(X273="Outros - Solo", BQ273&gt;=6.5),AND(X273="Outros - Suspenso",BQ273&gt;=4),AND(X273="Deck",BQ273&gt;=4)),'Listas suspensas'!$C$21,'Listas suspensas'!$C$22)</f>
        <v>Os resultados da análise química apresentaram uma retenção do produto de acordo com o padrão mínimo exigido pela norma ABNT NBR 16143</v>
      </c>
    </row>
    <row r="274" spans="2:70" x14ac:dyDescent="0.25">
      <c r="B274" s="8" t="s">
        <v>726</v>
      </c>
      <c r="C274" s="8" t="s">
        <v>71</v>
      </c>
      <c r="F274" s="11">
        <v>45881</v>
      </c>
      <c r="G274" s="11">
        <v>45884</v>
      </c>
      <c r="H274" s="11">
        <v>45905</v>
      </c>
      <c r="I274" s="8" t="s">
        <v>696</v>
      </c>
      <c r="J274" s="8" t="s">
        <v>697</v>
      </c>
      <c r="K274" s="8" t="s">
        <v>202</v>
      </c>
      <c r="L274" s="8" t="s">
        <v>15</v>
      </c>
      <c r="N274" s="8" t="s">
        <v>75</v>
      </c>
      <c r="O274" s="8" t="s">
        <v>104</v>
      </c>
      <c r="P274" s="28" t="s">
        <v>146</v>
      </c>
      <c r="Q274" s="16" t="s">
        <v>727</v>
      </c>
      <c r="X274" s="8" t="s">
        <v>699</v>
      </c>
      <c r="Y274" s="34">
        <f>IF(X274='Listas suspensas'!$A$21,'Listas suspensas'!$B$23,IF(X274='Listas suspensas'!$A$22,'Listas suspensas'!$B$23,IF(X274='Listas suspensas'!$A$23,'Listas suspensas'!$B$22,IF(X274='Listas suspensas'!$A$26,'Listas suspensas'!$B$22,IF(X274='Listas suspensas'!$A$32,'Listas suspensas'!$B$22,IF(X274='Listas suspensas'!$A$33,'Listas suspensas'!$B$21,IF(X274='Listas suspensas'!$A$24,'Listas suspensas'!$B$22,IF(X274='Listas suspensas'!$A$30,'Listas suspensas'!$B$21,""))))))))</f>
        <v>4</v>
      </c>
      <c r="Z274" s="8" t="s">
        <v>80</v>
      </c>
      <c r="AA274" s="8">
        <v>1</v>
      </c>
      <c r="AB274" s="8" t="str">
        <f>IF(AA274='Listas suspensas'!$A$2,'Listas suspensas'!$B$2,IF(AA274='Listas suspensas'!$A$3,'Listas suspensas'!$B$3,IF(AA274='Listas suspensas'!$A$4,'Listas suspensas'!$B$4,IF(AA274='Listas suspensas'!$A$5,'Listas suspensas'!$B$5,IF(AA274='Listas suspensas'!$A$6,'Listas suspensas'!$B$6,"")))))</f>
        <v>Profunda e regular</v>
      </c>
      <c r="AC274" s="8" t="str">
        <f>IF(AA274='Listas suspensas'!$A$2,'Listas suspensas'!$C$2,IF(AA274='Listas suspensas'!$A$3,'Listas suspensas'!$C$3,IF(AA274='Listas suspensas'!$A$4,'Listas suspensas'!$C$4,IF(AA274='Listas suspensas'!$A$5,'Listas suspensas'!$C$5,IF(AA274='Listas suspensas'!$A$6,'Listas suspensas'!$C$6,"")))))</f>
        <v>Indica a penetração profunda e uniforme em toda a extensão do alburno.</v>
      </c>
      <c r="BD274" s="13">
        <v>0.47599999999999998</v>
      </c>
      <c r="BE274" s="18">
        <f t="shared" si="60"/>
        <v>476</v>
      </c>
      <c r="BF274" s="8">
        <v>1.028</v>
      </c>
      <c r="BG274" s="8">
        <v>0.38200000000000001</v>
      </c>
      <c r="BH274" s="8">
        <v>0.75</v>
      </c>
      <c r="BI274" s="13">
        <f t="shared" si="61"/>
        <v>2.16</v>
      </c>
      <c r="BJ274" s="14">
        <v>47.6</v>
      </c>
      <c r="BK274" s="14">
        <v>17.7</v>
      </c>
      <c r="BL274" s="14">
        <v>34.700000000000003</v>
      </c>
      <c r="BM274" s="16">
        <f t="shared" si="55"/>
        <v>100</v>
      </c>
      <c r="BN274" s="21">
        <f t="shared" si="56"/>
        <v>4.8899999999999997</v>
      </c>
      <c r="BO274" s="21">
        <f t="shared" si="57"/>
        <v>1.82</v>
      </c>
      <c r="BP274" s="21">
        <f t="shared" si="58"/>
        <v>3.57</v>
      </c>
      <c r="BQ274" s="14">
        <f t="shared" si="59"/>
        <v>10.28</v>
      </c>
      <c r="BR274" s="22" t="str">
        <f>IF(OR(AND(X274="Mourões", BQ274&gt;=6.5),AND(X274="Postes", BQ274&gt;=9.6),AND(X274="Dormentes", BQ274&gt;=9.6),AND(X274="Estacas", BQ274&gt;=6.5),AND(X274="Cruzetas", BQ274&gt;=6.5),AND(X274="Outros - Solo", BQ274&gt;=6.5),AND(X274="Outros - Suspenso",BQ274&gt;=4),AND(X274="Deck",BQ274&gt;=4)),'Listas suspensas'!$C$21,'Listas suspensas'!$C$22)</f>
        <v>Os resultados da análise química apresentaram uma retenção do produto de acordo com o padrão mínimo exigido pela norma ABNT NBR 16143</v>
      </c>
    </row>
    <row r="275" spans="2:70" x14ac:dyDescent="0.25">
      <c r="B275" s="8" t="s">
        <v>728</v>
      </c>
      <c r="C275" s="8" t="s">
        <v>71</v>
      </c>
      <c r="F275" s="11">
        <v>45881</v>
      </c>
      <c r="G275" s="11">
        <v>45884</v>
      </c>
      <c r="H275" s="11">
        <v>45905</v>
      </c>
      <c r="I275" s="8" t="s">
        <v>696</v>
      </c>
      <c r="J275" s="8" t="s">
        <v>697</v>
      </c>
      <c r="K275" s="8" t="s">
        <v>202</v>
      </c>
      <c r="L275" s="8" t="s">
        <v>15</v>
      </c>
      <c r="N275" s="8" t="s">
        <v>75</v>
      </c>
      <c r="O275" s="8" t="s">
        <v>104</v>
      </c>
      <c r="P275" s="28" t="s">
        <v>146</v>
      </c>
      <c r="Q275" s="16" t="s">
        <v>729</v>
      </c>
      <c r="X275" s="8" t="s">
        <v>699</v>
      </c>
      <c r="Y275" s="34">
        <f>IF(X275='Listas suspensas'!$A$21,'Listas suspensas'!$B$23,IF(X275='Listas suspensas'!$A$22,'Listas suspensas'!$B$23,IF(X275='Listas suspensas'!$A$23,'Listas suspensas'!$B$22,IF(X275='Listas suspensas'!$A$26,'Listas suspensas'!$B$22,IF(X275='Listas suspensas'!$A$32,'Listas suspensas'!$B$22,IF(X275='Listas suspensas'!$A$33,'Listas suspensas'!$B$21,IF(X275='Listas suspensas'!$A$24,'Listas suspensas'!$B$22,IF(X275='Listas suspensas'!$A$30,'Listas suspensas'!$B$21,""))))))))</f>
        <v>4</v>
      </c>
      <c r="Z275" s="8" t="s">
        <v>80</v>
      </c>
      <c r="AA275" s="8">
        <v>1</v>
      </c>
      <c r="AB275" s="8" t="str">
        <f>IF(AA275='Listas suspensas'!$A$2,'Listas suspensas'!$B$2,IF(AA275='Listas suspensas'!$A$3,'Listas suspensas'!$B$3,IF(AA275='Listas suspensas'!$A$4,'Listas suspensas'!$B$4,IF(AA275='Listas suspensas'!$A$5,'Listas suspensas'!$B$5,IF(AA275='Listas suspensas'!$A$6,'Listas suspensas'!$B$6,"")))))</f>
        <v>Profunda e regular</v>
      </c>
      <c r="AC275" s="8" t="str">
        <f>IF(AA275='Listas suspensas'!$A$2,'Listas suspensas'!$C$2,IF(AA275='Listas suspensas'!$A$3,'Listas suspensas'!$C$3,IF(AA275='Listas suspensas'!$A$4,'Listas suspensas'!$C$4,IF(AA275='Listas suspensas'!$A$5,'Listas suspensas'!$C$5,IF(AA275='Listas suspensas'!$A$6,'Listas suspensas'!$C$6,"")))))</f>
        <v>Indica a penetração profunda e uniforme em toda a extensão do alburno.</v>
      </c>
      <c r="BD275" s="13">
        <v>0.54700000000000004</v>
      </c>
      <c r="BE275" s="18">
        <f t="shared" si="60"/>
        <v>547</v>
      </c>
      <c r="BF275" s="8">
        <v>0.879</v>
      </c>
      <c r="BG275" s="8">
        <v>0.36899999999999999</v>
      </c>
      <c r="BH275" s="8">
        <v>0.75</v>
      </c>
      <c r="BI275" s="13">
        <f t="shared" si="61"/>
        <v>1.998</v>
      </c>
      <c r="BJ275" s="14">
        <v>44</v>
      </c>
      <c r="BK275" s="14">
        <v>18.5</v>
      </c>
      <c r="BL275" s="14">
        <v>37.5</v>
      </c>
      <c r="BM275" s="16">
        <f t="shared" si="55"/>
        <v>100</v>
      </c>
      <c r="BN275" s="21">
        <f t="shared" si="56"/>
        <v>4.8099999999999996</v>
      </c>
      <c r="BO275" s="21">
        <f t="shared" si="57"/>
        <v>2.02</v>
      </c>
      <c r="BP275" s="21">
        <f t="shared" si="58"/>
        <v>4.0999999999999996</v>
      </c>
      <c r="BQ275" s="14">
        <f t="shared" si="59"/>
        <v>10.93</v>
      </c>
      <c r="BR275" s="22" t="str">
        <f>IF(OR(AND(X275="Mourões", BQ275&gt;=6.5),AND(X275="Postes", BQ275&gt;=9.6),AND(X275="Dormentes", BQ275&gt;=9.6),AND(X275="Estacas", BQ275&gt;=6.5),AND(X275="Cruzetas", BQ275&gt;=6.5),AND(X275="Outros - Solo", BQ275&gt;=6.5),AND(X275="Outros - Suspenso",BQ275&gt;=4),AND(X275="Deck",BQ275&gt;=4)),'Listas suspensas'!$C$21,'Listas suspensas'!$C$22)</f>
        <v>Os resultados da análise química apresentaram uma retenção do produto de acordo com o padrão mínimo exigido pela norma ABNT NBR 16143</v>
      </c>
    </row>
    <row r="276" spans="2:70" x14ac:dyDescent="0.25">
      <c r="B276" s="8" t="s">
        <v>730</v>
      </c>
      <c r="C276" s="8" t="s">
        <v>71</v>
      </c>
      <c r="F276" s="11">
        <v>45881</v>
      </c>
      <c r="G276" s="11">
        <v>45884</v>
      </c>
      <c r="H276" s="11">
        <v>45905</v>
      </c>
      <c r="I276" s="8" t="s">
        <v>696</v>
      </c>
      <c r="J276" s="8" t="s">
        <v>697</v>
      </c>
      <c r="K276" s="8" t="s">
        <v>202</v>
      </c>
      <c r="L276" s="8" t="s">
        <v>15</v>
      </c>
      <c r="N276" s="8" t="s">
        <v>75</v>
      </c>
      <c r="O276" s="8" t="s">
        <v>104</v>
      </c>
      <c r="P276" s="28" t="s">
        <v>146</v>
      </c>
      <c r="Q276" s="16" t="s">
        <v>731</v>
      </c>
      <c r="X276" s="8" t="s">
        <v>699</v>
      </c>
      <c r="Y276" s="34">
        <f>IF(X276='Listas suspensas'!$A$21,'Listas suspensas'!$B$23,IF(X276='Listas suspensas'!$A$22,'Listas suspensas'!$B$23,IF(X276='Listas suspensas'!$A$23,'Listas suspensas'!$B$22,IF(X276='Listas suspensas'!$A$26,'Listas suspensas'!$B$22,IF(X276='Listas suspensas'!$A$32,'Listas suspensas'!$B$22,IF(X276='Listas suspensas'!$A$33,'Listas suspensas'!$B$21,IF(X276='Listas suspensas'!$A$24,'Listas suspensas'!$B$22,IF(X276='Listas suspensas'!$A$30,'Listas suspensas'!$B$21,""))))))))</f>
        <v>4</v>
      </c>
      <c r="Z276" s="8" t="s">
        <v>80</v>
      </c>
      <c r="AA276" s="8">
        <v>1</v>
      </c>
      <c r="AB276" s="8" t="str">
        <f>IF(AA276='Listas suspensas'!$A$2,'Listas suspensas'!$B$2,IF(AA276='Listas suspensas'!$A$3,'Listas suspensas'!$B$3,IF(AA276='Listas suspensas'!$A$4,'Listas suspensas'!$B$4,IF(AA276='Listas suspensas'!$A$5,'Listas suspensas'!$B$5,IF(AA276='Listas suspensas'!$A$6,'Listas suspensas'!$B$6,"")))))</f>
        <v>Profunda e regular</v>
      </c>
      <c r="AC276" s="8" t="str">
        <f>IF(AA276='Listas suspensas'!$A$2,'Listas suspensas'!$C$2,IF(AA276='Listas suspensas'!$A$3,'Listas suspensas'!$C$3,IF(AA276='Listas suspensas'!$A$4,'Listas suspensas'!$C$4,IF(AA276='Listas suspensas'!$A$5,'Listas suspensas'!$C$5,IF(AA276='Listas suspensas'!$A$6,'Listas suspensas'!$C$6,"")))))</f>
        <v>Indica a penetração profunda e uniforme em toda a extensão do alburno.</v>
      </c>
      <c r="BD276" s="13">
        <v>0.504</v>
      </c>
      <c r="BE276" s="18">
        <f t="shared" si="60"/>
        <v>504</v>
      </c>
      <c r="BF276" s="8">
        <v>0.999</v>
      </c>
      <c r="BG276" s="8">
        <v>0.36799999999999999</v>
      </c>
      <c r="BH276" s="8">
        <v>0.70799999999999996</v>
      </c>
      <c r="BI276" s="13">
        <f t="shared" si="61"/>
        <v>2.0750000000000002</v>
      </c>
      <c r="BJ276" s="14">
        <v>48.2</v>
      </c>
      <c r="BK276" s="14">
        <v>17.7</v>
      </c>
      <c r="BL276" s="14">
        <v>34.1</v>
      </c>
      <c r="BM276" s="16">
        <f t="shared" si="55"/>
        <v>100</v>
      </c>
      <c r="BN276" s="21">
        <f t="shared" si="56"/>
        <v>5.03</v>
      </c>
      <c r="BO276" s="21">
        <f t="shared" si="57"/>
        <v>1.85</v>
      </c>
      <c r="BP276" s="21">
        <f t="shared" si="58"/>
        <v>3.57</v>
      </c>
      <c r="BQ276" s="14">
        <f t="shared" si="59"/>
        <v>10.45</v>
      </c>
      <c r="BR276" s="22" t="str">
        <f>IF(OR(AND(X276="Mourões", BQ276&gt;=6.5),AND(X276="Postes", BQ276&gt;=9.6),AND(X276="Dormentes", BQ276&gt;=9.6),AND(X276="Estacas", BQ276&gt;=6.5),AND(X276="Cruzetas", BQ276&gt;=6.5),AND(X276="Outros - Solo", BQ276&gt;=6.5),AND(X276="Outros - Suspenso",BQ276&gt;=4),AND(X276="Deck",BQ276&gt;=4)),'Listas suspensas'!$C$21,'Listas suspensas'!$C$22)</f>
        <v>Os resultados da análise química apresentaram uma retenção do produto de acordo com o padrão mínimo exigido pela norma ABNT NBR 16143</v>
      </c>
    </row>
    <row r="277" spans="2:70" x14ac:dyDescent="0.25">
      <c r="B277" s="8" t="s">
        <v>732</v>
      </c>
      <c r="C277" s="8" t="s">
        <v>71</v>
      </c>
      <c r="F277" s="11">
        <v>45881</v>
      </c>
      <c r="G277" s="11">
        <v>45884</v>
      </c>
      <c r="H277" s="11">
        <v>45905</v>
      </c>
      <c r="I277" s="8" t="s">
        <v>696</v>
      </c>
      <c r="J277" s="8" t="s">
        <v>697</v>
      </c>
      <c r="K277" s="8" t="s">
        <v>202</v>
      </c>
      <c r="L277" s="8" t="s">
        <v>15</v>
      </c>
      <c r="N277" s="8" t="s">
        <v>75</v>
      </c>
      <c r="O277" s="8" t="s">
        <v>104</v>
      </c>
      <c r="P277" s="28" t="s">
        <v>146</v>
      </c>
      <c r="Q277" s="16" t="s">
        <v>733</v>
      </c>
      <c r="X277" s="8" t="s">
        <v>699</v>
      </c>
      <c r="Y277" s="34">
        <f>IF(X277='Listas suspensas'!$A$21,'Listas suspensas'!$B$23,IF(X277='Listas suspensas'!$A$22,'Listas suspensas'!$B$23,IF(X277='Listas suspensas'!$A$23,'Listas suspensas'!$B$22,IF(X277='Listas suspensas'!$A$26,'Listas suspensas'!$B$22,IF(X277='Listas suspensas'!$A$32,'Listas suspensas'!$B$22,IF(X277='Listas suspensas'!$A$33,'Listas suspensas'!$B$21,IF(X277='Listas suspensas'!$A$24,'Listas suspensas'!$B$22,IF(X277='Listas suspensas'!$A$30,'Listas suspensas'!$B$21,""))))))))</f>
        <v>4</v>
      </c>
      <c r="Z277" s="8" t="s">
        <v>80</v>
      </c>
      <c r="AA277" s="8">
        <v>1</v>
      </c>
      <c r="AB277" s="8" t="str">
        <f>IF(AA277='Listas suspensas'!$A$2,'Listas suspensas'!$B$2,IF(AA277='Listas suspensas'!$A$3,'Listas suspensas'!$B$3,IF(AA277='Listas suspensas'!$A$4,'Listas suspensas'!$B$4,IF(AA277='Listas suspensas'!$A$5,'Listas suspensas'!$B$5,IF(AA277='Listas suspensas'!$A$6,'Listas suspensas'!$B$6,"")))))</f>
        <v>Profunda e regular</v>
      </c>
      <c r="AC277" s="8" t="str">
        <f>IF(AA277='Listas suspensas'!$A$2,'Listas suspensas'!$C$2,IF(AA277='Listas suspensas'!$A$3,'Listas suspensas'!$C$3,IF(AA277='Listas suspensas'!$A$4,'Listas suspensas'!$C$4,IF(AA277='Listas suspensas'!$A$5,'Listas suspensas'!$C$5,IF(AA277='Listas suspensas'!$A$6,'Listas suspensas'!$C$6,"")))))</f>
        <v>Indica a penetração profunda e uniforme em toda a extensão do alburno.</v>
      </c>
      <c r="BD277" s="13">
        <v>0.47599999999999998</v>
      </c>
      <c r="BE277" s="18">
        <f t="shared" si="60"/>
        <v>476</v>
      </c>
      <c r="BF277" s="8">
        <v>0.93</v>
      </c>
      <c r="BG277" s="8">
        <v>0.36</v>
      </c>
      <c r="BH277" s="8">
        <v>0.69199999999999995</v>
      </c>
      <c r="BI277" s="13">
        <f t="shared" si="61"/>
        <v>1.982</v>
      </c>
      <c r="BJ277" s="14">
        <v>46.9</v>
      </c>
      <c r="BK277" s="14">
        <v>18.2</v>
      </c>
      <c r="BL277" s="14">
        <v>34.9</v>
      </c>
      <c r="BM277" s="16">
        <f t="shared" si="55"/>
        <v>100</v>
      </c>
      <c r="BN277" s="21">
        <f t="shared" si="56"/>
        <v>4.43</v>
      </c>
      <c r="BO277" s="21">
        <f t="shared" si="57"/>
        <v>1.71</v>
      </c>
      <c r="BP277" s="21">
        <f t="shared" si="58"/>
        <v>3.29</v>
      </c>
      <c r="BQ277" s="14">
        <f t="shared" si="59"/>
        <v>9.43</v>
      </c>
      <c r="BR277" s="22" t="str">
        <f>IF(OR(AND(X277="Mourões", BQ277&gt;=6.5),AND(X277="Postes", BQ277&gt;=9.6),AND(X277="Dormentes", BQ277&gt;=9.6),AND(X277="Estacas", BQ277&gt;=6.5),AND(X277="Cruzetas", BQ277&gt;=6.5),AND(X277="Outros - Solo", BQ277&gt;=6.5),AND(X277="Outros - Suspenso",BQ277&gt;=4),AND(X277="Deck",BQ277&gt;=4)),'Listas suspensas'!$C$21,'Listas suspensas'!$C$22)</f>
        <v>Os resultados da análise química apresentaram uma retenção do produto de acordo com o padrão mínimo exigido pela norma ABNT NBR 16143</v>
      </c>
    </row>
    <row r="278" spans="2:70" x14ac:dyDescent="0.25">
      <c r="B278" s="8" t="s">
        <v>734</v>
      </c>
      <c r="C278" s="8" t="s">
        <v>71</v>
      </c>
      <c r="F278" s="11">
        <v>45881</v>
      </c>
      <c r="G278" s="11">
        <v>45884</v>
      </c>
      <c r="H278" s="11">
        <v>45905</v>
      </c>
      <c r="I278" s="8" t="s">
        <v>696</v>
      </c>
      <c r="J278" s="8" t="s">
        <v>697</v>
      </c>
      <c r="K278" s="8" t="s">
        <v>202</v>
      </c>
      <c r="L278" s="8" t="s">
        <v>15</v>
      </c>
      <c r="N278" s="8" t="s">
        <v>75</v>
      </c>
      <c r="O278" s="8" t="s">
        <v>104</v>
      </c>
      <c r="P278" s="28" t="s">
        <v>146</v>
      </c>
      <c r="Q278" s="16" t="s">
        <v>735</v>
      </c>
      <c r="X278" s="8" t="s">
        <v>699</v>
      </c>
      <c r="Y278" s="34">
        <f>IF(X278='Listas suspensas'!$A$21,'Listas suspensas'!$B$23,IF(X278='Listas suspensas'!$A$22,'Listas suspensas'!$B$23,IF(X278='Listas suspensas'!$A$23,'Listas suspensas'!$B$22,IF(X278='Listas suspensas'!$A$26,'Listas suspensas'!$B$22,IF(X278='Listas suspensas'!$A$32,'Listas suspensas'!$B$22,IF(X278='Listas suspensas'!$A$33,'Listas suspensas'!$B$21,IF(X278='Listas suspensas'!$A$24,'Listas suspensas'!$B$22,IF(X278='Listas suspensas'!$A$30,'Listas suspensas'!$B$21,""))))))))</f>
        <v>4</v>
      </c>
      <c r="Z278" s="8" t="s">
        <v>80</v>
      </c>
      <c r="AA278" s="8">
        <v>1</v>
      </c>
      <c r="AB278" s="8" t="str">
        <f>IF(AA278='Listas suspensas'!$A$2,'Listas suspensas'!$B$2,IF(AA278='Listas suspensas'!$A$3,'Listas suspensas'!$B$3,IF(AA278='Listas suspensas'!$A$4,'Listas suspensas'!$B$4,IF(AA278='Listas suspensas'!$A$5,'Listas suspensas'!$B$5,IF(AA278='Listas suspensas'!$A$6,'Listas suspensas'!$B$6,"")))))</f>
        <v>Profunda e regular</v>
      </c>
      <c r="AC278" s="8" t="str">
        <f>IF(AA278='Listas suspensas'!$A$2,'Listas suspensas'!$C$2,IF(AA278='Listas suspensas'!$A$3,'Listas suspensas'!$C$3,IF(AA278='Listas suspensas'!$A$4,'Listas suspensas'!$C$4,IF(AA278='Listas suspensas'!$A$5,'Listas suspensas'!$C$5,IF(AA278='Listas suspensas'!$A$6,'Listas suspensas'!$C$6,"")))))</f>
        <v>Indica a penetração profunda e uniforme em toda a extensão do alburno.</v>
      </c>
      <c r="BD278" s="13">
        <v>0.498</v>
      </c>
      <c r="BE278" s="18">
        <f t="shared" si="60"/>
        <v>498</v>
      </c>
      <c r="BF278" s="8">
        <v>0.86099999999999999</v>
      </c>
      <c r="BG278" s="8">
        <v>0.34</v>
      </c>
      <c r="BH278" s="8">
        <v>0.66300000000000003</v>
      </c>
      <c r="BI278" s="13">
        <f t="shared" si="61"/>
        <v>1.8640000000000001</v>
      </c>
      <c r="BJ278" s="14">
        <v>46.2</v>
      </c>
      <c r="BK278" s="14">
        <v>18.3</v>
      </c>
      <c r="BL278" s="14">
        <v>35.5</v>
      </c>
      <c r="BM278" s="16">
        <f t="shared" si="55"/>
        <v>100</v>
      </c>
      <c r="BN278" s="21">
        <f t="shared" si="56"/>
        <v>4.29</v>
      </c>
      <c r="BO278" s="21">
        <f t="shared" si="57"/>
        <v>1.69</v>
      </c>
      <c r="BP278" s="21">
        <f t="shared" si="58"/>
        <v>3.3</v>
      </c>
      <c r="BQ278" s="14">
        <f t="shared" si="59"/>
        <v>9.2799999999999994</v>
      </c>
      <c r="BR278" s="22" t="str">
        <f>IF(OR(AND(X278="Mourões", BQ278&gt;=6.5),AND(X278="Postes", BQ278&gt;=9.6),AND(X278="Dormentes", BQ278&gt;=9.6),AND(X278="Estacas", BQ278&gt;=6.5),AND(X278="Cruzetas", BQ278&gt;=6.5),AND(X278="Outros - Solo", BQ278&gt;=6.5),AND(X278="Outros - Suspenso",BQ278&gt;=4),AND(X278="Deck",BQ278&gt;=4)),'Listas suspensas'!$C$21,'Listas suspensas'!$C$22)</f>
        <v>Os resultados da análise química apresentaram uma retenção do produto de acordo com o padrão mínimo exigido pela norma ABNT NBR 16143</v>
      </c>
    </row>
    <row r="279" spans="2:70" x14ac:dyDescent="0.25">
      <c r="B279" s="8" t="s">
        <v>736</v>
      </c>
      <c r="C279" s="8" t="s">
        <v>71</v>
      </c>
      <c r="F279" s="11">
        <v>45881</v>
      </c>
      <c r="G279" s="11">
        <v>45884</v>
      </c>
      <c r="H279" s="11">
        <v>45905</v>
      </c>
      <c r="I279" s="8" t="s">
        <v>696</v>
      </c>
      <c r="J279" s="8" t="s">
        <v>697</v>
      </c>
      <c r="K279" s="8" t="s">
        <v>202</v>
      </c>
      <c r="L279" s="8" t="s">
        <v>15</v>
      </c>
      <c r="N279" s="8" t="s">
        <v>75</v>
      </c>
      <c r="O279" s="8" t="s">
        <v>104</v>
      </c>
      <c r="P279" s="28" t="s">
        <v>146</v>
      </c>
      <c r="Q279" s="16" t="s">
        <v>737</v>
      </c>
      <c r="X279" s="8" t="s">
        <v>699</v>
      </c>
      <c r="Y279" s="34">
        <f>IF(X279='Listas suspensas'!$A$21,'Listas suspensas'!$B$23,IF(X279='Listas suspensas'!$A$22,'Listas suspensas'!$B$23,IF(X279='Listas suspensas'!$A$23,'Listas suspensas'!$B$22,IF(X279='Listas suspensas'!$A$26,'Listas suspensas'!$B$22,IF(X279='Listas suspensas'!$A$32,'Listas suspensas'!$B$22,IF(X279='Listas suspensas'!$A$33,'Listas suspensas'!$B$21,IF(X279='Listas suspensas'!$A$24,'Listas suspensas'!$B$22,IF(X279='Listas suspensas'!$A$30,'Listas suspensas'!$B$21,""))))))))</f>
        <v>4</v>
      </c>
      <c r="Z279" s="8" t="s">
        <v>80</v>
      </c>
      <c r="AA279" s="8">
        <v>1</v>
      </c>
      <c r="AB279" s="8" t="str">
        <f>IF(AA279='Listas suspensas'!$A$2,'Listas suspensas'!$B$2,IF(AA279='Listas suspensas'!$A$3,'Listas suspensas'!$B$3,IF(AA279='Listas suspensas'!$A$4,'Listas suspensas'!$B$4,IF(AA279='Listas suspensas'!$A$5,'Listas suspensas'!$B$5,IF(AA279='Listas suspensas'!$A$6,'Listas suspensas'!$B$6,"")))))</f>
        <v>Profunda e regular</v>
      </c>
      <c r="AC279" s="8" t="str">
        <f>IF(AA279='Listas suspensas'!$A$2,'Listas suspensas'!$C$2,IF(AA279='Listas suspensas'!$A$3,'Listas suspensas'!$C$3,IF(AA279='Listas suspensas'!$A$4,'Listas suspensas'!$C$4,IF(AA279='Listas suspensas'!$A$5,'Listas suspensas'!$C$5,IF(AA279='Listas suspensas'!$A$6,'Listas suspensas'!$C$6,"")))))</f>
        <v>Indica a penetração profunda e uniforme em toda a extensão do alburno.</v>
      </c>
      <c r="BD279" s="13">
        <v>0.52400000000000002</v>
      </c>
      <c r="BE279" s="18">
        <f t="shared" si="60"/>
        <v>524</v>
      </c>
      <c r="BF279" s="8">
        <v>0.90300000000000002</v>
      </c>
      <c r="BG279" s="8">
        <v>0.32400000000000001</v>
      </c>
      <c r="BH279" s="8">
        <v>0.59799999999999998</v>
      </c>
      <c r="BI279" s="13">
        <f t="shared" si="61"/>
        <v>1.8250000000000002</v>
      </c>
      <c r="BJ279" s="14">
        <v>49.5</v>
      </c>
      <c r="BK279" s="14">
        <v>17.7</v>
      </c>
      <c r="BL279" s="14">
        <v>32.799999999999997</v>
      </c>
      <c r="BM279" s="16">
        <f t="shared" si="55"/>
        <v>100</v>
      </c>
      <c r="BN279" s="21">
        <f t="shared" si="56"/>
        <v>4.7300000000000004</v>
      </c>
      <c r="BO279" s="21">
        <f t="shared" si="57"/>
        <v>1.7</v>
      </c>
      <c r="BP279" s="21">
        <f t="shared" si="58"/>
        <v>3.13</v>
      </c>
      <c r="BQ279" s="14">
        <f t="shared" si="59"/>
        <v>9.56</v>
      </c>
      <c r="BR279" s="22" t="str">
        <f>IF(OR(AND(X279="Mourões", BQ279&gt;=6.5),AND(X279="Postes", BQ279&gt;=9.6),AND(X279="Dormentes", BQ279&gt;=9.6),AND(X279="Estacas", BQ279&gt;=6.5),AND(X279="Cruzetas", BQ279&gt;=6.5),AND(X279="Outros - Solo", BQ279&gt;=6.5),AND(X279="Outros - Suspenso",BQ279&gt;=4),AND(X279="Deck",BQ279&gt;=4)),'Listas suspensas'!$C$21,'Listas suspensas'!$C$22)</f>
        <v>Os resultados da análise química apresentaram uma retenção do produto de acordo com o padrão mínimo exigido pela norma ABNT NBR 16143</v>
      </c>
    </row>
    <row r="280" spans="2:70" x14ac:dyDescent="0.25">
      <c r="B280" s="8" t="s">
        <v>738</v>
      </c>
      <c r="C280" s="8" t="s">
        <v>71</v>
      </c>
      <c r="F280" s="11">
        <v>45881</v>
      </c>
      <c r="G280" s="11">
        <v>45884</v>
      </c>
      <c r="H280" s="11">
        <v>45905</v>
      </c>
      <c r="I280" s="8" t="s">
        <v>696</v>
      </c>
      <c r="J280" s="8" t="s">
        <v>697</v>
      </c>
      <c r="K280" s="8" t="s">
        <v>202</v>
      </c>
      <c r="L280" s="8" t="s">
        <v>15</v>
      </c>
      <c r="N280" s="8" t="s">
        <v>75</v>
      </c>
      <c r="O280" s="8" t="s">
        <v>104</v>
      </c>
      <c r="P280" s="28" t="s">
        <v>146</v>
      </c>
      <c r="Q280" s="16" t="s">
        <v>739</v>
      </c>
      <c r="X280" s="8" t="s">
        <v>699</v>
      </c>
      <c r="Y280" s="34">
        <f>IF(X280='Listas suspensas'!$A$21,'Listas suspensas'!$B$23,IF(X280='Listas suspensas'!$A$22,'Listas suspensas'!$B$23,IF(X280='Listas suspensas'!$A$23,'Listas suspensas'!$B$22,IF(X280='Listas suspensas'!$A$26,'Listas suspensas'!$B$22,IF(X280='Listas suspensas'!$A$32,'Listas suspensas'!$B$22,IF(X280='Listas suspensas'!$A$33,'Listas suspensas'!$B$21,IF(X280='Listas suspensas'!$A$24,'Listas suspensas'!$B$22,IF(X280='Listas suspensas'!$A$30,'Listas suspensas'!$B$21,""))))))))</f>
        <v>4</v>
      </c>
      <c r="Z280" s="8" t="s">
        <v>80</v>
      </c>
      <c r="AA280" s="8">
        <v>1</v>
      </c>
      <c r="AB280" s="8" t="str">
        <f>IF(AA280='Listas suspensas'!$A$2,'Listas suspensas'!$B$2,IF(AA280='Listas suspensas'!$A$3,'Listas suspensas'!$B$3,IF(AA280='Listas suspensas'!$A$4,'Listas suspensas'!$B$4,IF(AA280='Listas suspensas'!$A$5,'Listas suspensas'!$B$5,IF(AA280='Listas suspensas'!$A$6,'Listas suspensas'!$B$6,"")))))</f>
        <v>Profunda e regular</v>
      </c>
      <c r="AC280" s="8" t="str">
        <f>IF(AA280='Listas suspensas'!$A$2,'Listas suspensas'!$C$2,IF(AA280='Listas suspensas'!$A$3,'Listas suspensas'!$C$3,IF(AA280='Listas suspensas'!$A$4,'Listas suspensas'!$C$4,IF(AA280='Listas suspensas'!$A$5,'Listas suspensas'!$C$5,IF(AA280='Listas suspensas'!$A$6,'Listas suspensas'!$C$6,"")))))</f>
        <v>Indica a penetração profunda e uniforme em toda a extensão do alburno.</v>
      </c>
      <c r="BD280" s="13">
        <v>0.495</v>
      </c>
      <c r="BE280" s="18">
        <f t="shared" si="60"/>
        <v>495</v>
      </c>
      <c r="BF280" s="8">
        <v>1.0860000000000001</v>
      </c>
      <c r="BG280" s="8">
        <v>0.39100000000000001</v>
      </c>
      <c r="BH280" s="8">
        <v>0.73499999999999999</v>
      </c>
      <c r="BI280" s="13">
        <f t="shared" si="61"/>
        <v>2.2120000000000002</v>
      </c>
      <c r="BJ280" s="14">
        <v>49.1</v>
      </c>
      <c r="BK280" s="14">
        <v>17.7</v>
      </c>
      <c r="BL280" s="14">
        <v>33.200000000000003</v>
      </c>
      <c r="BM280" s="16">
        <f t="shared" si="55"/>
        <v>100</v>
      </c>
      <c r="BN280" s="21">
        <f t="shared" si="56"/>
        <v>5.38</v>
      </c>
      <c r="BO280" s="21">
        <f t="shared" si="57"/>
        <v>1.94</v>
      </c>
      <c r="BP280" s="21">
        <f t="shared" si="58"/>
        <v>3.64</v>
      </c>
      <c r="BQ280" s="14">
        <f t="shared" si="59"/>
        <v>10.96</v>
      </c>
      <c r="BR280" s="22" t="str">
        <f>IF(OR(AND(X280="Mourões", BQ280&gt;=6.5),AND(X280="Postes", BQ280&gt;=9.6),AND(X280="Dormentes", BQ280&gt;=9.6),AND(X280="Estacas", BQ280&gt;=6.5),AND(X280="Cruzetas", BQ280&gt;=6.5),AND(X280="Outros - Solo", BQ280&gt;=6.5),AND(X280="Outros - Suspenso",BQ280&gt;=4),AND(X280="Deck",BQ280&gt;=4)),'Listas suspensas'!$C$21,'Listas suspensas'!$C$22)</f>
        <v>Os resultados da análise química apresentaram uma retenção do produto de acordo com o padrão mínimo exigido pela norma ABNT NBR 16143</v>
      </c>
    </row>
    <row r="281" spans="2:70" x14ac:dyDescent="0.25">
      <c r="B281" s="8" t="s">
        <v>740</v>
      </c>
      <c r="C281" s="8" t="s">
        <v>71</v>
      </c>
      <c r="F281" s="11">
        <v>45894</v>
      </c>
      <c r="G281" s="11">
        <v>45895</v>
      </c>
      <c r="H281" s="11">
        <v>45905</v>
      </c>
      <c r="I281" s="8" t="s">
        <v>552</v>
      </c>
      <c r="J281" s="8" t="s">
        <v>553</v>
      </c>
      <c r="K281" s="8" t="s">
        <v>74</v>
      </c>
      <c r="L281" s="8" t="s">
        <v>15</v>
      </c>
      <c r="N281" s="8" t="s">
        <v>75</v>
      </c>
      <c r="O281" s="8" t="s">
        <v>76</v>
      </c>
      <c r="P281" s="28" t="s">
        <v>146</v>
      </c>
      <c r="Q281" s="16" t="s">
        <v>741</v>
      </c>
      <c r="X281" s="8" t="s">
        <v>101</v>
      </c>
      <c r="Y281" s="34">
        <f>IF(X281='Listas suspensas'!$A$21,'Listas suspensas'!$B$23,IF(X281='Listas suspensas'!$A$22,'Listas suspensas'!$B$23,IF(X281='Listas suspensas'!$A$23,'Listas suspensas'!$B$22,IF(X281='Listas suspensas'!$A$26,'Listas suspensas'!$B$22,IF(X281='Listas suspensas'!$A$32,'Listas suspensas'!$B$22,IF(X281='Listas suspensas'!$A$33,'Listas suspensas'!$B$21,IF(X281='Listas suspensas'!$A$24,'Listas suspensas'!$B$22,IF(X281='Listas suspensas'!$A$30,'Listas suspensas'!$B$21,""))))))))</f>
        <v>6.5</v>
      </c>
      <c r="Z281" s="8" t="s">
        <v>80</v>
      </c>
      <c r="AA281" s="8">
        <v>2</v>
      </c>
      <c r="AB281" s="8" t="str">
        <f>IF(AA281='Listas suspensas'!$A$2,'Listas suspensas'!$B$2,IF(AA281='Listas suspensas'!$A$3,'Listas suspensas'!$B$3,IF(AA281='Listas suspensas'!$A$4,'Listas suspensas'!$B$4,IF(AA281='Listas suspensas'!$A$5,'Listas suspensas'!$B$5,IF(AA281='Listas suspensas'!$A$6,'Listas suspensas'!$B$6,"")))))</f>
        <v>Profunda e irregular</v>
      </c>
      <c r="AC281" s="8" t="str">
        <f>IF(AA281='Listas suspensas'!$A$2,'Listas suspensas'!$C$2,IF(AA281='Listas suspensas'!$A$3,'Listas suspensas'!$C$3,IF(AA281='Listas suspensas'!$A$4,'Listas suspensas'!$C$4,IF(AA281='Listas suspensas'!$A$5,'Listas suspensas'!$C$5,IF(AA281='Listas suspensas'!$A$6,'Listas suspensas'!$C$6,"")))))</f>
        <v>Indica a penetração profunda, mas desuniforme em toda a extensão do alburno.</v>
      </c>
      <c r="BD281" s="13">
        <v>0.51100000000000001</v>
      </c>
      <c r="BE281" s="18">
        <f t="shared" si="60"/>
        <v>511</v>
      </c>
      <c r="BF281" s="8">
        <v>0.51100000000000001</v>
      </c>
      <c r="BG281" s="8">
        <v>0.17899999999999999</v>
      </c>
      <c r="BH281" s="8">
        <v>0.27700000000000002</v>
      </c>
      <c r="BI281" s="13">
        <f t="shared" si="61"/>
        <v>0.96699999999999997</v>
      </c>
      <c r="BJ281" s="14">
        <v>52.8</v>
      </c>
      <c r="BK281" s="14">
        <v>18.5</v>
      </c>
      <c r="BL281" s="14">
        <v>28.7</v>
      </c>
      <c r="BM281" s="16">
        <f t="shared" si="55"/>
        <v>100</v>
      </c>
      <c r="BN281" s="21">
        <f t="shared" si="56"/>
        <v>2.61</v>
      </c>
      <c r="BO281" s="21">
        <f t="shared" si="57"/>
        <v>0.91</v>
      </c>
      <c r="BP281" s="21">
        <f t="shared" si="58"/>
        <v>1.42</v>
      </c>
      <c r="BQ281" s="14">
        <f t="shared" si="59"/>
        <v>4.9400000000000004</v>
      </c>
      <c r="BR281" s="22" t="str">
        <f>IF(OR(AND(X281="Mourões", BQ281&gt;=6.5),AND(X281="Postes", BQ281&gt;=9.6),AND(X281="Dormentes", BQ281&gt;=9.6),AND(X281="Estacas", BQ281&gt;=6.5),AND(X281="Cruzetas", BQ281&gt;=6.5),AND(X281="Outros - Solo", BQ281&gt;=6.5),AND(X281="Outros - Suspenso",BQ281&gt;=4),AND(X281="Deck",BQ281&gt;=4)),'Listas suspensas'!$C$21,'Listas suspensas'!$C$22)</f>
        <v>Os resultados da análise química apresentaram uma retenção do produto inferior ao padrão mínimo exigido pela norma ABNT NBR 16143</v>
      </c>
    </row>
    <row r="282" spans="2:70" x14ac:dyDescent="0.25">
      <c r="B282" s="8" t="s">
        <v>742</v>
      </c>
      <c r="C282" s="8" t="s">
        <v>71</v>
      </c>
      <c r="F282" s="11">
        <v>45896</v>
      </c>
      <c r="G282" s="11">
        <v>45901</v>
      </c>
      <c r="H282" s="11">
        <v>45911</v>
      </c>
      <c r="I282" s="8" t="s">
        <v>241</v>
      </c>
      <c r="J282" s="8" t="s">
        <v>242</v>
      </c>
      <c r="K282" s="8" t="s">
        <v>243</v>
      </c>
      <c r="L282" s="8" t="s">
        <v>15</v>
      </c>
      <c r="M282" s="30" t="s">
        <v>361</v>
      </c>
      <c r="N282" s="8" t="s">
        <v>75</v>
      </c>
      <c r="O282" s="8" t="s">
        <v>94</v>
      </c>
      <c r="P282" s="28" t="s">
        <v>77</v>
      </c>
      <c r="Q282" s="16" t="s">
        <v>743</v>
      </c>
      <c r="X282" s="8" t="s">
        <v>180</v>
      </c>
      <c r="Y282" s="34">
        <f>IF(X282='Listas suspensas'!$A$21,'Listas suspensas'!$B$23,IF(X282='Listas suspensas'!$A$22,'Listas suspensas'!$B$23,IF(X282='Listas suspensas'!$A$23,'Listas suspensas'!$B$22,IF(X282='Listas suspensas'!$A$26,'Listas suspensas'!$B$22,IF(X282='Listas suspensas'!$A$32,'Listas suspensas'!$B$22,IF(X282='Listas suspensas'!$A$33,'Listas suspensas'!$B$21,IF(X282='Listas suspensas'!$A$24,'Listas suspensas'!$B$22,IF(X282='Listas suspensas'!$A$30,'Listas suspensas'!$B$21,""))))))))</f>
        <v>6.5</v>
      </c>
      <c r="Z282" s="8" t="s">
        <v>80</v>
      </c>
      <c r="AA282" s="8">
        <v>2</v>
      </c>
      <c r="AB282" s="8" t="str">
        <f>IF(AA282='Listas suspensas'!$A$2,'Listas suspensas'!$B$2,IF(AA282='Listas suspensas'!$A$3,'Listas suspensas'!$B$3,IF(AA282='Listas suspensas'!$A$4,'Listas suspensas'!$B$4,IF(AA282='Listas suspensas'!$A$5,'Listas suspensas'!$B$5,IF(AA282='Listas suspensas'!$A$6,'Listas suspensas'!$B$6,"")))))</f>
        <v>Profunda e irregular</v>
      </c>
      <c r="AC282" s="8" t="str">
        <f>IF(AA282='Listas suspensas'!$A$2,'Listas suspensas'!$C$2,IF(AA282='Listas suspensas'!$A$3,'Listas suspensas'!$C$3,IF(AA282='Listas suspensas'!$A$4,'Listas suspensas'!$C$4,IF(AA282='Listas suspensas'!$A$5,'Listas suspensas'!$C$5,IF(AA282='Listas suspensas'!$A$6,'Listas suspensas'!$C$6,"")))))</f>
        <v>Indica a penetração profunda, mas desuniforme em toda a extensão do alburno.</v>
      </c>
      <c r="BD282" s="13">
        <v>0.85899999999999999</v>
      </c>
      <c r="BE282" s="18">
        <f t="shared" si="60"/>
        <v>859</v>
      </c>
      <c r="BF282" s="8">
        <v>0.3</v>
      </c>
      <c r="BG282" s="8">
        <v>0.14199999999999999</v>
      </c>
      <c r="BH282" s="8">
        <v>0.26300000000000001</v>
      </c>
      <c r="BI282" s="13">
        <f t="shared" si="61"/>
        <v>0.70499999999999996</v>
      </c>
      <c r="BJ282" s="14">
        <v>42.6</v>
      </c>
      <c r="BK282" s="14">
        <v>20.2</v>
      </c>
      <c r="BL282" s="14">
        <v>37.200000000000003</v>
      </c>
      <c r="BM282" s="16">
        <f t="shared" si="55"/>
        <v>100</v>
      </c>
      <c r="BN282" s="21">
        <f t="shared" si="56"/>
        <v>2.58</v>
      </c>
      <c r="BO282" s="21">
        <f t="shared" si="57"/>
        <v>1.22</v>
      </c>
      <c r="BP282" s="21">
        <f t="shared" si="58"/>
        <v>2.2599999999999998</v>
      </c>
      <c r="BQ282" s="14">
        <f t="shared" si="59"/>
        <v>6.06</v>
      </c>
      <c r="BR282" s="22" t="str">
        <f>IF(OR(AND(X282="Mourões", BQ282&gt;=6.5),AND(X282="Postes", BQ282&gt;=9.6),AND(X282="Dormentes", BQ282&gt;=9.6),AND(X282="Estacas", BQ282&gt;=6.5),AND(X282="Cruzetas", BQ282&gt;=6.5),AND(X282="Outros - Solo", BQ282&gt;=6.5),AND(X282="Outros - Suspenso",BQ282&gt;=4),AND(X282="Deck",BQ282&gt;=4)),'Listas suspensas'!$C$21,'Listas suspensas'!$C$22)</f>
        <v>Os resultados da análise química apresentaram uma retenção do produto inferior ao padrão mínimo exigido pela norma ABNT NBR 16143</v>
      </c>
    </row>
    <row r="283" spans="2:70" x14ac:dyDescent="0.25">
      <c r="B283" s="8" t="s">
        <v>744</v>
      </c>
      <c r="C283" s="8" t="s">
        <v>71</v>
      </c>
      <c r="F283" s="11">
        <v>45896</v>
      </c>
      <c r="G283" s="11">
        <v>45901</v>
      </c>
      <c r="H283" s="11">
        <v>45911</v>
      </c>
      <c r="I283" s="8" t="s">
        <v>241</v>
      </c>
      <c r="J283" s="8" t="s">
        <v>242</v>
      </c>
      <c r="K283" s="8" t="s">
        <v>243</v>
      </c>
      <c r="L283" s="8" t="s">
        <v>15</v>
      </c>
      <c r="M283" s="30" t="s">
        <v>361</v>
      </c>
      <c r="N283" s="8" t="s">
        <v>75</v>
      </c>
      <c r="O283" s="8" t="s">
        <v>94</v>
      </c>
      <c r="P283" s="28" t="s">
        <v>77</v>
      </c>
      <c r="Q283" s="16" t="s">
        <v>745</v>
      </c>
      <c r="X283" s="8" t="s">
        <v>180</v>
      </c>
      <c r="Y283" s="34">
        <f>IF(X283='Listas suspensas'!$A$21,'Listas suspensas'!$B$23,IF(X283='Listas suspensas'!$A$22,'Listas suspensas'!$B$23,IF(X283='Listas suspensas'!$A$23,'Listas suspensas'!$B$22,IF(X283='Listas suspensas'!$A$26,'Listas suspensas'!$B$22,IF(X283='Listas suspensas'!$A$32,'Listas suspensas'!$B$22,IF(X283='Listas suspensas'!$A$33,'Listas suspensas'!$B$21,IF(X283='Listas suspensas'!$A$24,'Listas suspensas'!$B$22,IF(X283='Listas suspensas'!$A$30,'Listas suspensas'!$B$21,""))))))))</f>
        <v>6.5</v>
      </c>
      <c r="Z283" s="8" t="s">
        <v>80</v>
      </c>
      <c r="AA283" s="8">
        <v>2</v>
      </c>
      <c r="AB283" s="8" t="str">
        <f>IF(AA283='Listas suspensas'!$A$2,'Listas suspensas'!$B$2,IF(AA283='Listas suspensas'!$A$3,'Listas suspensas'!$B$3,IF(AA283='Listas suspensas'!$A$4,'Listas suspensas'!$B$4,IF(AA283='Listas suspensas'!$A$5,'Listas suspensas'!$B$5,IF(AA283='Listas suspensas'!$A$6,'Listas suspensas'!$B$6,"")))))</f>
        <v>Profunda e irregular</v>
      </c>
      <c r="AC283" s="8" t="str">
        <f>IF(AA283='Listas suspensas'!$A$2,'Listas suspensas'!$C$2,IF(AA283='Listas suspensas'!$A$3,'Listas suspensas'!$C$3,IF(AA283='Listas suspensas'!$A$4,'Listas suspensas'!$C$4,IF(AA283='Listas suspensas'!$A$5,'Listas suspensas'!$C$5,IF(AA283='Listas suspensas'!$A$6,'Listas suspensas'!$C$6,"")))))</f>
        <v>Indica a penetração profunda, mas desuniforme em toda a extensão do alburno.</v>
      </c>
      <c r="BD283" s="13">
        <v>0.83399999999999996</v>
      </c>
      <c r="BE283" s="18">
        <f t="shared" si="60"/>
        <v>834</v>
      </c>
      <c r="BF283" s="8">
        <v>0.20399999999999999</v>
      </c>
      <c r="BG283" s="8">
        <v>9.8000000000000004E-2</v>
      </c>
      <c r="BH283" s="8">
        <v>0.16600000000000001</v>
      </c>
      <c r="BI283" s="13">
        <f t="shared" si="61"/>
        <v>0.46799999999999997</v>
      </c>
      <c r="BJ283" s="14">
        <v>43.6</v>
      </c>
      <c r="BK283" s="14">
        <v>20.9</v>
      </c>
      <c r="BL283" s="14">
        <v>35.5</v>
      </c>
      <c r="BM283" s="16">
        <f t="shared" si="55"/>
        <v>100</v>
      </c>
      <c r="BN283" s="21">
        <f t="shared" si="56"/>
        <v>1.7</v>
      </c>
      <c r="BO283" s="21">
        <f t="shared" si="57"/>
        <v>0.82</v>
      </c>
      <c r="BP283" s="21">
        <f t="shared" si="58"/>
        <v>1.38</v>
      </c>
      <c r="BQ283" s="14">
        <f t="shared" si="59"/>
        <v>3.9</v>
      </c>
      <c r="BR283" s="22" t="str">
        <f>IF(OR(AND(X283="Mourões", BQ283&gt;=6.5),AND(X283="Postes", BQ283&gt;=9.6),AND(X283="Dormentes", BQ283&gt;=9.6),AND(X283="Estacas", BQ283&gt;=6.5),AND(X283="Cruzetas", BQ283&gt;=6.5),AND(X283="Outros - Solo", BQ283&gt;=6.5),AND(X283="Outros - Suspenso",BQ283&gt;=4),AND(X283="Deck",BQ283&gt;=4)),'Listas suspensas'!$C$21,'Listas suspensas'!$C$22)</f>
        <v>Os resultados da análise química apresentaram uma retenção do produto inferior ao padrão mínimo exigido pela norma ABNT NBR 16143</v>
      </c>
    </row>
    <row r="284" spans="2:70" x14ac:dyDescent="0.25">
      <c r="B284" s="8" t="s">
        <v>746</v>
      </c>
      <c r="C284" s="8" t="s">
        <v>71</v>
      </c>
      <c r="F284" s="11">
        <v>45896</v>
      </c>
      <c r="G284" s="11">
        <v>45901</v>
      </c>
      <c r="H284" s="11">
        <v>45911</v>
      </c>
      <c r="I284" s="8" t="s">
        <v>241</v>
      </c>
      <c r="J284" s="8" t="s">
        <v>242</v>
      </c>
      <c r="K284" s="8" t="s">
        <v>243</v>
      </c>
      <c r="L284" s="8" t="s">
        <v>15</v>
      </c>
      <c r="M284" s="30" t="s">
        <v>361</v>
      </c>
      <c r="N284" s="8" t="s">
        <v>75</v>
      </c>
      <c r="O284" s="8" t="s">
        <v>94</v>
      </c>
      <c r="P284" s="28" t="s">
        <v>77</v>
      </c>
      <c r="Q284" s="16" t="s">
        <v>747</v>
      </c>
      <c r="X284" s="8" t="s">
        <v>180</v>
      </c>
      <c r="Y284" s="34">
        <f>IF(X284='Listas suspensas'!$A$21,'Listas suspensas'!$B$23,IF(X284='Listas suspensas'!$A$22,'Listas suspensas'!$B$23,IF(X284='Listas suspensas'!$A$23,'Listas suspensas'!$B$22,IF(X284='Listas suspensas'!$A$26,'Listas suspensas'!$B$22,IF(X284='Listas suspensas'!$A$32,'Listas suspensas'!$B$22,IF(X284='Listas suspensas'!$A$33,'Listas suspensas'!$B$21,IF(X284='Listas suspensas'!$A$24,'Listas suspensas'!$B$22,IF(X284='Listas suspensas'!$A$30,'Listas suspensas'!$B$21,""))))))))</f>
        <v>6.5</v>
      </c>
      <c r="Z284" s="8" t="s">
        <v>80</v>
      </c>
      <c r="AA284" s="8">
        <v>2</v>
      </c>
      <c r="AB284" s="8" t="str">
        <f>IF(AA284='Listas suspensas'!$A$2,'Listas suspensas'!$B$2,IF(AA284='Listas suspensas'!$A$3,'Listas suspensas'!$B$3,IF(AA284='Listas suspensas'!$A$4,'Listas suspensas'!$B$4,IF(AA284='Listas suspensas'!$A$5,'Listas suspensas'!$B$5,IF(AA284='Listas suspensas'!$A$6,'Listas suspensas'!$B$6,"")))))</f>
        <v>Profunda e irregular</v>
      </c>
      <c r="AC284" s="8" t="str">
        <f>IF(AA284='Listas suspensas'!$A$2,'Listas suspensas'!$C$2,IF(AA284='Listas suspensas'!$A$3,'Listas suspensas'!$C$3,IF(AA284='Listas suspensas'!$A$4,'Listas suspensas'!$C$4,IF(AA284='Listas suspensas'!$A$5,'Listas suspensas'!$C$5,IF(AA284='Listas suspensas'!$A$6,'Listas suspensas'!$C$6,"")))))</f>
        <v>Indica a penetração profunda, mas desuniforme em toda a extensão do alburno.</v>
      </c>
      <c r="BD284" s="13">
        <v>0.86499999999999999</v>
      </c>
      <c r="BE284" s="18">
        <f t="shared" si="60"/>
        <v>865</v>
      </c>
      <c r="BF284" s="8">
        <v>0.251</v>
      </c>
      <c r="BG284" s="8">
        <v>0.13600000000000001</v>
      </c>
      <c r="BH284" s="8">
        <v>0.31</v>
      </c>
      <c r="BI284" s="13">
        <f t="shared" si="61"/>
        <v>0.69700000000000006</v>
      </c>
      <c r="BJ284" s="14">
        <v>36</v>
      </c>
      <c r="BK284" s="14">
        <v>19.5</v>
      </c>
      <c r="BL284" s="14">
        <v>44.5</v>
      </c>
      <c r="BM284" s="16">
        <f t="shared" si="55"/>
        <v>100</v>
      </c>
      <c r="BN284" s="21">
        <f t="shared" si="56"/>
        <v>2.17</v>
      </c>
      <c r="BO284" s="21">
        <f t="shared" si="57"/>
        <v>1.18</v>
      </c>
      <c r="BP284" s="21">
        <f t="shared" si="58"/>
        <v>2.68</v>
      </c>
      <c r="BQ284" s="14">
        <f t="shared" si="59"/>
        <v>6.03</v>
      </c>
      <c r="BR284" s="22" t="str">
        <f>IF(OR(AND(X284="Mourões", BQ284&gt;=6.5),AND(X284="Postes", BQ284&gt;=9.6),AND(X284="Dormentes", BQ284&gt;=9.6),AND(X284="Estacas", BQ284&gt;=6.5),AND(X284="Cruzetas", BQ284&gt;=6.5),AND(X284="Outros - Solo", BQ284&gt;=6.5),AND(X284="Outros - Suspenso",BQ284&gt;=4),AND(X284="Deck",BQ284&gt;=4)),'Listas suspensas'!$C$21,'Listas suspensas'!$C$22)</f>
        <v>Os resultados da análise química apresentaram uma retenção do produto inferior ao padrão mínimo exigido pela norma ABNT NBR 16143</v>
      </c>
    </row>
    <row r="285" spans="2:70" x14ac:dyDescent="0.25">
      <c r="B285" s="8" t="s">
        <v>748</v>
      </c>
      <c r="C285" s="8" t="s">
        <v>71</v>
      </c>
      <c r="F285" s="11">
        <v>45896</v>
      </c>
      <c r="G285" s="11">
        <v>45901</v>
      </c>
      <c r="H285" s="11">
        <v>45911</v>
      </c>
      <c r="I285" s="8" t="s">
        <v>241</v>
      </c>
      <c r="J285" s="8" t="s">
        <v>242</v>
      </c>
      <c r="K285" s="8" t="s">
        <v>243</v>
      </c>
      <c r="L285" s="8" t="s">
        <v>15</v>
      </c>
      <c r="M285" s="30" t="s">
        <v>361</v>
      </c>
      <c r="N285" s="8" t="s">
        <v>75</v>
      </c>
      <c r="O285" s="8" t="s">
        <v>94</v>
      </c>
      <c r="P285" s="28" t="s">
        <v>77</v>
      </c>
      <c r="Q285" s="16" t="s">
        <v>749</v>
      </c>
      <c r="X285" s="8" t="s">
        <v>180</v>
      </c>
      <c r="Y285" s="34">
        <f>IF(X285='Listas suspensas'!$A$21,'Listas suspensas'!$B$23,IF(X285='Listas suspensas'!$A$22,'Listas suspensas'!$B$23,IF(X285='Listas suspensas'!$A$23,'Listas suspensas'!$B$22,IF(X285='Listas suspensas'!$A$26,'Listas suspensas'!$B$22,IF(X285='Listas suspensas'!$A$32,'Listas suspensas'!$B$22,IF(X285='Listas suspensas'!$A$33,'Listas suspensas'!$B$21,IF(X285='Listas suspensas'!$A$24,'Listas suspensas'!$B$22,IF(X285='Listas suspensas'!$A$30,'Listas suspensas'!$B$21,""))))))))</f>
        <v>6.5</v>
      </c>
      <c r="Z285" s="8" t="s">
        <v>80</v>
      </c>
      <c r="AA285" s="8">
        <v>2</v>
      </c>
      <c r="AB285" s="8" t="str">
        <f>IF(AA285='Listas suspensas'!$A$2,'Listas suspensas'!$B$2,IF(AA285='Listas suspensas'!$A$3,'Listas suspensas'!$B$3,IF(AA285='Listas suspensas'!$A$4,'Listas suspensas'!$B$4,IF(AA285='Listas suspensas'!$A$5,'Listas suspensas'!$B$5,IF(AA285='Listas suspensas'!$A$6,'Listas suspensas'!$B$6,"")))))</f>
        <v>Profunda e irregular</v>
      </c>
      <c r="AC285" s="8" t="str">
        <f>IF(AA285='Listas suspensas'!$A$2,'Listas suspensas'!$C$2,IF(AA285='Listas suspensas'!$A$3,'Listas suspensas'!$C$3,IF(AA285='Listas suspensas'!$A$4,'Listas suspensas'!$C$4,IF(AA285='Listas suspensas'!$A$5,'Listas suspensas'!$C$5,IF(AA285='Listas suspensas'!$A$6,'Listas suspensas'!$C$6,"")))))</f>
        <v>Indica a penetração profunda, mas desuniforme em toda a extensão do alburno.</v>
      </c>
      <c r="BD285" s="13">
        <v>0.84399999999999997</v>
      </c>
      <c r="BE285" s="18">
        <f t="shared" si="60"/>
        <v>844</v>
      </c>
      <c r="BF285" s="8">
        <v>0.32</v>
      </c>
      <c r="BG285" s="8">
        <v>0.156</v>
      </c>
      <c r="BH285" s="8">
        <v>0.307</v>
      </c>
      <c r="BI285" s="13">
        <f t="shared" si="61"/>
        <v>0.78299999999999992</v>
      </c>
      <c r="BJ285" s="14">
        <v>40.9</v>
      </c>
      <c r="BK285" s="14">
        <v>19.899999999999999</v>
      </c>
      <c r="BL285" s="14">
        <v>39.200000000000003</v>
      </c>
      <c r="BM285" s="16">
        <f t="shared" si="55"/>
        <v>100</v>
      </c>
      <c r="BN285" s="21">
        <f t="shared" si="56"/>
        <v>2.7</v>
      </c>
      <c r="BO285" s="21">
        <f t="shared" si="57"/>
        <v>1.32</v>
      </c>
      <c r="BP285" s="21">
        <f t="shared" si="58"/>
        <v>2.59</v>
      </c>
      <c r="BQ285" s="14">
        <f t="shared" si="59"/>
        <v>6.61</v>
      </c>
      <c r="BR285" s="22" t="str">
        <f>IF(OR(AND(X285="Mourões", BQ285&gt;=6.5),AND(X285="Postes", BQ285&gt;=9.6),AND(X285="Dormentes", BQ285&gt;=9.6),AND(X285="Estacas", BQ285&gt;=6.5),AND(X285="Cruzetas", BQ285&gt;=6.5),AND(X285="Outros - Solo", BQ285&gt;=6.5),AND(X285="Outros - Suspenso",BQ285&gt;=4),AND(X285="Deck",BQ285&gt;=4)),'Listas suspensas'!$C$21,'Listas suspensas'!$C$22)</f>
        <v>Os resultados da análise química apresentaram uma retenção do produto inferior ao padrão mínimo exigido pela norma ABNT NBR 16143</v>
      </c>
    </row>
    <row r="286" spans="2:70" x14ac:dyDescent="0.25">
      <c r="B286" s="8" t="s">
        <v>750</v>
      </c>
      <c r="C286" s="8" t="s">
        <v>71</v>
      </c>
      <c r="F286" s="11">
        <v>45896</v>
      </c>
      <c r="G286" s="11">
        <v>45901</v>
      </c>
      <c r="H286" s="11">
        <v>45911</v>
      </c>
      <c r="I286" s="8" t="s">
        <v>241</v>
      </c>
      <c r="J286" s="8" t="s">
        <v>242</v>
      </c>
      <c r="K286" s="8" t="s">
        <v>243</v>
      </c>
      <c r="L286" s="8" t="s">
        <v>15</v>
      </c>
      <c r="M286" s="30" t="s">
        <v>361</v>
      </c>
      <c r="N286" s="8" t="s">
        <v>75</v>
      </c>
      <c r="O286" s="8" t="s">
        <v>94</v>
      </c>
      <c r="P286" s="28" t="s">
        <v>77</v>
      </c>
      <c r="Q286" s="16" t="s">
        <v>751</v>
      </c>
      <c r="X286" s="8" t="s">
        <v>180</v>
      </c>
      <c r="Y286" s="34">
        <f>IF(X286='Listas suspensas'!$A$21,'Listas suspensas'!$B$23,IF(X286='Listas suspensas'!$A$22,'Listas suspensas'!$B$23,IF(X286='Listas suspensas'!$A$23,'Listas suspensas'!$B$22,IF(X286='Listas suspensas'!$A$26,'Listas suspensas'!$B$22,IF(X286='Listas suspensas'!$A$32,'Listas suspensas'!$B$22,IF(X286='Listas suspensas'!$A$33,'Listas suspensas'!$B$21,IF(X286='Listas suspensas'!$A$24,'Listas suspensas'!$B$22,IF(X286='Listas suspensas'!$A$30,'Listas suspensas'!$B$21,""))))))))</f>
        <v>6.5</v>
      </c>
      <c r="Z286" s="8" t="s">
        <v>80</v>
      </c>
      <c r="AA286" s="8">
        <v>4</v>
      </c>
      <c r="AB286" s="8" t="str">
        <f>IF(AA286='Listas suspensas'!$A$2,'Listas suspensas'!$B$2,IF(AA286='Listas suspensas'!$A$3,'Listas suspensas'!$B$3,IF(AA286='Listas suspensas'!$A$4,'Listas suspensas'!$B$4,IF(AA286='Listas suspensas'!$A$5,'Listas suspensas'!$B$5,IF(AA286='Listas suspensas'!$A$6,'Listas suspensas'!$B$6,"")))))</f>
        <v>Parcial e irregular</v>
      </c>
      <c r="AC286" s="8" t="str">
        <f>IF(AA286='Listas suspensas'!$A$2,'Listas suspensas'!$C$2,IF(AA286='Listas suspensas'!$A$3,'Listas suspensas'!$C$3,IF(AA286='Listas suspensas'!$A$4,'Listas suspensas'!$C$4,IF(AA286='Listas suspensas'!$A$5,'Listas suspensas'!$C$5,IF(AA286='Listas suspensas'!$A$6,'Listas suspensas'!$C$6,"")))))</f>
        <v>Indica a penetração desuniforme e não total pela extensão do alburno.</v>
      </c>
      <c r="BD286" s="13">
        <v>0.70599999999999996</v>
      </c>
      <c r="BE286" s="18">
        <f t="shared" si="60"/>
        <v>706</v>
      </c>
      <c r="BF286" s="8">
        <v>0.33300000000000002</v>
      </c>
      <c r="BG286" s="8">
        <v>0.17100000000000001</v>
      </c>
      <c r="BH286" s="8">
        <v>0.34699999999999998</v>
      </c>
      <c r="BI286" s="13">
        <f t="shared" si="61"/>
        <v>0.85099999999999998</v>
      </c>
      <c r="BJ286" s="14">
        <v>39.1</v>
      </c>
      <c r="BK286" s="14">
        <v>20.100000000000001</v>
      </c>
      <c r="BL286" s="14">
        <v>40.799999999999997</v>
      </c>
      <c r="BM286" s="16">
        <f t="shared" si="55"/>
        <v>100</v>
      </c>
      <c r="BN286" s="21">
        <f t="shared" si="56"/>
        <v>2.35</v>
      </c>
      <c r="BO286" s="21">
        <f t="shared" si="57"/>
        <v>1.21</v>
      </c>
      <c r="BP286" s="21">
        <f t="shared" si="58"/>
        <v>2.4500000000000002</v>
      </c>
      <c r="BQ286" s="14">
        <f t="shared" si="59"/>
        <v>6.01</v>
      </c>
      <c r="BR286" s="22" t="str">
        <f>IF(OR(AND(X286="Mourões", BQ286&gt;=6.5),AND(X286="Postes", BQ286&gt;=9.6),AND(X286="Dormentes", BQ286&gt;=9.6),AND(X286="Estacas", BQ286&gt;=6.5),AND(X286="Cruzetas", BQ286&gt;=6.5),AND(X286="Outros - Solo", BQ286&gt;=6.5),AND(X286="Outros - Suspenso",BQ286&gt;=4),AND(X286="Deck",BQ286&gt;=4)),'Listas suspensas'!$C$21,'Listas suspensas'!$C$22)</f>
        <v>Os resultados da análise química apresentaram uma retenção do produto inferior ao padrão mínimo exigido pela norma ABNT NBR 16143</v>
      </c>
    </row>
    <row r="287" spans="2:70" x14ac:dyDescent="0.25">
      <c r="B287" s="8" t="s">
        <v>752</v>
      </c>
      <c r="C287" s="8" t="s">
        <v>71</v>
      </c>
      <c r="F287" s="11">
        <v>45896</v>
      </c>
      <c r="G287" s="11">
        <v>45901</v>
      </c>
      <c r="H287" s="11">
        <v>45911</v>
      </c>
      <c r="I287" s="8" t="s">
        <v>187</v>
      </c>
      <c r="J287" s="8" t="s">
        <v>188</v>
      </c>
      <c r="K287" s="8" t="s">
        <v>189</v>
      </c>
      <c r="L287" s="8" t="s">
        <v>15</v>
      </c>
      <c r="M287" s="30" t="s">
        <v>190</v>
      </c>
      <c r="N287" s="8" t="s">
        <v>75</v>
      </c>
      <c r="O287" s="8" t="s">
        <v>94</v>
      </c>
      <c r="P287" s="28" t="s">
        <v>77</v>
      </c>
      <c r="Q287" s="16" t="s">
        <v>753</v>
      </c>
      <c r="X287" s="8" t="s">
        <v>79</v>
      </c>
      <c r="Y287" s="34">
        <f>IF(X287='Listas suspensas'!$A$21,'Listas suspensas'!$B$23,IF(X287='Listas suspensas'!$A$22,'Listas suspensas'!$B$23,IF(X287='Listas suspensas'!$A$23,'Listas suspensas'!$B$22,IF(X287='Listas suspensas'!$A$26,'Listas suspensas'!$B$22,IF(X287='Listas suspensas'!$A$32,'Listas suspensas'!$B$22,IF(X287='Listas suspensas'!$A$33,'Listas suspensas'!$B$21,IF(X287='Listas suspensas'!$A$24,'Listas suspensas'!$B$22,IF(X287='Listas suspensas'!$A$30,'Listas suspensas'!$B$21,""))))))))</f>
        <v>6.5</v>
      </c>
      <c r="Z287" s="8" t="s">
        <v>80</v>
      </c>
      <c r="AA287" s="8">
        <v>2</v>
      </c>
      <c r="AB287" s="8" t="str">
        <f>IF(AA287='Listas suspensas'!$A$2,'Listas suspensas'!$B$2,IF(AA287='Listas suspensas'!$A$3,'Listas suspensas'!$B$3,IF(AA287='Listas suspensas'!$A$4,'Listas suspensas'!$B$4,IF(AA287='Listas suspensas'!$A$5,'Listas suspensas'!$B$5,IF(AA287='Listas suspensas'!$A$6,'Listas suspensas'!$B$6,"")))))</f>
        <v>Profunda e irregular</v>
      </c>
      <c r="AC287" s="8" t="str">
        <f>IF(AA287='Listas suspensas'!$A$2,'Listas suspensas'!$C$2,IF(AA287='Listas suspensas'!$A$3,'Listas suspensas'!$C$3,IF(AA287='Listas suspensas'!$A$4,'Listas suspensas'!$C$4,IF(AA287='Listas suspensas'!$A$5,'Listas suspensas'!$C$5,IF(AA287='Listas suspensas'!$A$6,'Listas suspensas'!$C$6,"")))))</f>
        <v>Indica a penetração profunda, mas desuniforme em toda a extensão do alburno.</v>
      </c>
      <c r="BD287" s="13">
        <v>0.89300000000000002</v>
      </c>
      <c r="BE287" s="18">
        <f t="shared" si="60"/>
        <v>893</v>
      </c>
      <c r="BF287" s="8">
        <v>0.35699999999999998</v>
      </c>
      <c r="BG287" s="8">
        <v>0.19400000000000001</v>
      </c>
      <c r="BH287" s="8">
        <v>0.32</v>
      </c>
      <c r="BI287" s="13">
        <f t="shared" si="61"/>
        <v>0.871</v>
      </c>
      <c r="BJ287" s="14">
        <v>41</v>
      </c>
      <c r="BK287" s="14">
        <v>22.2</v>
      </c>
      <c r="BL287" s="14">
        <v>36.799999999999997</v>
      </c>
      <c r="BM287" s="16">
        <f t="shared" si="55"/>
        <v>100</v>
      </c>
      <c r="BN287" s="21">
        <f t="shared" si="56"/>
        <v>3.19</v>
      </c>
      <c r="BO287" s="21">
        <f t="shared" si="57"/>
        <v>1.73</v>
      </c>
      <c r="BP287" s="21">
        <f t="shared" si="58"/>
        <v>2.86</v>
      </c>
      <c r="BQ287" s="14">
        <f t="shared" si="59"/>
        <v>7.78</v>
      </c>
      <c r="BR287" s="22" t="str">
        <f>IF(OR(AND(X287="Mourões", BQ287&gt;=6.5),AND(X287="Postes", BQ287&gt;=9.6),AND(X287="Dormentes", BQ287&gt;=9.6),AND(X287="Estacas", BQ287&gt;=6.5),AND(X287="Cruzetas", BQ287&gt;=6.5),AND(X287="Outros - Solo", BQ287&gt;=6.5),AND(X287="Outros - Suspenso",BQ287&gt;=4),AND(X287="Deck",BQ287&gt;=4)),'Listas suspensas'!$C$21,'Listas suspensas'!$C$22)</f>
        <v>Os resultados da análise química apresentaram uma retenção do produto de acordo com o padrão mínimo exigido pela norma ABNT NBR 16143</v>
      </c>
    </row>
    <row r="288" spans="2:70" x14ac:dyDescent="0.25">
      <c r="B288" s="8" t="s">
        <v>754</v>
      </c>
      <c r="C288" s="8" t="s">
        <v>71</v>
      </c>
      <c r="F288" s="11">
        <v>45896</v>
      </c>
      <c r="G288" s="11">
        <v>45901</v>
      </c>
      <c r="H288" s="11">
        <v>45911</v>
      </c>
      <c r="I288" s="8" t="s">
        <v>755</v>
      </c>
      <c r="J288" s="8" t="s">
        <v>756</v>
      </c>
      <c r="K288" s="8" t="s">
        <v>74</v>
      </c>
      <c r="L288" s="8" t="s">
        <v>15</v>
      </c>
      <c r="M288" s="30" t="s">
        <v>757</v>
      </c>
      <c r="N288" s="8" t="s">
        <v>75</v>
      </c>
      <c r="O288" s="8" t="s">
        <v>94</v>
      </c>
      <c r="P288" s="28" t="s">
        <v>146</v>
      </c>
      <c r="Q288" s="16" t="s">
        <v>758</v>
      </c>
      <c r="X288" s="8" t="s">
        <v>79</v>
      </c>
      <c r="Y288" s="34">
        <f>IF(X288='Listas suspensas'!$A$21,'Listas suspensas'!$B$23,IF(X288='Listas suspensas'!$A$22,'Listas suspensas'!$B$23,IF(X288='Listas suspensas'!$A$23,'Listas suspensas'!$B$22,IF(X288='Listas suspensas'!$A$26,'Listas suspensas'!$B$22,IF(X288='Listas suspensas'!$A$32,'Listas suspensas'!$B$22,IF(X288='Listas suspensas'!$A$33,'Listas suspensas'!$B$21,IF(X288='Listas suspensas'!$A$24,'Listas suspensas'!$B$22,IF(X288='Listas suspensas'!$A$30,'Listas suspensas'!$B$21,""))))))))</f>
        <v>6.5</v>
      </c>
      <c r="Z288" s="8" t="s">
        <v>80</v>
      </c>
      <c r="AA288" s="8">
        <v>3</v>
      </c>
      <c r="AB288" s="8" t="str">
        <f>IF(AA288='Listas suspensas'!$A$2,'Listas suspensas'!$B$2,IF(AA288='Listas suspensas'!$A$3,'Listas suspensas'!$B$3,IF(AA288='Listas suspensas'!$A$4,'Listas suspensas'!$B$4,IF(AA288='Listas suspensas'!$A$5,'Listas suspensas'!$B$5,IF(AA288='Listas suspensas'!$A$6,'Listas suspensas'!$B$6,"")))))</f>
        <v xml:space="preserve"> Parcial e regular</v>
      </c>
      <c r="AC288" s="8" t="str">
        <f>IF(AA288='Listas suspensas'!$A$2,'Listas suspensas'!$C$2,IF(AA288='Listas suspensas'!$A$3,'Listas suspensas'!$C$3,IF(AA288='Listas suspensas'!$A$4,'Listas suspensas'!$C$4,IF(AA288='Listas suspensas'!$A$5,'Listas suspensas'!$C$5,IF(AA288='Listas suspensas'!$A$6,'Listas suspensas'!$C$6,"")))))</f>
        <v>Indica a penetração uniforme, mas não total pela extensão do alburno.</v>
      </c>
      <c r="BD288" s="13">
        <v>0.59799999999999998</v>
      </c>
      <c r="BE288" s="18">
        <f t="shared" si="60"/>
        <v>598</v>
      </c>
      <c r="BF288" s="8">
        <v>0.19400000000000001</v>
      </c>
      <c r="BG288" s="8">
        <v>9.5000000000000001E-2</v>
      </c>
      <c r="BH288" s="8">
        <v>0.18</v>
      </c>
      <c r="BI288" s="13">
        <f t="shared" si="61"/>
        <v>0.46900000000000003</v>
      </c>
      <c r="BJ288" s="14">
        <v>41.4</v>
      </c>
      <c r="BK288" s="14">
        <v>20.2</v>
      </c>
      <c r="BL288" s="14">
        <v>38.4</v>
      </c>
      <c r="BM288" s="16">
        <f t="shared" si="55"/>
        <v>100</v>
      </c>
      <c r="BN288" s="21">
        <f t="shared" si="56"/>
        <v>1.1599999999999999</v>
      </c>
      <c r="BO288" s="21">
        <f t="shared" si="57"/>
        <v>0.56999999999999995</v>
      </c>
      <c r="BP288" s="21">
        <f t="shared" si="58"/>
        <v>1.08</v>
      </c>
      <c r="BQ288" s="14">
        <f t="shared" si="59"/>
        <v>2.81</v>
      </c>
      <c r="BR288" s="22" t="str">
        <f>IF(OR(AND(X288="Mourões", BQ288&gt;=6.5),AND(X288="Postes", BQ288&gt;=9.6),AND(X288="Dormentes", BQ288&gt;=9.6),AND(X288="Estacas", BQ288&gt;=6.5),AND(X288="Cruzetas", BQ288&gt;=6.5),AND(X288="Outros - Solo", BQ288&gt;=6.5),AND(X288="Outros - Suspenso",BQ288&gt;=4),AND(X288="Deck",BQ288&gt;=4)),'Listas suspensas'!$C$21,'Listas suspensas'!$C$22)</f>
        <v>Os resultados da análise química apresentaram uma retenção do produto inferior ao padrão mínimo exigido pela norma ABNT NBR 16143</v>
      </c>
    </row>
    <row r="289" spans="2:70" x14ac:dyDescent="0.25">
      <c r="B289" s="8" t="s">
        <v>759</v>
      </c>
      <c r="C289" s="8" t="s">
        <v>71</v>
      </c>
      <c r="F289" s="11">
        <v>45896</v>
      </c>
      <c r="G289" s="11">
        <v>45901</v>
      </c>
      <c r="H289" s="11">
        <v>45911</v>
      </c>
      <c r="I289" s="8" t="s">
        <v>755</v>
      </c>
      <c r="J289" s="8" t="s">
        <v>756</v>
      </c>
      <c r="K289" s="8" t="s">
        <v>74</v>
      </c>
      <c r="L289" s="8" t="s">
        <v>15</v>
      </c>
      <c r="M289" s="30" t="s">
        <v>757</v>
      </c>
      <c r="N289" s="8" t="s">
        <v>75</v>
      </c>
      <c r="O289" s="8" t="s">
        <v>94</v>
      </c>
      <c r="P289" s="28" t="s">
        <v>146</v>
      </c>
      <c r="Q289" s="16" t="s">
        <v>760</v>
      </c>
      <c r="X289" s="8" t="s">
        <v>79</v>
      </c>
      <c r="Y289" s="34">
        <f>IF(X289='Listas suspensas'!$A$21,'Listas suspensas'!$B$23,IF(X289='Listas suspensas'!$A$22,'Listas suspensas'!$B$23,IF(X289='Listas suspensas'!$A$23,'Listas suspensas'!$B$22,IF(X289='Listas suspensas'!$A$26,'Listas suspensas'!$B$22,IF(X289='Listas suspensas'!$A$32,'Listas suspensas'!$B$22,IF(X289='Listas suspensas'!$A$33,'Listas suspensas'!$B$21,IF(X289='Listas suspensas'!$A$24,'Listas suspensas'!$B$22,IF(X289='Listas suspensas'!$A$30,'Listas suspensas'!$B$21,""))))))))</f>
        <v>6.5</v>
      </c>
      <c r="Z289" s="8" t="s">
        <v>80</v>
      </c>
      <c r="AA289" s="8">
        <v>2</v>
      </c>
      <c r="AB289" s="8" t="str">
        <f>IF(AA289='Listas suspensas'!$A$2,'Listas suspensas'!$B$2,IF(AA289='Listas suspensas'!$A$3,'Listas suspensas'!$B$3,IF(AA289='Listas suspensas'!$A$4,'Listas suspensas'!$B$4,IF(AA289='Listas suspensas'!$A$5,'Listas suspensas'!$B$5,IF(AA289='Listas suspensas'!$A$6,'Listas suspensas'!$B$6,"")))))</f>
        <v>Profunda e irregular</v>
      </c>
      <c r="AC289" s="8" t="str">
        <f>IF(AA289='Listas suspensas'!$A$2,'Listas suspensas'!$C$2,IF(AA289='Listas suspensas'!$A$3,'Listas suspensas'!$C$3,IF(AA289='Listas suspensas'!$A$4,'Listas suspensas'!$C$4,IF(AA289='Listas suspensas'!$A$5,'Listas suspensas'!$C$5,IF(AA289='Listas suspensas'!$A$6,'Listas suspensas'!$C$6,"")))))</f>
        <v>Indica a penetração profunda, mas desuniforme em toda a extensão do alburno.</v>
      </c>
      <c r="BD289" s="13">
        <v>0.495</v>
      </c>
      <c r="BE289" s="18">
        <f t="shared" si="60"/>
        <v>495</v>
      </c>
      <c r="BF289" s="8">
        <v>0.95499999999999996</v>
      </c>
      <c r="BG289" s="8">
        <v>0.39500000000000002</v>
      </c>
      <c r="BH289" s="8">
        <v>0.68899999999999995</v>
      </c>
      <c r="BI289" s="13">
        <f t="shared" si="61"/>
        <v>2.0390000000000001</v>
      </c>
      <c r="BJ289" s="14">
        <v>46.8</v>
      </c>
      <c r="BK289" s="14">
        <v>19.399999999999999</v>
      </c>
      <c r="BL289" s="14">
        <v>33.799999999999997</v>
      </c>
      <c r="BM289" s="16">
        <f t="shared" si="55"/>
        <v>100</v>
      </c>
      <c r="BN289" s="21">
        <f t="shared" si="56"/>
        <v>4.7300000000000004</v>
      </c>
      <c r="BO289" s="21">
        <f t="shared" si="57"/>
        <v>1.96</v>
      </c>
      <c r="BP289" s="21">
        <f t="shared" si="58"/>
        <v>3.41</v>
      </c>
      <c r="BQ289" s="14">
        <f t="shared" si="59"/>
        <v>10.1</v>
      </c>
      <c r="BR289" s="22" t="str">
        <f>IF(OR(AND(X289="Mourões", BQ289&gt;=6.5),AND(X289="Postes", BQ289&gt;=9.6),AND(X289="Dormentes", BQ289&gt;=9.6),AND(X289="Estacas", BQ289&gt;=6.5),AND(X289="Cruzetas", BQ289&gt;=6.5),AND(X289="Outros - Solo", BQ289&gt;=6.5),AND(X289="Outros - Suspenso",BQ289&gt;=4),AND(X289="Deck",BQ289&gt;=4)),'Listas suspensas'!$C$21,'Listas suspensas'!$C$22)</f>
        <v>Os resultados da análise química apresentaram uma retenção do produto de acordo com o padrão mínimo exigido pela norma ABNT NBR 16143</v>
      </c>
    </row>
    <row r="290" spans="2:70" x14ac:dyDescent="0.25">
      <c r="B290" s="8" t="s">
        <v>761</v>
      </c>
      <c r="C290" s="8" t="s">
        <v>71</v>
      </c>
      <c r="F290" s="11">
        <v>45896</v>
      </c>
      <c r="G290" s="11">
        <v>45901</v>
      </c>
      <c r="H290" s="11">
        <v>45911</v>
      </c>
      <c r="I290" s="8" t="s">
        <v>755</v>
      </c>
      <c r="J290" s="8" t="s">
        <v>756</v>
      </c>
      <c r="K290" s="8" t="s">
        <v>74</v>
      </c>
      <c r="L290" s="8" t="s">
        <v>15</v>
      </c>
      <c r="M290" s="30" t="s">
        <v>757</v>
      </c>
      <c r="N290" s="8" t="s">
        <v>75</v>
      </c>
      <c r="O290" s="8" t="s">
        <v>94</v>
      </c>
      <c r="P290" s="28" t="s">
        <v>146</v>
      </c>
      <c r="Q290" s="16" t="s">
        <v>762</v>
      </c>
      <c r="X290" s="8" t="s">
        <v>79</v>
      </c>
      <c r="Y290" s="34">
        <f>IF(X290='Listas suspensas'!$A$21,'Listas suspensas'!$B$23,IF(X290='Listas suspensas'!$A$22,'Listas suspensas'!$B$23,IF(X290='Listas suspensas'!$A$23,'Listas suspensas'!$B$22,IF(X290='Listas suspensas'!$A$26,'Listas suspensas'!$B$22,IF(X290='Listas suspensas'!$A$32,'Listas suspensas'!$B$22,IF(X290='Listas suspensas'!$A$33,'Listas suspensas'!$B$21,IF(X290='Listas suspensas'!$A$24,'Listas suspensas'!$B$22,IF(X290='Listas suspensas'!$A$30,'Listas suspensas'!$B$21,""))))))))</f>
        <v>6.5</v>
      </c>
      <c r="Z290" s="8" t="s">
        <v>80</v>
      </c>
      <c r="AA290" s="8">
        <v>2</v>
      </c>
      <c r="AB290" s="8" t="str">
        <f>IF(AA290='Listas suspensas'!$A$2,'Listas suspensas'!$B$2,IF(AA290='Listas suspensas'!$A$3,'Listas suspensas'!$B$3,IF(AA290='Listas suspensas'!$A$4,'Listas suspensas'!$B$4,IF(AA290='Listas suspensas'!$A$5,'Listas suspensas'!$B$5,IF(AA290='Listas suspensas'!$A$6,'Listas suspensas'!$B$6,"")))))</f>
        <v>Profunda e irregular</v>
      </c>
      <c r="AC290" s="8" t="str">
        <f>IF(AA290='Listas suspensas'!$A$2,'Listas suspensas'!$C$2,IF(AA290='Listas suspensas'!$A$3,'Listas suspensas'!$C$3,IF(AA290='Listas suspensas'!$A$4,'Listas suspensas'!$C$4,IF(AA290='Listas suspensas'!$A$5,'Listas suspensas'!$C$5,IF(AA290='Listas suspensas'!$A$6,'Listas suspensas'!$C$6,"")))))</f>
        <v>Indica a penetração profunda, mas desuniforme em toda a extensão do alburno.</v>
      </c>
      <c r="BD290" s="13">
        <v>0.58399999999999996</v>
      </c>
      <c r="BE290" s="18">
        <f t="shared" si="60"/>
        <v>584</v>
      </c>
      <c r="BF290" s="8">
        <v>0.49299999999999999</v>
      </c>
      <c r="BG290" s="8">
        <v>0.25800000000000001</v>
      </c>
      <c r="BH290" s="8">
        <v>0.439</v>
      </c>
      <c r="BI290" s="13">
        <f t="shared" si="61"/>
        <v>1.19</v>
      </c>
      <c r="BJ290" s="14">
        <v>41.4</v>
      </c>
      <c r="BK290" s="14">
        <v>21.7</v>
      </c>
      <c r="BL290" s="14">
        <v>36.9</v>
      </c>
      <c r="BM290" s="16">
        <f t="shared" si="55"/>
        <v>100</v>
      </c>
      <c r="BN290" s="21">
        <f t="shared" si="56"/>
        <v>2.88</v>
      </c>
      <c r="BO290" s="21">
        <f t="shared" si="57"/>
        <v>1.51</v>
      </c>
      <c r="BP290" s="21">
        <f t="shared" si="58"/>
        <v>2.56</v>
      </c>
      <c r="BQ290" s="14">
        <f t="shared" si="59"/>
        <v>6.95</v>
      </c>
      <c r="BR290" s="22" t="str">
        <f>IF(OR(AND(X290="Mourões", BQ290&gt;=6.5),AND(X290="Postes", BQ290&gt;=9.6),AND(X290="Dormentes", BQ290&gt;=9.6),AND(X290="Estacas", BQ290&gt;=6.5),AND(X290="Cruzetas", BQ290&gt;=6.5),AND(X290="Outros - Solo", BQ290&gt;=6.5),AND(X290="Outros - Suspenso",BQ290&gt;=4),AND(X290="Deck",BQ290&gt;=4)),'Listas suspensas'!$C$21,'Listas suspensas'!$C$22)</f>
        <v>Os resultados da análise química apresentaram uma retenção do produto de acordo com o padrão mínimo exigido pela norma ABNT NBR 16143</v>
      </c>
    </row>
    <row r="291" spans="2:70" x14ac:dyDescent="0.25">
      <c r="B291" s="8" t="s">
        <v>763</v>
      </c>
      <c r="C291" s="8" t="s">
        <v>71</v>
      </c>
      <c r="F291" s="11">
        <v>45896</v>
      </c>
      <c r="G291" s="11">
        <v>45901</v>
      </c>
      <c r="H291" s="11">
        <v>45911</v>
      </c>
      <c r="I291" s="8" t="s">
        <v>755</v>
      </c>
      <c r="J291" s="8" t="s">
        <v>756</v>
      </c>
      <c r="K291" s="8" t="s">
        <v>74</v>
      </c>
      <c r="L291" s="8" t="s">
        <v>15</v>
      </c>
      <c r="M291" s="30" t="s">
        <v>757</v>
      </c>
      <c r="N291" s="8" t="s">
        <v>75</v>
      </c>
      <c r="O291" s="8" t="s">
        <v>94</v>
      </c>
      <c r="P291" s="28" t="s">
        <v>146</v>
      </c>
      <c r="Q291" s="16" t="s">
        <v>764</v>
      </c>
      <c r="X291" s="8" t="s">
        <v>79</v>
      </c>
      <c r="Y291" s="34">
        <f>IF(X291='Listas suspensas'!$A$21,'Listas suspensas'!$B$23,IF(X291='Listas suspensas'!$A$22,'Listas suspensas'!$B$23,IF(X291='Listas suspensas'!$A$23,'Listas suspensas'!$B$22,IF(X291='Listas suspensas'!$A$26,'Listas suspensas'!$B$22,IF(X291='Listas suspensas'!$A$32,'Listas suspensas'!$B$22,IF(X291='Listas suspensas'!$A$33,'Listas suspensas'!$B$21,IF(X291='Listas suspensas'!$A$24,'Listas suspensas'!$B$22,IF(X291='Listas suspensas'!$A$30,'Listas suspensas'!$B$21,""))))))))</f>
        <v>6.5</v>
      </c>
      <c r="Z291" s="8" t="s">
        <v>80</v>
      </c>
      <c r="AA291" s="8">
        <v>2</v>
      </c>
      <c r="AB291" s="8" t="str">
        <f>IF(AA291='Listas suspensas'!$A$2,'Listas suspensas'!$B$2,IF(AA291='Listas suspensas'!$A$3,'Listas suspensas'!$B$3,IF(AA291='Listas suspensas'!$A$4,'Listas suspensas'!$B$4,IF(AA291='Listas suspensas'!$A$5,'Listas suspensas'!$B$5,IF(AA291='Listas suspensas'!$A$6,'Listas suspensas'!$B$6,"")))))</f>
        <v>Profunda e irregular</v>
      </c>
      <c r="AC291" s="8" t="str">
        <f>IF(AA291='Listas suspensas'!$A$2,'Listas suspensas'!$C$2,IF(AA291='Listas suspensas'!$A$3,'Listas suspensas'!$C$3,IF(AA291='Listas suspensas'!$A$4,'Listas suspensas'!$C$4,IF(AA291='Listas suspensas'!$A$5,'Listas suspensas'!$C$5,IF(AA291='Listas suspensas'!$A$6,'Listas suspensas'!$C$6,"")))))</f>
        <v>Indica a penetração profunda, mas desuniforme em toda a extensão do alburno.</v>
      </c>
      <c r="BD291" s="13">
        <v>0.52600000000000002</v>
      </c>
      <c r="BE291" s="18">
        <f t="shared" si="60"/>
        <v>526</v>
      </c>
      <c r="BF291" s="8">
        <v>0.73799999999999999</v>
      </c>
      <c r="BG291" s="8">
        <v>0.30099999999999999</v>
      </c>
      <c r="BH291" s="8">
        <v>0.50900000000000001</v>
      </c>
      <c r="BI291" s="13">
        <f t="shared" si="61"/>
        <v>1.548</v>
      </c>
      <c r="BJ291" s="14">
        <v>47.7</v>
      </c>
      <c r="BK291" s="14">
        <v>19.5</v>
      </c>
      <c r="BL291" s="14">
        <v>32.799999999999997</v>
      </c>
      <c r="BM291" s="16">
        <f t="shared" si="55"/>
        <v>100</v>
      </c>
      <c r="BN291" s="21">
        <f t="shared" si="56"/>
        <v>3.88</v>
      </c>
      <c r="BO291" s="21">
        <f t="shared" si="57"/>
        <v>1.58</v>
      </c>
      <c r="BP291" s="21">
        <f t="shared" si="58"/>
        <v>2.68</v>
      </c>
      <c r="BQ291" s="14">
        <f t="shared" si="59"/>
        <v>8.14</v>
      </c>
      <c r="BR291" s="22" t="str">
        <f>IF(OR(AND(X291="Mourões", BQ291&gt;=6.5),AND(X291="Postes", BQ291&gt;=9.6),AND(X291="Dormentes", BQ291&gt;=9.6),AND(X291="Estacas", BQ291&gt;=6.5),AND(X291="Cruzetas", BQ291&gt;=6.5),AND(X291="Outros - Solo", BQ291&gt;=6.5),AND(X291="Outros - Suspenso",BQ291&gt;=4),AND(X291="Deck",BQ291&gt;=4)),'Listas suspensas'!$C$21,'Listas suspensas'!$C$22)</f>
        <v>Os resultados da análise química apresentaram uma retenção do produto de acordo com o padrão mínimo exigido pela norma ABNT NBR 16143</v>
      </c>
    </row>
    <row r="292" spans="2:70" x14ac:dyDescent="0.25">
      <c r="B292" s="8" t="s">
        <v>765</v>
      </c>
      <c r="C292" s="8" t="s">
        <v>71</v>
      </c>
      <c r="F292" s="11">
        <v>45896</v>
      </c>
      <c r="G292" s="11">
        <v>45901</v>
      </c>
      <c r="H292" s="11">
        <v>45911</v>
      </c>
      <c r="I292" s="8" t="s">
        <v>755</v>
      </c>
      <c r="J292" s="8" t="s">
        <v>756</v>
      </c>
      <c r="K292" s="8" t="s">
        <v>74</v>
      </c>
      <c r="L292" s="8" t="s">
        <v>15</v>
      </c>
      <c r="M292" s="30" t="s">
        <v>757</v>
      </c>
      <c r="N292" s="8" t="s">
        <v>75</v>
      </c>
      <c r="O292" s="8" t="s">
        <v>94</v>
      </c>
      <c r="P292" s="28" t="s">
        <v>146</v>
      </c>
      <c r="Q292" s="16" t="s">
        <v>766</v>
      </c>
      <c r="X292" s="8" t="s">
        <v>79</v>
      </c>
      <c r="Y292" s="34">
        <f>IF(X292='Listas suspensas'!$A$21,'Listas suspensas'!$B$23,IF(X292='Listas suspensas'!$A$22,'Listas suspensas'!$B$23,IF(X292='Listas suspensas'!$A$23,'Listas suspensas'!$B$22,IF(X292='Listas suspensas'!$A$26,'Listas suspensas'!$B$22,IF(X292='Listas suspensas'!$A$32,'Listas suspensas'!$B$22,IF(X292='Listas suspensas'!$A$33,'Listas suspensas'!$B$21,IF(X292='Listas suspensas'!$A$24,'Listas suspensas'!$B$22,IF(X292='Listas suspensas'!$A$30,'Listas suspensas'!$B$21,""))))))))</f>
        <v>6.5</v>
      </c>
      <c r="Z292" s="8" t="s">
        <v>80</v>
      </c>
      <c r="AA292" s="8">
        <v>2</v>
      </c>
      <c r="AB292" s="8" t="str">
        <f>IF(AA292='Listas suspensas'!$A$2,'Listas suspensas'!$B$2,IF(AA292='Listas suspensas'!$A$3,'Listas suspensas'!$B$3,IF(AA292='Listas suspensas'!$A$4,'Listas suspensas'!$B$4,IF(AA292='Listas suspensas'!$A$5,'Listas suspensas'!$B$5,IF(AA292='Listas suspensas'!$A$6,'Listas suspensas'!$B$6,"")))))</f>
        <v>Profunda e irregular</v>
      </c>
      <c r="AC292" s="8" t="str">
        <f>IF(AA292='Listas suspensas'!$A$2,'Listas suspensas'!$C$2,IF(AA292='Listas suspensas'!$A$3,'Listas suspensas'!$C$3,IF(AA292='Listas suspensas'!$A$4,'Listas suspensas'!$C$4,IF(AA292='Listas suspensas'!$A$5,'Listas suspensas'!$C$5,IF(AA292='Listas suspensas'!$A$6,'Listas suspensas'!$C$6,"")))))</f>
        <v>Indica a penetração profunda, mas desuniforme em toda a extensão do alburno.</v>
      </c>
      <c r="BD292" s="13">
        <v>0.59099999999999997</v>
      </c>
      <c r="BE292" s="18">
        <f t="shared" si="60"/>
        <v>591</v>
      </c>
      <c r="BF292" s="8">
        <v>0.54100000000000004</v>
      </c>
      <c r="BG292" s="8">
        <v>0.22</v>
      </c>
      <c r="BH292" s="8">
        <v>0.33300000000000002</v>
      </c>
      <c r="BI292" s="13">
        <f t="shared" si="61"/>
        <v>1.0940000000000001</v>
      </c>
      <c r="BJ292" s="14">
        <v>49.5</v>
      </c>
      <c r="BK292" s="14">
        <v>20.100000000000001</v>
      </c>
      <c r="BL292" s="14">
        <v>30.4</v>
      </c>
      <c r="BM292" s="16">
        <f t="shared" si="55"/>
        <v>100</v>
      </c>
      <c r="BN292" s="21">
        <f t="shared" si="56"/>
        <v>3.2</v>
      </c>
      <c r="BO292" s="21">
        <f t="shared" si="57"/>
        <v>1.3</v>
      </c>
      <c r="BP292" s="21">
        <f t="shared" si="58"/>
        <v>1.97</v>
      </c>
      <c r="BQ292" s="14">
        <f t="shared" si="59"/>
        <v>6.47</v>
      </c>
      <c r="BR292" s="22" t="str">
        <f>IF(OR(AND(X292="Mourões", BQ292&gt;=6.5),AND(X292="Postes", BQ292&gt;=9.6),AND(X292="Dormentes", BQ292&gt;=9.6),AND(X292="Estacas", BQ292&gt;=6.5),AND(X292="Cruzetas", BQ292&gt;=6.5),AND(X292="Outros - Solo", BQ292&gt;=6.5),AND(X292="Outros - Suspenso",BQ292&gt;=4),AND(X292="Deck",BQ292&gt;=4)),'Listas suspensas'!$C$21,'Listas suspensas'!$C$22)</f>
        <v>Os resultados da análise química apresentaram uma retenção do produto inferior ao padrão mínimo exigido pela norma ABNT NBR 16143</v>
      </c>
    </row>
    <row r="293" spans="2:70" x14ac:dyDescent="0.25">
      <c r="B293" s="8" t="s">
        <v>767</v>
      </c>
      <c r="C293" s="8" t="s">
        <v>71</v>
      </c>
      <c r="F293" s="11">
        <v>45896</v>
      </c>
      <c r="G293" s="11">
        <v>45901</v>
      </c>
      <c r="H293" s="11">
        <v>45911</v>
      </c>
      <c r="I293" s="8" t="s">
        <v>768</v>
      </c>
      <c r="J293" s="8" t="s">
        <v>769</v>
      </c>
      <c r="K293" s="8" t="s">
        <v>619</v>
      </c>
      <c r="L293" s="8" t="s">
        <v>15</v>
      </c>
      <c r="N293" s="8" t="s">
        <v>75</v>
      </c>
      <c r="O293" s="8" t="s">
        <v>94</v>
      </c>
      <c r="P293" s="28" t="s">
        <v>77</v>
      </c>
      <c r="Q293" s="16" t="s">
        <v>146</v>
      </c>
      <c r="X293" s="8" t="s">
        <v>79</v>
      </c>
      <c r="Y293" s="34">
        <f>IF(X293='Listas suspensas'!$A$21,'Listas suspensas'!$B$23,IF(X293='Listas suspensas'!$A$22,'Listas suspensas'!$B$23,IF(X293='Listas suspensas'!$A$23,'Listas suspensas'!$B$22,IF(X293='Listas suspensas'!$A$26,'Listas suspensas'!$B$22,IF(X293='Listas suspensas'!$A$32,'Listas suspensas'!$B$22,IF(X293='Listas suspensas'!$A$33,'Listas suspensas'!$B$21,IF(X293='Listas suspensas'!$A$24,'Listas suspensas'!$B$22,IF(X293='Listas suspensas'!$A$30,'Listas suspensas'!$B$21,""))))))))</f>
        <v>6.5</v>
      </c>
      <c r="Z293" s="8" t="s">
        <v>80</v>
      </c>
      <c r="AA293" s="8">
        <v>2</v>
      </c>
      <c r="AB293" s="8" t="str">
        <f>IF(AA293='Listas suspensas'!$A$2,'Listas suspensas'!$B$2,IF(AA293='Listas suspensas'!$A$3,'Listas suspensas'!$B$3,IF(AA293='Listas suspensas'!$A$4,'Listas suspensas'!$B$4,IF(AA293='Listas suspensas'!$A$5,'Listas suspensas'!$B$5,IF(AA293='Listas suspensas'!$A$6,'Listas suspensas'!$B$6,"")))))</f>
        <v>Profunda e irregular</v>
      </c>
      <c r="AC293" s="8" t="str">
        <f>IF(AA293='Listas suspensas'!$A$2,'Listas suspensas'!$C$2,IF(AA293='Listas suspensas'!$A$3,'Listas suspensas'!$C$3,IF(AA293='Listas suspensas'!$A$4,'Listas suspensas'!$C$4,IF(AA293='Listas suspensas'!$A$5,'Listas suspensas'!$C$5,IF(AA293='Listas suspensas'!$A$6,'Listas suspensas'!$C$6,"")))))</f>
        <v>Indica a penetração profunda, mas desuniforme em toda a extensão do alburno.</v>
      </c>
      <c r="BD293" s="13">
        <v>0.78700000000000003</v>
      </c>
      <c r="BE293" s="18">
        <f t="shared" si="60"/>
        <v>787</v>
      </c>
      <c r="BF293" s="8">
        <v>0.45100000000000001</v>
      </c>
      <c r="BG293" s="8">
        <v>0.22700000000000001</v>
      </c>
      <c r="BH293" s="8">
        <v>0.45500000000000002</v>
      </c>
      <c r="BI293" s="13">
        <f t="shared" si="61"/>
        <v>1.133</v>
      </c>
      <c r="BJ293" s="14">
        <v>39.799999999999997</v>
      </c>
      <c r="BK293" s="14">
        <v>20</v>
      </c>
      <c r="BL293" s="14">
        <v>40.200000000000003</v>
      </c>
      <c r="BM293" s="16">
        <f t="shared" si="55"/>
        <v>100</v>
      </c>
      <c r="BN293" s="21">
        <f t="shared" si="56"/>
        <v>3.55</v>
      </c>
      <c r="BO293" s="21">
        <f t="shared" si="57"/>
        <v>1.79</v>
      </c>
      <c r="BP293" s="21">
        <f t="shared" si="58"/>
        <v>3.58</v>
      </c>
      <c r="BQ293" s="14">
        <f t="shared" si="59"/>
        <v>8.92</v>
      </c>
      <c r="BR293" s="22" t="str">
        <f>IF(OR(AND(X293="Mourões", BQ293&gt;=6.5),AND(X293="Postes", BQ293&gt;=9.6),AND(X293="Dormentes", BQ293&gt;=9.6),AND(X293="Estacas", BQ293&gt;=6.5),AND(X293="Cruzetas", BQ293&gt;=6.5),AND(X293="Outros - Solo", BQ293&gt;=6.5),AND(X293="Outros - Suspenso",BQ293&gt;=4),AND(X293="Deck",BQ293&gt;=4)),'Listas suspensas'!$C$21,'Listas suspensas'!$C$22)</f>
        <v>Os resultados da análise química apresentaram uma retenção do produto de acordo com o padrão mínimo exigido pela norma ABNT NBR 16143</v>
      </c>
    </row>
    <row r="294" spans="2:70" x14ac:dyDescent="0.25">
      <c r="B294" s="8" t="s">
        <v>770</v>
      </c>
      <c r="C294" s="8" t="s">
        <v>71</v>
      </c>
      <c r="F294" s="11">
        <v>45896</v>
      </c>
      <c r="G294" s="11">
        <v>45901</v>
      </c>
      <c r="H294" s="11">
        <v>45919</v>
      </c>
      <c r="I294" s="8" t="s">
        <v>466</v>
      </c>
      <c r="J294" s="8" t="s">
        <v>467</v>
      </c>
      <c r="K294" s="8" t="s">
        <v>144</v>
      </c>
      <c r="L294" s="8" t="s">
        <v>15</v>
      </c>
      <c r="N294" s="8" t="s">
        <v>75</v>
      </c>
      <c r="O294" s="8" t="s">
        <v>104</v>
      </c>
      <c r="P294" s="28" t="s">
        <v>471</v>
      </c>
      <c r="Q294" s="16" t="s">
        <v>771</v>
      </c>
      <c r="X294" s="8" t="s">
        <v>473</v>
      </c>
      <c r="Y294" s="34">
        <f>IF(X294='Listas suspensas'!$A$21,'Listas suspensas'!$B$23,IF(X294='Listas suspensas'!$A$22,'Listas suspensas'!$B$23,IF(X294='Listas suspensas'!$A$23,'Listas suspensas'!$B$22,IF(X294='Listas suspensas'!$A$26,'Listas suspensas'!$B$22,IF(X294='Listas suspensas'!$A$32,'Listas suspensas'!$B$22,IF(X294='Listas suspensas'!$A$33,'Listas suspensas'!$B$21,IF(X294='Listas suspensas'!$A$24,'Listas suspensas'!$B$22,IF(X294='Listas suspensas'!$A$30,'Listas suspensas'!$B$21,""))))))))</f>
        <v>4</v>
      </c>
      <c r="Z294" s="8" t="s">
        <v>80</v>
      </c>
      <c r="AA294" s="8">
        <v>1</v>
      </c>
      <c r="AB294" s="8" t="str">
        <f>IF(AA294='Listas suspensas'!$A$2,'Listas suspensas'!$B$2,IF(AA294='Listas suspensas'!$A$3,'Listas suspensas'!$B$3,IF(AA294='Listas suspensas'!$A$4,'Listas suspensas'!$B$4,IF(AA294='Listas suspensas'!$A$5,'Listas suspensas'!$B$5,IF(AA294='Listas suspensas'!$A$6,'Listas suspensas'!$B$6,"")))))</f>
        <v>Profunda e regular</v>
      </c>
      <c r="AC294" s="8" t="str">
        <f>IF(AA294='Listas suspensas'!$A$2,'Listas suspensas'!$C$2,IF(AA294='Listas suspensas'!$A$3,'Listas suspensas'!$C$3,IF(AA294='Listas suspensas'!$A$4,'Listas suspensas'!$C$4,IF(AA294='Listas suspensas'!$A$5,'Listas suspensas'!$C$5,IF(AA294='Listas suspensas'!$A$6,'Listas suspensas'!$C$6,"")))))</f>
        <v>Indica a penetração profunda e uniforme em toda a extensão do alburno.</v>
      </c>
      <c r="BD294" s="13">
        <v>0.66</v>
      </c>
      <c r="BE294" s="18">
        <f t="shared" si="60"/>
        <v>660</v>
      </c>
      <c r="BF294" s="8">
        <v>0.27600000000000002</v>
      </c>
      <c r="BG294" s="8">
        <v>0.124</v>
      </c>
      <c r="BH294" s="8">
        <v>0.29199999999999998</v>
      </c>
      <c r="BI294" s="13">
        <f t="shared" si="61"/>
        <v>0.69199999999999995</v>
      </c>
      <c r="BJ294" s="14">
        <v>39.9</v>
      </c>
      <c r="BK294" s="14">
        <v>17.899999999999999</v>
      </c>
      <c r="BL294" s="14">
        <v>42.2</v>
      </c>
      <c r="BM294" s="16">
        <f t="shared" si="55"/>
        <v>100</v>
      </c>
      <c r="BN294" s="21">
        <f t="shared" si="56"/>
        <v>1.82</v>
      </c>
      <c r="BO294" s="21">
        <f t="shared" si="57"/>
        <v>0.82</v>
      </c>
      <c r="BP294" s="21">
        <f t="shared" si="58"/>
        <v>1.93</v>
      </c>
      <c r="BQ294" s="14">
        <f t="shared" si="59"/>
        <v>4.57</v>
      </c>
      <c r="BR294" s="22" t="str">
        <f>IF(OR(AND(X294="Mourões", BQ294&gt;=6.5),AND(X294="Postes", BQ294&gt;=9.6),AND(X294="Dormentes", BQ294&gt;=9.6),AND(X294="Estacas", BQ294&gt;=6.5),AND(X294="Cruzetas", BQ294&gt;=6.5),AND(X294="Outros - Solo", BQ294&gt;=6.5),AND(X294="Outros - Suspenso",BQ294&gt;=4),AND(X294="Deck",BQ294&gt;=4)),'Listas suspensas'!$C$21,'Listas suspensas'!$C$22)</f>
        <v>Os resultados da análise química apresentaram uma retenção do produto de acordo com o padrão mínimo exigido pela norma ABNT NBR 16143</v>
      </c>
    </row>
    <row r="295" spans="2:70" x14ac:dyDescent="0.25">
      <c r="B295" s="8" t="s">
        <v>772</v>
      </c>
      <c r="C295" s="8" t="s">
        <v>71</v>
      </c>
      <c r="F295" s="11">
        <v>45896</v>
      </c>
      <c r="G295" s="11">
        <v>45901</v>
      </c>
      <c r="H295" s="11">
        <v>45919</v>
      </c>
      <c r="I295" s="8" t="s">
        <v>466</v>
      </c>
      <c r="J295" s="8" t="s">
        <v>467</v>
      </c>
      <c r="K295" s="8" t="s">
        <v>144</v>
      </c>
      <c r="L295" s="8" t="s">
        <v>15</v>
      </c>
      <c r="N295" s="8" t="s">
        <v>75</v>
      </c>
      <c r="O295" s="8" t="s">
        <v>104</v>
      </c>
      <c r="P295" s="28" t="s">
        <v>471</v>
      </c>
      <c r="Q295" s="16" t="s">
        <v>773</v>
      </c>
      <c r="X295" s="8" t="s">
        <v>101</v>
      </c>
      <c r="Y295" s="34">
        <f>IF(X295='Listas suspensas'!$A$21,'Listas suspensas'!$B$23,IF(X295='Listas suspensas'!$A$22,'Listas suspensas'!$B$23,IF(X295='Listas suspensas'!$A$23,'Listas suspensas'!$B$22,IF(X295='Listas suspensas'!$A$26,'Listas suspensas'!$B$22,IF(X295='Listas suspensas'!$A$32,'Listas suspensas'!$B$22,IF(X295='Listas suspensas'!$A$33,'Listas suspensas'!$B$21,IF(X295='Listas suspensas'!$A$24,'Listas suspensas'!$B$22,IF(X295='Listas suspensas'!$A$30,'Listas suspensas'!$B$21,""))))))))</f>
        <v>6.5</v>
      </c>
      <c r="Z295" s="8" t="s">
        <v>80</v>
      </c>
      <c r="AA295" s="8">
        <v>2</v>
      </c>
      <c r="AB295" s="8" t="str">
        <f>IF(AA295='Listas suspensas'!$A$2,'Listas suspensas'!$B$2,IF(AA295='Listas suspensas'!$A$3,'Listas suspensas'!$B$3,IF(AA295='Listas suspensas'!$A$4,'Listas suspensas'!$B$4,IF(AA295='Listas suspensas'!$A$5,'Listas suspensas'!$B$5,IF(AA295='Listas suspensas'!$A$6,'Listas suspensas'!$B$6,"")))))</f>
        <v>Profunda e irregular</v>
      </c>
      <c r="AC295" s="8" t="str">
        <f>IF(AA295='Listas suspensas'!$A$2,'Listas suspensas'!$C$2,IF(AA295='Listas suspensas'!$A$3,'Listas suspensas'!$C$3,IF(AA295='Listas suspensas'!$A$4,'Listas suspensas'!$C$4,IF(AA295='Listas suspensas'!$A$5,'Listas suspensas'!$C$5,IF(AA295='Listas suspensas'!$A$6,'Listas suspensas'!$C$6,"")))))</f>
        <v>Indica a penetração profunda, mas desuniforme em toda a extensão do alburno.</v>
      </c>
      <c r="BD295" s="13">
        <v>0.54900000000000004</v>
      </c>
      <c r="BE295" s="18">
        <f t="shared" si="60"/>
        <v>549</v>
      </c>
      <c r="BF295" s="8">
        <v>0.32800000000000001</v>
      </c>
      <c r="BG295" s="8">
        <v>0.124</v>
      </c>
      <c r="BH295" s="8">
        <v>0.27200000000000002</v>
      </c>
      <c r="BI295" s="13">
        <f t="shared" si="61"/>
        <v>0.72399999999999998</v>
      </c>
      <c r="BJ295" s="14">
        <v>45.3</v>
      </c>
      <c r="BK295" s="14">
        <v>17.100000000000001</v>
      </c>
      <c r="BL295" s="14">
        <v>37.6</v>
      </c>
      <c r="BM295" s="16">
        <f t="shared" si="55"/>
        <v>100</v>
      </c>
      <c r="BN295" s="21">
        <f t="shared" si="56"/>
        <v>1.8</v>
      </c>
      <c r="BO295" s="21">
        <f t="shared" si="57"/>
        <v>0.68</v>
      </c>
      <c r="BP295" s="21">
        <f t="shared" si="58"/>
        <v>1.49</v>
      </c>
      <c r="BQ295" s="14">
        <f t="shared" si="59"/>
        <v>3.97</v>
      </c>
      <c r="BR295" s="22" t="str">
        <f>IF(OR(AND(X295="Mourões", BQ295&gt;=6.5),AND(X295="Postes", BQ295&gt;=9.6),AND(X295="Dormentes", BQ295&gt;=9.6),AND(X295="Estacas", BQ295&gt;=6.5),AND(X295="Cruzetas", BQ295&gt;=6.5),AND(X295="Outros - Solo", BQ295&gt;=6.5),AND(X295="Outros - Suspenso",BQ295&gt;=4),AND(X295="Deck",BQ295&gt;=4)),'Listas suspensas'!$C$21,'Listas suspensas'!$C$22)</f>
        <v>Os resultados da análise química apresentaram uma retenção do produto inferior ao padrão mínimo exigido pela norma ABNT NBR 16143</v>
      </c>
    </row>
    <row r="296" spans="2:70" x14ac:dyDescent="0.25">
      <c r="B296" s="8" t="s">
        <v>774</v>
      </c>
      <c r="C296" s="8" t="s">
        <v>71</v>
      </c>
      <c r="F296" s="11">
        <v>45896</v>
      </c>
      <c r="G296" s="11">
        <v>45901</v>
      </c>
      <c r="H296" s="11">
        <v>45919</v>
      </c>
      <c r="I296" s="8" t="s">
        <v>466</v>
      </c>
      <c r="J296" s="8" t="s">
        <v>467</v>
      </c>
      <c r="K296" s="8" t="s">
        <v>144</v>
      </c>
      <c r="L296" s="8" t="s">
        <v>15</v>
      </c>
      <c r="N296" s="8" t="s">
        <v>75</v>
      </c>
      <c r="O296" s="8" t="s">
        <v>104</v>
      </c>
      <c r="P296" s="28" t="s">
        <v>471</v>
      </c>
      <c r="Q296" s="16" t="s">
        <v>775</v>
      </c>
      <c r="X296" s="8" t="s">
        <v>473</v>
      </c>
      <c r="Y296" s="34">
        <f>IF(X296='Listas suspensas'!$A$21,'Listas suspensas'!$B$23,IF(X296='Listas suspensas'!$A$22,'Listas suspensas'!$B$23,IF(X296='Listas suspensas'!$A$23,'Listas suspensas'!$B$22,IF(X296='Listas suspensas'!$A$26,'Listas suspensas'!$B$22,IF(X296='Listas suspensas'!$A$32,'Listas suspensas'!$B$22,IF(X296='Listas suspensas'!$A$33,'Listas suspensas'!$B$21,IF(X296='Listas suspensas'!$A$24,'Listas suspensas'!$B$22,IF(X296='Listas suspensas'!$A$30,'Listas suspensas'!$B$21,""))))))))</f>
        <v>4</v>
      </c>
      <c r="Z296" s="8" t="s">
        <v>80</v>
      </c>
      <c r="AA296" s="8">
        <v>2</v>
      </c>
      <c r="AB296" s="8" t="str">
        <f>IF(AA296='Listas suspensas'!$A$2,'Listas suspensas'!$B$2,IF(AA296='Listas suspensas'!$A$3,'Listas suspensas'!$B$3,IF(AA296='Listas suspensas'!$A$4,'Listas suspensas'!$B$4,IF(AA296='Listas suspensas'!$A$5,'Listas suspensas'!$B$5,IF(AA296='Listas suspensas'!$A$6,'Listas suspensas'!$B$6,"")))))</f>
        <v>Profunda e irregular</v>
      </c>
      <c r="AC296" s="8" t="str">
        <f>IF(AA296='Listas suspensas'!$A$2,'Listas suspensas'!$C$2,IF(AA296='Listas suspensas'!$A$3,'Listas suspensas'!$C$3,IF(AA296='Listas suspensas'!$A$4,'Listas suspensas'!$C$4,IF(AA296='Listas suspensas'!$A$5,'Listas suspensas'!$C$5,IF(AA296='Listas suspensas'!$A$6,'Listas suspensas'!$C$6,"")))))</f>
        <v>Indica a penetração profunda, mas desuniforme em toda a extensão do alburno.</v>
      </c>
      <c r="BD296" s="13">
        <v>0.77500000000000002</v>
      </c>
      <c r="BE296" s="18">
        <f t="shared" si="60"/>
        <v>775</v>
      </c>
      <c r="BF296" s="8">
        <v>0.20399999999999999</v>
      </c>
      <c r="BG296" s="8">
        <v>7.0999999999999994E-2</v>
      </c>
      <c r="BH296" s="8">
        <v>0.17</v>
      </c>
      <c r="BI296" s="13">
        <f t="shared" si="61"/>
        <v>0.44499999999999995</v>
      </c>
      <c r="BJ296" s="14">
        <v>45.8</v>
      </c>
      <c r="BK296" s="14">
        <v>16</v>
      </c>
      <c r="BL296" s="14">
        <v>38.200000000000003</v>
      </c>
      <c r="BM296" s="16">
        <f t="shared" ref="BM296:BM359" si="62">ROUND(SUM(BJ296:BL296),2)</f>
        <v>100</v>
      </c>
      <c r="BN296" s="21">
        <f t="shared" ref="BN296:BN359" si="63">ROUND((BF296/100)*BE296,2)</f>
        <v>1.58</v>
      </c>
      <c r="BO296" s="21">
        <f t="shared" ref="BO296:BO359" si="64">ROUND((BG296/100)*BE296,2)</f>
        <v>0.55000000000000004</v>
      </c>
      <c r="BP296" s="21">
        <f t="shared" ref="BP296:BP359" si="65">ROUND((BH296/100)*BE296,2)</f>
        <v>1.32</v>
      </c>
      <c r="BQ296" s="14">
        <f t="shared" ref="BQ296:BQ359" si="66">ROUND(SUM(BN296:BP296),2)</f>
        <v>3.45</v>
      </c>
      <c r="BR296" s="22" t="str">
        <f>IF(OR(AND(X296="Mourões", BQ296&gt;=6.5),AND(X296="Postes", BQ296&gt;=9.6),AND(X296="Dormentes", BQ296&gt;=9.6),AND(X296="Estacas", BQ296&gt;=6.5),AND(X296="Cruzetas", BQ296&gt;=6.5),AND(X296="Outros - Solo", BQ296&gt;=6.5),AND(X296="Outros - Suspenso",BQ296&gt;=4),AND(X296="Deck",BQ296&gt;=4)),'Listas suspensas'!$C$21,'Listas suspensas'!$C$22)</f>
        <v>Os resultados da análise química apresentaram uma retenção do produto inferior ao padrão mínimo exigido pela norma ABNT NBR 16143</v>
      </c>
    </row>
    <row r="297" spans="2:70" x14ac:dyDescent="0.25">
      <c r="B297" s="8" t="s">
        <v>776</v>
      </c>
      <c r="C297" s="8" t="s">
        <v>71</v>
      </c>
      <c r="F297" s="11">
        <v>45896</v>
      </c>
      <c r="G297" s="11">
        <v>45901</v>
      </c>
      <c r="H297" s="11">
        <v>45919</v>
      </c>
      <c r="I297" s="8" t="s">
        <v>466</v>
      </c>
      <c r="J297" s="8" t="s">
        <v>467</v>
      </c>
      <c r="K297" s="8" t="s">
        <v>144</v>
      </c>
      <c r="L297" s="8" t="s">
        <v>15</v>
      </c>
      <c r="N297" s="8" t="s">
        <v>75</v>
      </c>
      <c r="O297" s="8" t="s">
        <v>104</v>
      </c>
      <c r="P297" s="28" t="s">
        <v>471</v>
      </c>
      <c r="Q297" s="16" t="s">
        <v>777</v>
      </c>
      <c r="X297" s="8" t="s">
        <v>101</v>
      </c>
      <c r="Y297" s="34">
        <f>IF(X297='Listas suspensas'!$A$21,'Listas suspensas'!$B$23,IF(X297='Listas suspensas'!$A$22,'Listas suspensas'!$B$23,IF(X297='Listas suspensas'!$A$23,'Listas suspensas'!$B$22,IF(X297='Listas suspensas'!$A$26,'Listas suspensas'!$B$22,IF(X297='Listas suspensas'!$A$32,'Listas suspensas'!$B$22,IF(X297='Listas suspensas'!$A$33,'Listas suspensas'!$B$21,IF(X297='Listas suspensas'!$A$24,'Listas suspensas'!$B$22,IF(X297='Listas suspensas'!$A$30,'Listas suspensas'!$B$21,""))))))))</f>
        <v>6.5</v>
      </c>
      <c r="Z297" s="8" t="s">
        <v>80</v>
      </c>
      <c r="AA297" s="8">
        <v>2</v>
      </c>
      <c r="AB297" s="8" t="str">
        <f>IF(AA297='Listas suspensas'!$A$2,'Listas suspensas'!$B$2,IF(AA297='Listas suspensas'!$A$3,'Listas suspensas'!$B$3,IF(AA297='Listas suspensas'!$A$4,'Listas suspensas'!$B$4,IF(AA297='Listas suspensas'!$A$5,'Listas suspensas'!$B$5,IF(AA297='Listas suspensas'!$A$6,'Listas suspensas'!$B$6,"")))))</f>
        <v>Profunda e irregular</v>
      </c>
      <c r="AC297" s="8" t="str">
        <f>IF(AA297='Listas suspensas'!$A$2,'Listas suspensas'!$C$2,IF(AA297='Listas suspensas'!$A$3,'Listas suspensas'!$C$3,IF(AA297='Listas suspensas'!$A$4,'Listas suspensas'!$C$4,IF(AA297='Listas suspensas'!$A$5,'Listas suspensas'!$C$5,IF(AA297='Listas suspensas'!$A$6,'Listas suspensas'!$C$6,"")))))</f>
        <v>Indica a penetração profunda, mas desuniforme em toda a extensão do alburno.</v>
      </c>
      <c r="BD297" s="13">
        <v>0.41499999999999998</v>
      </c>
      <c r="BE297" s="18">
        <f t="shared" si="60"/>
        <v>415</v>
      </c>
      <c r="BF297" s="8">
        <v>0.38200000000000001</v>
      </c>
      <c r="BG297" s="8">
        <v>0.112</v>
      </c>
      <c r="BH297" s="8">
        <v>0.221</v>
      </c>
      <c r="BI297" s="13">
        <f t="shared" si="61"/>
        <v>0.71499999999999997</v>
      </c>
      <c r="BJ297" s="14">
        <v>53.4</v>
      </c>
      <c r="BK297" s="14">
        <v>15.7</v>
      </c>
      <c r="BL297" s="14">
        <v>30.9</v>
      </c>
      <c r="BM297" s="16">
        <f t="shared" si="62"/>
        <v>100</v>
      </c>
      <c r="BN297" s="21">
        <f t="shared" si="63"/>
        <v>1.59</v>
      </c>
      <c r="BO297" s="21">
        <f t="shared" si="64"/>
        <v>0.46</v>
      </c>
      <c r="BP297" s="21">
        <f t="shared" si="65"/>
        <v>0.92</v>
      </c>
      <c r="BQ297" s="14">
        <f t="shared" si="66"/>
        <v>2.97</v>
      </c>
      <c r="BR297" s="22" t="str">
        <f>IF(OR(AND(X297="Mourões", BQ297&gt;=6.5),AND(X297="Postes", BQ297&gt;=9.6),AND(X297="Dormentes", BQ297&gt;=9.6),AND(X297="Estacas", BQ297&gt;=6.5),AND(X297="Cruzetas", BQ297&gt;=6.5),AND(X297="Outros - Solo", BQ297&gt;=6.5),AND(X297="Outros - Suspenso",BQ297&gt;=4),AND(X297="Deck",BQ297&gt;=4)),'Listas suspensas'!$C$21,'Listas suspensas'!$C$22)</f>
        <v>Os resultados da análise química apresentaram uma retenção do produto inferior ao padrão mínimo exigido pela norma ABNT NBR 16143</v>
      </c>
    </row>
    <row r="298" spans="2:70" x14ac:dyDescent="0.25">
      <c r="B298" s="8" t="s">
        <v>778</v>
      </c>
      <c r="C298" s="8" t="s">
        <v>71</v>
      </c>
      <c r="F298" s="11">
        <v>45896</v>
      </c>
      <c r="G298" s="11">
        <v>45901</v>
      </c>
      <c r="H298" s="11">
        <v>45919</v>
      </c>
      <c r="I298" s="8" t="s">
        <v>466</v>
      </c>
      <c r="J298" s="8" t="s">
        <v>467</v>
      </c>
      <c r="K298" s="8" t="s">
        <v>144</v>
      </c>
      <c r="L298" s="8" t="s">
        <v>15</v>
      </c>
      <c r="N298" s="8" t="s">
        <v>75</v>
      </c>
      <c r="O298" s="8" t="s">
        <v>104</v>
      </c>
      <c r="P298" s="28" t="s">
        <v>471</v>
      </c>
      <c r="Q298" s="16" t="s">
        <v>779</v>
      </c>
      <c r="X298" s="8" t="s">
        <v>473</v>
      </c>
      <c r="Y298" s="34">
        <f>IF(X298='Listas suspensas'!$A$21,'Listas suspensas'!$B$23,IF(X298='Listas suspensas'!$A$22,'Listas suspensas'!$B$23,IF(X298='Listas suspensas'!$A$23,'Listas suspensas'!$B$22,IF(X298='Listas suspensas'!$A$26,'Listas suspensas'!$B$22,IF(X298='Listas suspensas'!$A$32,'Listas suspensas'!$B$22,IF(X298='Listas suspensas'!$A$33,'Listas suspensas'!$B$21,IF(X298='Listas suspensas'!$A$24,'Listas suspensas'!$B$22,IF(X298='Listas suspensas'!$A$30,'Listas suspensas'!$B$21,""))))))))</f>
        <v>4</v>
      </c>
      <c r="Z298" s="8" t="s">
        <v>80</v>
      </c>
      <c r="AA298" s="8">
        <v>2</v>
      </c>
      <c r="AB298" s="8" t="str">
        <f>IF(AA298='Listas suspensas'!$A$2,'Listas suspensas'!$B$2,IF(AA298='Listas suspensas'!$A$3,'Listas suspensas'!$B$3,IF(AA298='Listas suspensas'!$A$4,'Listas suspensas'!$B$4,IF(AA298='Listas suspensas'!$A$5,'Listas suspensas'!$B$5,IF(AA298='Listas suspensas'!$A$6,'Listas suspensas'!$B$6,"")))))</f>
        <v>Profunda e irregular</v>
      </c>
      <c r="AC298" s="8" t="str">
        <f>IF(AA298='Listas suspensas'!$A$2,'Listas suspensas'!$C$2,IF(AA298='Listas suspensas'!$A$3,'Listas suspensas'!$C$3,IF(AA298='Listas suspensas'!$A$4,'Listas suspensas'!$C$4,IF(AA298='Listas suspensas'!$A$5,'Listas suspensas'!$C$5,IF(AA298='Listas suspensas'!$A$6,'Listas suspensas'!$C$6,"")))))</f>
        <v>Indica a penetração profunda, mas desuniforme em toda a extensão do alburno.</v>
      </c>
      <c r="BD298" s="13">
        <v>0.49099999999999999</v>
      </c>
      <c r="BE298" s="18">
        <f t="shared" si="60"/>
        <v>491</v>
      </c>
      <c r="BF298" s="8">
        <v>0.2</v>
      </c>
      <c r="BG298" s="8">
        <v>0.10299999999999999</v>
      </c>
      <c r="BH298" s="8">
        <v>0.21299999999999999</v>
      </c>
      <c r="BI298" s="13">
        <f t="shared" si="61"/>
        <v>0.51600000000000001</v>
      </c>
      <c r="BJ298" s="14">
        <v>38.799999999999997</v>
      </c>
      <c r="BK298" s="14">
        <v>19.899999999999999</v>
      </c>
      <c r="BL298" s="14">
        <v>41.3</v>
      </c>
      <c r="BM298" s="16">
        <f t="shared" si="62"/>
        <v>100</v>
      </c>
      <c r="BN298" s="21">
        <f t="shared" si="63"/>
        <v>0.98</v>
      </c>
      <c r="BO298" s="21">
        <f t="shared" si="64"/>
        <v>0.51</v>
      </c>
      <c r="BP298" s="21">
        <f t="shared" si="65"/>
        <v>1.05</v>
      </c>
      <c r="BQ298" s="14">
        <f t="shared" si="66"/>
        <v>2.54</v>
      </c>
      <c r="BR298" s="22" t="str">
        <f>IF(OR(AND(X298="Mourões", BQ298&gt;=6.5),AND(X298="Postes", BQ298&gt;=9.6),AND(X298="Dormentes", BQ298&gt;=9.6),AND(X298="Estacas", BQ298&gt;=6.5),AND(X298="Cruzetas", BQ298&gt;=6.5),AND(X298="Outros - Solo", BQ298&gt;=6.5),AND(X298="Outros - Suspenso",BQ298&gt;=4),AND(X298="Deck",BQ298&gt;=4)),'Listas suspensas'!$C$21,'Listas suspensas'!$C$22)</f>
        <v>Os resultados da análise química apresentaram uma retenção do produto inferior ao padrão mínimo exigido pela norma ABNT NBR 16143</v>
      </c>
    </row>
    <row r="299" spans="2:70" x14ac:dyDescent="0.25">
      <c r="B299" s="8" t="s">
        <v>780</v>
      </c>
      <c r="C299" s="8" t="s">
        <v>71</v>
      </c>
      <c r="F299" s="11">
        <v>45896</v>
      </c>
      <c r="G299" s="11">
        <v>45901</v>
      </c>
      <c r="H299" s="11">
        <v>45919</v>
      </c>
      <c r="I299" s="8" t="s">
        <v>781</v>
      </c>
      <c r="J299" s="8" t="s">
        <v>782</v>
      </c>
      <c r="K299" s="8" t="s">
        <v>613</v>
      </c>
      <c r="L299" s="8" t="s">
        <v>15</v>
      </c>
      <c r="M299" s="30" t="s">
        <v>783</v>
      </c>
      <c r="N299" s="8" t="s">
        <v>75</v>
      </c>
      <c r="O299" s="8" t="s">
        <v>76</v>
      </c>
      <c r="P299" s="28" t="s">
        <v>146</v>
      </c>
      <c r="Q299" s="16" t="s">
        <v>146</v>
      </c>
      <c r="X299" s="8" t="s">
        <v>79</v>
      </c>
      <c r="Y299" s="34">
        <f>IF(X299='Listas suspensas'!$A$21,'Listas suspensas'!$B$23,IF(X299='Listas suspensas'!$A$22,'Listas suspensas'!$B$23,IF(X299='Listas suspensas'!$A$23,'Listas suspensas'!$B$22,IF(X299='Listas suspensas'!$A$26,'Listas suspensas'!$B$22,IF(X299='Listas suspensas'!$A$32,'Listas suspensas'!$B$22,IF(X299='Listas suspensas'!$A$33,'Listas suspensas'!$B$21,IF(X299='Listas suspensas'!$A$24,'Listas suspensas'!$B$22,IF(X299='Listas suspensas'!$A$30,'Listas suspensas'!$B$21,""))))))))</f>
        <v>6.5</v>
      </c>
      <c r="Z299" s="8" t="s">
        <v>80</v>
      </c>
      <c r="AA299" s="8">
        <v>4</v>
      </c>
      <c r="AB299" s="8" t="str">
        <f>IF(AA299='Listas suspensas'!$A$2,'Listas suspensas'!$B$2,IF(AA299='Listas suspensas'!$A$3,'Listas suspensas'!$B$3,IF(AA299='Listas suspensas'!$A$4,'Listas suspensas'!$B$4,IF(AA299='Listas suspensas'!$A$5,'Listas suspensas'!$B$5,IF(AA299='Listas suspensas'!$A$6,'Listas suspensas'!$B$6,"")))))</f>
        <v>Parcial e irregular</v>
      </c>
      <c r="AC299" s="8" t="str">
        <f>IF(AA299='Listas suspensas'!$A$2,'Listas suspensas'!$C$2,IF(AA299='Listas suspensas'!$A$3,'Listas suspensas'!$C$3,IF(AA299='Listas suspensas'!$A$4,'Listas suspensas'!$C$4,IF(AA299='Listas suspensas'!$A$5,'Listas suspensas'!$C$5,IF(AA299='Listas suspensas'!$A$6,'Listas suspensas'!$C$6,"")))))</f>
        <v>Indica a penetração desuniforme e não total pela extensão do alburno.</v>
      </c>
      <c r="BD299" s="13">
        <v>0.50600000000000001</v>
      </c>
      <c r="BE299" s="18">
        <f t="shared" si="60"/>
        <v>506</v>
      </c>
      <c r="BF299" s="8">
        <v>0.22</v>
      </c>
      <c r="BG299" s="8">
        <v>9.2999999999999999E-2</v>
      </c>
      <c r="BH299" s="8">
        <v>0.13900000000000001</v>
      </c>
      <c r="BI299" s="13">
        <f t="shared" si="61"/>
        <v>0.45200000000000001</v>
      </c>
      <c r="BJ299" s="14">
        <v>48.8</v>
      </c>
      <c r="BK299" s="14">
        <v>20.5</v>
      </c>
      <c r="BL299" s="14">
        <v>30.7</v>
      </c>
      <c r="BM299" s="16">
        <f t="shared" si="62"/>
        <v>100</v>
      </c>
      <c r="BN299" s="21">
        <f t="shared" si="63"/>
        <v>1.1100000000000001</v>
      </c>
      <c r="BO299" s="21">
        <f t="shared" si="64"/>
        <v>0.47</v>
      </c>
      <c r="BP299" s="21">
        <f t="shared" si="65"/>
        <v>0.7</v>
      </c>
      <c r="BQ299" s="14">
        <f t="shared" si="66"/>
        <v>2.2799999999999998</v>
      </c>
      <c r="BR299" s="22" t="str">
        <f>IF(OR(AND(X299="Mourões", BQ299&gt;=6.5),AND(X299="Postes", BQ299&gt;=9.6),AND(X299="Dormentes", BQ299&gt;=9.6),AND(X299="Estacas", BQ299&gt;=6.5),AND(X299="Cruzetas", BQ299&gt;=6.5),AND(X299="Outros - Solo", BQ299&gt;=6.5),AND(X299="Outros - Suspenso",BQ299&gt;=4),AND(X299="Deck",BQ299&gt;=4)),'Listas suspensas'!$C$21,'Listas suspensas'!$C$22)</f>
        <v>Os resultados da análise química apresentaram uma retenção do produto inferior ao padrão mínimo exigido pela norma ABNT NBR 16143</v>
      </c>
    </row>
    <row r="300" spans="2:70" x14ac:dyDescent="0.25">
      <c r="B300" s="8" t="s">
        <v>784</v>
      </c>
      <c r="C300" s="8" t="s">
        <v>71</v>
      </c>
      <c r="F300" s="11">
        <v>45896</v>
      </c>
      <c r="G300" s="11">
        <v>45901</v>
      </c>
      <c r="H300" s="11">
        <v>45919</v>
      </c>
      <c r="I300" s="8" t="s">
        <v>696</v>
      </c>
      <c r="J300" s="8" t="s">
        <v>697</v>
      </c>
      <c r="K300" s="8" t="s">
        <v>202</v>
      </c>
      <c r="L300" s="8" t="s">
        <v>15</v>
      </c>
      <c r="N300" s="8" t="s">
        <v>75</v>
      </c>
      <c r="O300" s="8" t="s">
        <v>104</v>
      </c>
      <c r="P300" s="28" t="s">
        <v>146</v>
      </c>
      <c r="Q300" s="16" t="s">
        <v>785</v>
      </c>
      <c r="X300" s="8" t="s">
        <v>101</v>
      </c>
      <c r="Y300" s="34">
        <f>IF(X300='Listas suspensas'!$A$21,'Listas suspensas'!$B$23,IF(X300='Listas suspensas'!$A$22,'Listas suspensas'!$B$23,IF(X300='Listas suspensas'!$A$23,'Listas suspensas'!$B$22,IF(X300='Listas suspensas'!$A$26,'Listas suspensas'!$B$22,IF(X300='Listas suspensas'!$A$32,'Listas suspensas'!$B$22,IF(X300='Listas suspensas'!$A$33,'Listas suspensas'!$B$21,IF(X300='Listas suspensas'!$A$24,'Listas suspensas'!$B$22,IF(X300='Listas suspensas'!$A$30,'Listas suspensas'!$B$21,""))))))))</f>
        <v>6.5</v>
      </c>
      <c r="Z300" s="8" t="s">
        <v>80</v>
      </c>
      <c r="AA300" s="8">
        <v>1</v>
      </c>
      <c r="AB300" s="8" t="str">
        <f>IF(AA300='Listas suspensas'!$A$2,'Listas suspensas'!$B$2,IF(AA300='Listas suspensas'!$A$3,'Listas suspensas'!$B$3,IF(AA300='Listas suspensas'!$A$4,'Listas suspensas'!$B$4,IF(AA300='Listas suspensas'!$A$5,'Listas suspensas'!$B$5,IF(AA300='Listas suspensas'!$A$6,'Listas suspensas'!$B$6,"")))))</f>
        <v>Profunda e regular</v>
      </c>
      <c r="AC300" s="8" t="str">
        <f>IF(AA300='Listas suspensas'!$A$2,'Listas suspensas'!$C$2,IF(AA300='Listas suspensas'!$A$3,'Listas suspensas'!$C$3,IF(AA300='Listas suspensas'!$A$4,'Listas suspensas'!$C$4,IF(AA300='Listas suspensas'!$A$5,'Listas suspensas'!$C$5,IF(AA300='Listas suspensas'!$A$6,'Listas suspensas'!$C$6,"")))))</f>
        <v>Indica a penetração profunda e uniforme em toda a extensão do alburno.</v>
      </c>
      <c r="BD300" s="13">
        <v>0.441</v>
      </c>
      <c r="BE300" s="18">
        <f t="shared" si="60"/>
        <v>441</v>
      </c>
      <c r="BF300" s="8">
        <v>1.1859999999999999</v>
      </c>
      <c r="BG300" s="8">
        <v>0.30299999999999999</v>
      </c>
      <c r="BH300" s="8">
        <v>0.54500000000000004</v>
      </c>
      <c r="BI300" s="13">
        <f t="shared" si="61"/>
        <v>2.0339999999999998</v>
      </c>
      <c r="BJ300" s="14">
        <v>58.3</v>
      </c>
      <c r="BK300" s="14">
        <v>14.9</v>
      </c>
      <c r="BL300" s="14">
        <v>26.8</v>
      </c>
      <c r="BM300" s="16">
        <f t="shared" si="62"/>
        <v>100</v>
      </c>
      <c r="BN300" s="21">
        <f t="shared" si="63"/>
        <v>5.23</v>
      </c>
      <c r="BO300" s="21">
        <f t="shared" si="64"/>
        <v>1.34</v>
      </c>
      <c r="BP300" s="21">
        <f t="shared" si="65"/>
        <v>2.4</v>
      </c>
      <c r="BQ300" s="14">
        <f t="shared" si="66"/>
        <v>8.9700000000000006</v>
      </c>
      <c r="BR300" s="22" t="str">
        <f>IF(OR(AND(X300="Mourões", BQ300&gt;=6.5),AND(X300="Postes", BQ300&gt;=9.6),AND(X300="Dormentes", BQ300&gt;=9.6),AND(X300="Estacas", BQ300&gt;=6.5),AND(X300="Cruzetas", BQ300&gt;=6.5),AND(X300="Outros - Solo", BQ300&gt;=6.5),AND(X300="Outros - Suspenso",BQ300&gt;=4),AND(X300="Deck",BQ300&gt;=4)),'Listas suspensas'!$C$21,'Listas suspensas'!$C$22)</f>
        <v>Os resultados da análise química apresentaram uma retenção do produto de acordo com o padrão mínimo exigido pela norma ABNT NBR 16143</v>
      </c>
    </row>
    <row r="301" spans="2:70" x14ac:dyDescent="0.25">
      <c r="B301" s="8" t="s">
        <v>786</v>
      </c>
      <c r="C301" s="8" t="s">
        <v>71</v>
      </c>
      <c r="F301" s="11">
        <v>45896</v>
      </c>
      <c r="G301" s="11">
        <v>45901</v>
      </c>
      <c r="H301" s="11">
        <v>45919</v>
      </c>
      <c r="I301" s="8" t="s">
        <v>696</v>
      </c>
      <c r="J301" s="8" t="s">
        <v>697</v>
      </c>
      <c r="K301" s="8" t="s">
        <v>202</v>
      </c>
      <c r="L301" s="8" t="s">
        <v>15</v>
      </c>
      <c r="N301" s="8" t="s">
        <v>75</v>
      </c>
      <c r="O301" s="8" t="s">
        <v>104</v>
      </c>
      <c r="P301" s="28" t="s">
        <v>146</v>
      </c>
      <c r="Q301" s="16" t="s">
        <v>787</v>
      </c>
      <c r="X301" s="8" t="s">
        <v>101</v>
      </c>
      <c r="Y301" s="34">
        <f>IF(X301='Listas suspensas'!$A$21,'Listas suspensas'!$B$23,IF(X301='Listas suspensas'!$A$22,'Listas suspensas'!$B$23,IF(X301='Listas suspensas'!$A$23,'Listas suspensas'!$B$22,IF(X301='Listas suspensas'!$A$26,'Listas suspensas'!$B$22,IF(X301='Listas suspensas'!$A$32,'Listas suspensas'!$B$22,IF(X301='Listas suspensas'!$A$33,'Listas suspensas'!$B$21,IF(X301='Listas suspensas'!$A$24,'Listas suspensas'!$B$22,IF(X301='Listas suspensas'!$A$30,'Listas suspensas'!$B$21,""))))))))</f>
        <v>6.5</v>
      </c>
      <c r="Z301" s="8" t="s">
        <v>80</v>
      </c>
      <c r="AA301" s="8">
        <v>2</v>
      </c>
      <c r="AB301" s="8" t="str">
        <f>IF(AA301='Listas suspensas'!$A$2,'Listas suspensas'!$B$2,IF(AA301='Listas suspensas'!$A$3,'Listas suspensas'!$B$3,IF(AA301='Listas suspensas'!$A$4,'Listas suspensas'!$B$4,IF(AA301='Listas suspensas'!$A$5,'Listas suspensas'!$B$5,IF(AA301='Listas suspensas'!$A$6,'Listas suspensas'!$B$6,"")))))</f>
        <v>Profunda e irregular</v>
      </c>
      <c r="AC301" s="8" t="str">
        <f>IF(AA301='Listas suspensas'!$A$2,'Listas suspensas'!$C$2,IF(AA301='Listas suspensas'!$A$3,'Listas suspensas'!$C$3,IF(AA301='Listas suspensas'!$A$4,'Listas suspensas'!$C$4,IF(AA301='Listas suspensas'!$A$5,'Listas suspensas'!$C$5,IF(AA301='Listas suspensas'!$A$6,'Listas suspensas'!$C$6,"")))))</f>
        <v>Indica a penetração profunda, mas desuniforme em toda a extensão do alburno.</v>
      </c>
      <c r="BD301" s="13">
        <v>0.377</v>
      </c>
      <c r="BE301" s="18">
        <f t="shared" si="60"/>
        <v>377</v>
      </c>
      <c r="BF301" s="8">
        <v>0.84799999999999998</v>
      </c>
      <c r="BG301" s="8">
        <v>0.251</v>
      </c>
      <c r="BH301" s="8">
        <v>0.46700000000000003</v>
      </c>
      <c r="BI301" s="13">
        <f t="shared" si="61"/>
        <v>1.5660000000000001</v>
      </c>
      <c r="BJ301" s="14">
        <v>54.2</v>
      </c>
      <c r="BK301" s="14">
        <v>16</v>
      </c>
      <c r="BL301" s="14">
        <v>29.8</v>
      </c>
      <c r="BM301" s="16">
        <f t="shared" si="62"/>
        <v>100</v>
      </c>
      <c r="BN301" s="21">
        <f t="shared" si="63"/>
        <v>3.2</v>
      </c>
      <c r="BO301" s="21">
        <f t="shared" si="64"/>
        <v>0.95</v>
      </c>
      <c r="BP301" s="21">
        <f t="shared" si="65"/>
        <v>1.76</v>
      </c>
      <c r="BQ301" s="14">
        <f t="shared" si="66"/>
        <v>5.91</v>
      </c>
      <c r="BR301" s="22" t="str">
        <f>IF(OR(AND(X301="Mourões", BQ301&gt;=6.5),AND(X301="Postes", BQ301&gt;=9.6),AND(X301="Dormentes", BQ301&gt;=9.6),AND(X301="Estacas", BQ301&gt;=6.5),AND(X301="Cruzetas", BQ301&gt;=6.5),AND(X301="Outros - Solo", BQ301&gt;=6.5),AND(X301="Outros - Suspenso",BQ301&gt;=4),AND(X301="Deck",BQ301&gt;=4)),'Listas suspensas'!$C$21,'Listas suspensas'!$C$22)</f>
        <v>Os resultados da análise química apresentaram uma retenção do produto inferior ao padrão mínimo exigido pela norma ABNT NBR 16143</v>
      </c>
    </row>
    <row r="302" spans="2:70" x14ac:dyDescent="0.25">
      <c r="B302" s="8" t="s">
        <v>788</v>
      </c>
      <c r="C302" s="8" t="s">
        <v>71</v>
      </c>
      <c r="F302" s="11">
        <v>45896</v>
      </c>
      <c r="G302" s="11">
        <v>45901</v>
      </c>
      <c r="H302" s="11">
        <v>45919</v>
      </c>
      <c r="I302" s="8" t="s">
        <v>696</v>
      </c>
      <c r="J302" s="8" t="s">
        <v>697</v>
      </c>
      <c r="K302" s="8" t="s">
        <v>202</v>
      </c>
      <c r="L302" s="8" t="s">
        <v>15</v>
      </c>
      <c r="N302" s="8" t="s">
        <v>75</v>
      </c>
      <c r="O302" s="8" t="s">
        <v>104</v>
      </c>
      <c r="P302" s="28" t="s">
        <v>146</v>
      </c>
      <c r="Q302" s="16" t="s">
        <v>789</v>
      </c>
      <c r="X302" s="8" t="s">
        <v>101</v>
      </c>
      <c r="Y302" s="34">
        <f>IF(X302='Listas suspensas'!$A$21,'Listas suspensas'!$B$23,IF(X302='Listas suspensas'!$A$22,'Listas suspensas'!$B$23,IF(X302='Listas suspensas'!$A$23,'Listas suspensas'!$B$22,IF(X302='Listas suspensas'!$A$26,'Listas suspensas'!$B$22,IF(X302='Listas suspensas'!$A$32,'Listas suspensas'!$B$22,IF(X302='Listas suspensas'!$A$33,'Listas suspensas'!$B$21,IF(X302='Listas suspensas'!$A$24,'Listas suspensas'!$B$22,IF(X302='Listas suspensas'!$A$30,'Listas suspensas'!$B$21,""))))))))</f>
        <v>6.5</v>
      </c>
      <c r="Z302" s="8" t="s">
        <v>80</v>
      </c>
      <c r="AA302" s="8">
        <v>2</v>
      </c>
      <c r="AB302" s="8" t="str">
        <f>IF(AA302='Listas suspensas'!$A$2,'Listas suspensas'!$B$2,IF(AA302='Listas suspensas'!$A$3,'Listas suspensas'!$B$3,IF(AA302='Listas suspensas'!$A$4,'Listas suspensas'!$B$4,IF(AA302='Listas suspensas'!$A$5,'Listas suspensas'!$B$5,IF(AA302='Listas suspensas'!$A$6,'Listas suspensas'!$B$6,"")))))</f>
        <v>Profunda e irregular</v>
      </c>
      <c r="AC302" s="8" t="str">
        <f>IF(AA302='Listas suspensas'!$A$2,'Listas suspensas'!$C$2,IF(AA302='Listas suspensas'!$A$3,'Listas suspensas'!$C$3,IF(AA302='Listas suspensas'!$A$4,'Listas suspensas'!$C$4,IF(AA302='Listas suspensas'!$A$5,'Listas suspensas'!$C$5,IF(AA302='Listas suspensas'!$A$6,'Listas suspensas'!$C$6,"")))))</f>
        <v>Indica a penetração profunda, mas desuniforme em toda a extensão do alburno.</v>
      </c>
      <c r="BD302" s="13">
        <v>0.372</v>
      </c>
      <c r="BE302" s="18">
        <f t="shared" si="60"/>
        <v>372</v>
      </c>
      <c r="BF302" s="8">
        <v>0.75900000000000001</v>
      </c>
      <c r="BG302" s="8">
        <v>0.23499999999999999</v>
      </c>
      <c r="BH302" s="8">
        <v>0.40100000000000002</v>
      </c>
      <c r="BI302" s="13">
        <f t="shared" si="61"/>
        <v>1.395</v>
      </c>
      <c r="BJ302" s="14">
        <v>54.4</v>
      </c>
      <c r="BK302" s="14">
        <v>16.8</v>
      </c>
      <c r="BL302" s="14">
        <v>28.8</v>
      </c>
      <c r="BM302" s="16">
        <f t="shared" si="62"/>
        <v>100</v>
      </c>
      <c r="BN302" s="21">
        <f t="shared" si="63"/>
        <v>2.82</v>
      </c>
      <c r="BO302" s="21">
        <f t="shared" si="64"/>
        <v>0.87</v>
      </c>
      <c r="BP302" s="21">
        <f t="shared" si="65"/>
        <v>1.49</v>
      </c>
      <c r="BQ302" s="14">
        <f t="shared" si="66"/>
        <v>5.18</v>
      </c>
      <c r="BR302" s="22" t="str">
        <f>IF(OR(AND(X302="Mourões", BQ302&gt;=6.5),AND(X302="Postes", BQ302&gt;=9.6),AND(X302="Dormentes", BQ302&gt;=9.6),AND(X302="Estacas", BQ302&gt;=6.5),AND(X302="Cruzetas", BQ302&gt;=6.5),AND(X302="Outros - Solo", BQ302&gt;=6.5),AND(X302="Outros - Suspenso",BQ302&gt;=4),AND(X302="Deck",BQ302&gt;=4)),'Listas suspensas'!$C$21,'Listas suspensas'!$C$22)</f>
        <v>Os resultados da análise química apresentaram uma retenção do produto inferior ao padrão mínimo exigido pela norma ABNT NBR 16143</v>
      </c>
    </row>
    <row r="303" spans="2:70" x14ac:dyDescent="0.25">
      <c r="B303" s="8" t="s">
        <v>790</v>
      </c>
      <c r="C303" s="8" t="s">
        <v>71</v>
      </c>
      <c r="F303" s="11">
        <v>45896</v>
      </c>
      <c r="G303" s="11">
        <v>45901</v>
      </c>
      <c r="H303" s="11">
        <v>45919</v>
      </c>
      <c r="I303" s="8" t="s">
        <v>696</v>
      </c>
      <c r="J303" s="8" t="s">
        <v>697</v>
      </c>
      <c r="K303" s="8" t="s">
        <v>202</v>
      </c>
      <c r="L303" s="8" t="s">
        <v>15</v>
      </c>
      <c r="N303" s="8" t="s">
        <v>75</v>
      </c>
      <c r="O303" s="8" t="s">
        <v>104</v>
      </c>
      <c r="P303" s="28" t="s">
        <v>146</v>
      </c>
      <c r="Q303" s="16" t="s">
        <v>791</v>
      </c>
      <c r="X303" s="8" t="s">
        <v>101</v>
      </c>
      <c r="Y303" s="34">
        <f>IF(X303='Listas suspensas'!$A$21,'Listas suspensas'!$B$23,IF(X303='Listas suspensas'!$A$22,'Listas suspensas'!$B$23,IF(X303='Listas suspensas'!$A$23,'Listas suspensas'!$B$22,IF(X303='Listas suspensas'!$A$26,'Listas suspensas'!$B$22,IF(X303='Listas suspensas'!$A$32,'Listas suspensas'!$B$22,IF(X303='Listas suspensas'!$A$33,'Listas suspensas'!$B$21,IF(X303='Listas suspensas'!$A$24,'Listas suspensas'!$B$22,IF(X303='Listas suspensas'!$A$30,'Listas suspensas'!$B$21,""))))))))</f>
        <v>6.5</v>
      </c>
      <c r="Z303" s="8" t="s">
        <v>80</v>
      </c>
      <c r="AA303" s="8">
        <v>2</v>
      </c>
      <c r="AB303" s="8" t="str">
        <f>IF(AA303='Listas suspensas'!$A$2,'Listas suspensas'!$B$2,IF(AA303='Listas suspensas'!$A$3,'Listas suspensas'!$B$3,IF(AA303='Listas suspensas'!$A$4,'Listas suspensas'!$B$4,IF(AA303='Listas suspensas'!$A$5,'Listas suspensas'!$B$5,IF(AA303='Listas suspensas'!$A$6,'Listas suspensas'!$B$6,"")))))</f>
        <v>Profunda e irregular</v>
      </c>
      <c r="AC303" s="8" t="str">
        <f>IF(AA303='Listas suspensas'!$A$2,'Listas suspensas'!$C$2,IF(AA303='Listas suspensas'!$A$3,'Listas suspensas'!$C$3,IF(AA303='Listas suspensas'!$A$4,'Listas suspensas'!$C$4,IF(AA303='Listas suspensas'!$A$5,'Listas suspensas'!$C$5,IF(AA303='Listas suspensas'!$A$6,'Listas suspensas'!$C$6,"")))))</f>
        <v>Indica a penetração profunda, mas desuniforme em toda a extensão do alburno.</v>
      </c>
      <c r="BD303" s="13">
        <v>0.442</v>
      </c>
      <c r="BE303" s="18">
        <f t="shared" si="60"/>
        <v>442</v>
      </c>
      <c r="BF303" s="8">
        <v>0.81899999999999995</v>
      </c>
      <c r="BG303" s="8">
        <v>0.23699999999999999</v>
      </c>
      <c r="BH303" s="8">
        <v>0.40300000000000002</v>
      </c>
      <c r="BI303" s="13">
        <f t="shared" si="61"/>
        <v>1.4590000000000001</v>
      </c>
      <c r="BJ303" s="14">
        <v>56.1</v>
      </c>
      <c r="BK303" s="14">
        <v>16.2</v>
      </c>
      <c r="BL303" s="14">
        <v>27.7</v>
      </c>
      <c r="BM303" s="16">
        <f t="shared" si="62"/>
        <v>100</v>
      </c>
      <c r="BN303" s="21">
        <f t="shared" si="63"/>
        <v>3.62</v>
      </c>
      <c r="BO303" s="21">
        <f t="shared" si="64"/>
        <v>1.05</v>
      </c>
      <c r="BP303" s="21">
        <f t="shared" si="65"/>
        <v>1.78</v>
      </c>
      <c r="BQ303" s="14">
        <f t="shared" si="66"/>
        <v>6.45</v>
      </c>
      <c r="BR303" s="22" t="str">
        <f>IF(OR(AND(X303="Mourões", BQ303&gt;=6.5),AND(X303="Postes", BQ303&gt;=9.6),AND(X303="Dormentes", BQ303&gt;=9.6),AND(X303="Estacas", BQ303&gt;=6.5),AND(X303="Cruzetas", BQ303&gt;=6.5),AND(X303="Outros - Solo", BQ303&gt;=6.5),AND(X303="Outros - Suspenso",BQ303&gt;=4),AND(X303="Deck",BQ303&gt;=4)),'Listas suspensas'!$C$21,'Listas suspensas'!$C$22)</f>
        <v>Os resultados da análise química apresentaram uma retenção do produto inferior ao padrão mínimo exigido pela norma ABNT NBR 16143</v>
      </c>
    </row>
    <row r="304" spans="2:70" x14ac:dyDescent="0.25">
      <c r="B304" s="8" t="s">
        <v>792</v>
      </c>
      <c r="C304" s="8" t="s">
        <v>71</v>
      </c>
      <c r="F304" s="11">
        <v>45896</v>
      </c>
      <c r="G304" s="11">
        <v>45901</v>
      </c>
      <c r="H304" s="11">
        <v>45919</v>
      </c>
      <c r="I304" s="8" t="s">
        <v>696</v>
      </c>
      <c r="J304" s="8" t="s">
        <v>697</v>
      </c>
      <c r="K304" s="8" t="s">
        <v>202</v>
      </c>
      <c r="L304" s="8" t="s">
        <v>15</v>
      </c>
      <c r="N304" s="8" t="s">
        <v>75</v>
      </c>
      <c r="O304" s="8" t="s">
        <v>104</v>
      </c>
      <c r="P304" s="28" t="s">
        <v>146</v>
      </c>
      <c r="Q304" s="16" t="s">
        <v>793</v>
      </c>
      <c r="X304" s="8" t="s">
        <v>101</v>
      </c>
      <c r="Y304" s="34">
        <f>IF(X304='Listas suspensas'!$A$21,'Listas suspensas'!$B$23,IF(X304='Listas suspensas'!$A$22,'Listas suspensas'!$B$23,IF(X304='Listas suspensas'!$A$23,'Listas suspensas'!$B$22,IF(X304='Listas suspensas'!$A$26,'Listas suspensas'!$B$22,IF(X304='Listas suspensas'!$A$32,'Listas suspensas'!$B$22,IF(X304='Listas suspensas'!$A$33,'Listas suspensas'!$B$21,IF(X304='Listas suspensas'!$A$24,'Listas suspensas'!$B$22,IF(X304='Listas suspensas'!$A$30,'Listas suspensas'!$B$21,""))))))))</f>
        <v>6.5</v>
      </c>
      <c r="Z304" s="8" t="s">
        <v>80</v>
      </c>
      <c r="AA304" s="8">
        <v>1</v>
      </c>
      <c r="AB304" s="8" t="str">
        <f>IF(AA304='Listas suspensas'!$A$2,'Listas suspensas'!$B$2,IF(AA304='Listas suspensas'!$A$3,'Listas suspensas'!$B$3,IF(AA304='Listas suspensas'!$A$4,'Listas suspensas'!$B$4,IF(AA304='Listas suspensas'!$A$5,'Listas suspensas'!$B$5,IF(AA304='Listas suspensas'!$A$6,'Listas suspensas'!$B$6,"")))))</f>
        <v>Profunda e regular</v>
      </c>
      <c r="AC304" s="8" t="str">
        <f>IF(AA304='Listas suspensas'!$A$2,'Listas suspensas'!$C$2,IF(AA304='Listas suspensas'!$A$3,'Listas suspensas'!$C$3,IF(AA304='Listas suspensas'!$A$4,'Listas suspensas'!$C$4,IF(AA304='Listas suspensas'!$A$5,'Listas suspensas'!$C$5,IF(AA304='Listas suspensas'!$A$6,'Listas suspensas'!$C$6,"")))))</f>
        <v>Indica a penetração profunda e uniforme em toda a extensão do alburno.</v>
      </c>
      <c r="BD304" s="13">
        <v>0.38700000000000001</v>
      </c>
      <c r="BE304" s="18">
        <f t="shared" si="60"/>
        <v>387</v>
      </c>
      <c r="BF304" s="8">
        <v>0.98399999999999999</v>
      </c>
      <c r="BG304" s="8">
        <v>0.314</v>
      </c>
      <c r="BH304" s="8">
        <v>0.60199999999999998</v>
      </c>
      <c r="BI304" s="13">
        <f t="shared" si="61"/>
        <v>1.9</v>
      </c>
      <c r="BJ304" s="14">
        <v>51.8</v>
      </c>
      <c r="BK304" s="14">
        <v>16.5</v>
      </c>
      <c r="BL304" s="14">
        <v>31.7</v>
      </c>
      <c r="BM304" s="16">
        <f t="shared" si="62"/>
        <v>100</v>
      </c>
      <c r="BN304" s="21">
        <f t="shared" si="63"/>
        <v>3.81</v>
      </c>
      <c r="BO304" s="21">
        <f t="shared" si="64"/>
        <v>1.22</v>
      </c>
      <c r="BP304" s="21">
        <f t="shared" si="65"/>
        <v>2.33</v>
      </c>
      <c r="BQ304" s="14">
        <f t="shared" si="66"/>
        <v>7.36</v>
      </c>
      <c r="BR304" s="22" t="str">
        <f>IF(OR(AND(X304="Mourões", BQ304&gt;=6.5),AND(X304="Postes", BQ304&gt;=9.6),AND(X304="Dormentes", BQ304&gt;=9.6),AND(X304="Estacas", BQ304&gt;=6.5),AND(X304="Cruzetas", BQ304&gt;=6.5),AND(X304="Outros - Solo", BQ304&gt;=6.5),AND(X304="Outros - Suspenso",BQ304&gt;=4),AND(X304="Deck",BQ304&gt;=4)),'Listas suspensas'!$C$21,'Listas suspensas'!$C$22)</f>
        <v>Os resultados da análise química apresentaram uma retenção do produto de acordo com o padrão mínimo exigido pela norma ABNT NBR 16143</v>
      </c>
    </row>
    <row r="305" spans="2:70" x14ac:dyDescent="0.25">
      <c r="B305" s="8" t="s">
        <v>794</v>
      </c>
      <c r="C305" s="8" t="s">
        <v>71</v>
      </c>
      <c r="F305" s="11">
        <v>45896</v>
      </c>
      <c r="G305" s="11">
        <v>45901</v>
      </c>
      <c r="H305" s="11">
        <v>45919</v>
      </c>
      <c r="I305" s="8" t="s">
        <v>696</v>
      </c>
      <c r="J305" s="8" t="s">
        <v>697</v>
      </c>
      <c r="K305" s="8" t="s">
        <v>202</v>
      </c>
      <c r="L305" s="8" t="s">
        <v>15</v>
      </c>
      <c r="N305" s="8" t="s">
        <v>75</v>
      </c>
      <c r="O305" s="8" t="s">
        <v>104</v>
      </c>
      <c r="P305" s="28" t="s">
        <v>146</v>
      </c>
      <c r="Q305" s="16" t="s">
        <v>795</v>
      </c>
      <c r="X305" s="8" t="s">
        <v>101</v>
      </c>
      <c r="Y305" s="34">
        <f>IF(X305='Listas suspensas'!$A$21,'Listas suspensas'!$B$23,IF(X305='Listas suspensas'!$A$22,'Listas suspensas'!$B$23,IF(X305='Listas suspensas'!$A$23,'Listas suspensas'!$B$22,IF(X305='Listas suspensas'!$A$26,'Listas suspensas'!$B$22,IF(X305='Listas suspensas'!$A$32,'Listas suspensas'!$B$22,IF(X305='Listas suspensas'!$A$33,'Listas suspensas'!$B$21,IF(X305='Listas suspensas'!$A$24,'Listas suspensas'!$B$22,IF(X305='Listas suspensas'!$A$30,'Listas suspensas'!$B$21,""))))))))</f>
        <v>6.5</v>
      </c>
      <c r="Z305" s="8" t="s">
        <v>80</v>
      </c>
      <c r="AA305" s="8">
        <v>2</v>
      </c>
      <c r="AB305" s="8" t="str">
        <f>IF(AA305='Listas suspensas'!$A$2,'Listas suspensas'!$B$2,IF(AA305='Listas suspensas'!$A$3,'Listas suspensas'!$B$3,IF(AA305='Listas suspensas'!$A$4,'Listas suspensas'!$B$4,IF(AA305='Listas suspensas'!$A$5,'Listas suspensas'!$B$5,IF(AA305='Listas suspensas'!$A$6,'Listas suspensas'!$B$6,"")))))</f>
        <v>Profunda e irregular</v>
      </c>
      <c r="AC305" s="8" t="str">
        <f>IF(AA305='Listas suspensas'!$A$2,'Listas suspensas'!$C$2,IF(AA305='Listas suspensas'!$A$3,'Listas suspensas'!$C$3,IF(AA305='Listas suspensas'!$A$4,'Listas suspensas'!$C$4,IF(AA305='Listas suspensas'!$A$5,'Listas suspensas'!$C$5,IF(AA305='Listas suspensas'!$A$6,'Listas suspensas'!$C$6,"")))))</f>
        <v>Indica a penetração profunda, mas desuniforme em toda a extensão do alburno.</v>
      </c>
      <c r="BD305" s="13">
        <v>0.40500000000000003</v>
      </c>
      <c r="BE305" s="18">
        <f t="shared" si="60"/>
        <v>405</v>
      </c>
      <c r="BF305" s="8">
        <v>0.88400000000000001</v>
      </c>
      <c r="BG305" s="8">
        <v>0.25900000000000001</v>
      </c>
      <c r="BH305" s="8">
        <v>0.44700000000000001</v>
      </c>
      <c r="BI305" s="13">
        <f t="shared" si="61"/>
        <v>1.59</v>
      </c>
      <c r="BJ305" s="14">
        <v>55.6</v>
      </c>
      <c r="BK305" s="14">
        <v>16.3</v>
      </c>
      <c r="BL305" s="14">
        <v>28.1</v>
      </c>
      <c r="BM305" s="16">
        <f t="shared" si="62"/>
        <v>100</v>
      </c>
      <c r="BN305" s="21">
        <f t="shared" si="63"/>
        <v>3.58</v>
      </c>
      <c r="BO305" s="21">
        <f t="shared" si="64"/>
        <v>1.05</v>
      </c>
      <c r="BP305" s="21">
        <f t="shared" si="65"/>
        <v>1.81</v>
      </c>
      <c r="BQ305" s="14">
        <f t="shared" si="66"/>
        <v>6.44</v>
      </c>
      <c r="BR305" s="22" t="str">
        <f>IF(OR(AND(X305="Mourões", BQ305&gt;=6.5),AND(X305="Postes", BQ305&gt;=9.6),AND(X305="Dormentes", BQ305&gt;=9.6),AND(X305="Estacas", BQ305&gt;=6.5),AND(X305="Cruzetas", BQ305&gt;=6.5),AND(X305="Outros - Solo", BQ305&gt;=6.5),AND(X305="Outros - Suspenso",BQ305&gt;=4),AND(X305="Deck",BQ305&gt;=4)),'Listas suspensas'!$C$21,'Listas suspensas'!$C$22)</f>
        <v>Os resultados da análise química apresentaram uma retenção do produto inferior ao padrão mínimo exigido pela norma ABNT NBR 16143</v>
      </c>
    </row>
    <row r="306" spans="2:70" x14ac:dyDescent="0.25">
      <c r="B306" s="8" t="s">
        <v>796</v>
      </c>
      <c r="C306" s="8" t="s">
        <v>71</v>
      </c>
      <c r="F306" s="11">
        <v>45896</v>
      </c>
      <c r="G306" s="11">
        <v>45901</v>
      </c>
      <c r="H306" s="11">
        <v>45919</v>
      </c>
      <c r="I306" s="8" t="s">
        <v>696</v>
      </c>
      <c r="J306" s="8" t="s">
        <v>697</v>
      </c>
      <c r="K306" s="8" t="s">
        <v>202</v>
      </c>
      <c r="L306" s="8" t="s">
        <v>15</v>
      </c>
      <c r="N306" s="8" t="s">
        <v>75</v>
      </c>
      <c r="O306" s="8" t="s">
        <v>104</v>
      </c>
      <c r="P306" s="28" t="s">
        <v>146</v>
      </c>
      <c r="Q306" s="16" t="s">
        <v>797</v>
      </c>
      <c r="X306" s="8" t="s">
        <v>101</v>
      </c>
      <c r="Y306" s="34">
        <f>IF(X306='Listas suspensas'!$A$21,'Listas suspensas'!$B$23,IF(X306='Listas suspensas'!$A$22,'Listas suspensas'!$B$23,IF(X306='Listas suspensas'!$A$23,'Listas suspensas'!$B$22,IF(X306='Listas suspensas'!$A$26,'Listas suspensas'!$B$22,IF(X306='Listas suspensas'!$A$32,'Listas suspensas'!$B$22,IF(X306='Listas suspensas'!$A$33,'Listas suspensas'!$B$21,IF(X306='Listas suspensas'!$A$24,'Listas suspensas'!$B$22,IF(X306='Listas suspensas'!$A$30,'Listas suspensas'!$B$21,""))))))))</f>
        <v>6.5</v>
      </c>
      <c r="Z306" s="8" t="s">
        <v>80</v>
      </c>
      <c r="AA306" s="8">
        <v>2</v>
      </c>
      <c r="AB306" s="8" t="str">
        <f>IF(AA306='Listas suspensas'!$A$2,'Listas suspensas'!$B$2,IF(AA306='Listas suspensas'!$A$3,'Listas suspensas'!$B$3,IF(AA306='Listas suspensas'!$A$4,'Listas suspensas'!$B$4,IF(AA306='Listas suspensas'!$A$5,'Listas suspensas'!$B$5,IF(AA306='Listas suspensas'!$A$6,'Listas suspensas'!$B$6,"")))))</f>
        <v>Profunda e irregular</v>
      </c>
      <c r="AC306" s="8" t="str">
        <f>IF(AA306='Listas suspensas'!$A$2,'Listas suspensas'!$C$2,IF(AA306='Listas suspensas'!$A$3,'Listas suspensas'!$C$3,IF(AA306='Listas suspensas'!$A$4,'Listas suspensas'!$C$4,IF(AA306='Listas suspensas'!$A$5,'Listas suspensas'!$C$5,IF(AA306='Listas suspensas'!$A$6,'Listas suspensas'!$C$6,"")))))</f>
        <v>Indica a penetração profunda, mas desuniforme em toda a extensão do alburno.</v>
      </c>
      <c r="BD306" s="13">
        <v>0.36399999999999999</v>
      </c>
      <c r="BE306" s="18">
        <f t="shared" si="60"/>
        <v>364</v>
      </c>
      <c r="BF306" s="8">
        <v>0.85799999999999998</v>
      </c>
      <c r="BG306" s="8">
        <v>0.26300000000000001</v>
      </c>
      <c r="BH306" s="8">
        <v>0.45800000000000002</v>
      </c>
      <c r="BI306" s="13">
        <f t="shared" si="61"/>
        <v>1.579</v>
      </c>
      <c r="BJ306" s="14">
        <v>54.4</v>
      </c>
      <c r="BK306" s="14">
        <v>16.7</v>
      </c>
      <c r="BL306" s="14">
        <v>28.9</v>
      </c>
      <c r="BM306" s="16">
        <f t="shared" si="62"/>
        <v>100</v>
      </c>
      <c r="BN306" s="21">
        <f t="shared" si="63"/>
        <v>3.12</v>
      </c>
      <c r="BO306" s="21">
        <f t="shared" si="64"/>
        <v>0.96</v>
      </c>
      <c r="BP306" s="21">
        <f t="shared" si="65"/>
        <v>1.67</v>
      </c>
      <c r="BQ306" s="14">
        <f t="shared" si="66"/>
        <v>5.75</v>
      </c>
      <c r="BR306" s="22" t="str">
        <f>IF(OR(AND(X306="Mourões", BQ306&gt;=6.5),AND(X306="Postes", BQ306&gt;=9.6),AND(X306="Dormentes", BQ306&gt;=9.6),AND(X306="Estacas", BQ306&gt;=6.5),AND(X306="Cruzetas", BQ306&gt;=6.5),AND(X306="Outros - Solo", BQ306&gt;=6.5),AND(X306="Outros - Suspenso",BQ306&gt;=4),AND(X306="Deck",BQ306&gt;=4)),'Listas suspensas'!$C$21,'Listas suspensas'!$C$22)</f>
        <v>Os resultados da análise química apresentaram uma retenção do produto inferior ao padrão mínimo exigido pela norma ABNT NBR 16143</v>
      </c>
    </row>
    <row r="307" spans="2:70" x14ac:dyDescent="0.25">
      <c r="B307" s="8" t="s">
        <v>798</v>
      </c>
      <c r="C307" s="8" t="s">
        <v>71</v>
      </c>
      <c r="F307" s="11">
        <v>45896</v>
      </c>
      <c r="G307" s="11">
        <v>45901</v>
      </c>
      <c r="H307" s="11">
        <v>45919</v>
      </c>
      <c r="I307" s="8" t="s">
        <v>696</v>
      </c>
      <c r="J307" s="8" t="s">
        <v>697</v>
      </c>
      <c r="K307" s="8" t="s">
        <v>202</v>
      </c>
      <c r="L307" s="8" t="s">
        <v>15</v>
      </c>
      <c r="N307" s="8" t="s">
        <v>75</v>
      </c>
      <c r="O307" s="8" t="s">
        <v>104</v>
      </c>
      <c r="P307" s="28" t="s">
        <v>146</v>
      </c>
      <c r="Q307" s="16" t="s">
        <v>799</v>
      </c>
      <c r="X307" s="8" t="s">
        <v>101</v>
      </c>
      <c r="Y307" s="34">
        <f>IF(X307='Listas suspensas'!$A$21,'Listas suspensas'!$B$23,IF(X307='Listas suspensas'!$A$22,'Listas suspensas'!$B$23,IF(X307='Listas suspensas'!$A$23,'Listas suspensas'!$B$22,IF(X307='Listas suspensas'!$A$26,'Listas suspensas'!$B$22,IF(X307='Listas suspensas'!$A$32,'Listas suspensas'!$B$22,IF(X307='Listas suspensas'!$A$33,'Listas suspensas'!$B$21,IF(X307='Listas suspensas'!$A$24,'Listas suspensas'!$B$22,IF(X307='Listas suspensas'!$A$30,'Listas suspensas'!$B$21,""))))))))</f>
        <v>6.5</v>
      </c>
      <c r="Z307" s="8" t="s">
        <v>80</v>
      </c>
      <c r="AA307" s="8">
        <v>2</v>
      </c>
      <c r="AB307" s="8" t="str">
        <f>IF(AA307='Listas suspensas'!$A$2,'Listas suspensas'!$B$2,IF(AA307='Listas suspensas'!$A$3,'Listas suspensas'!$B$3,IF(AA307='Listas suspensas'!$A$4,'Listas suspensas'!$B$4,IF(AA307='Listas suspensas'!$A$5,'Listas suspensas'!$B$5,IF(AA307='Listas suspensas'!$A$6,'Listas suspensas'!$B$6,"")))))</f>
        <v>Profunda e irregular</v>
      </c>
      <c r="AC307" s="8" t="str">
        <f>IF(AA307='Listas suspensas'!$A$2,'Listas suspensas'!$C$2,IF(AA307='Listas suspensas'!$A$3,'Listas suspensas'!$C$3,IF(AA307='Listas suspensas'!$A$4,'Listas suspensas'!$C$4,IF(AA307='Listas suspensas'!$A$5,'Listas suspensas'!$C$5,IF(AA307='Listas suspensas'!$A$6,'Listas suspensas'!$C$6,"")))))</f>
        <v>Indica a penetração profunda, mas desuniforme em toda a extensão do alburno.</v>
      </c>
      <c r="BD307" s="13">
        <v>0.378</v>
      </c>
      <c r="BE307" s="18">
        <f t="shared" si="60"/>
        <v>378</v>
      </c>
      <c r="BF307" s="8">
        <v>0.84099999999999997</v>
      </c>
      <c r="BG307" s="8">
        <v>0.28100000000000003</v>
      </c>
      <c r="BH307" s="8">
        <v>0.51400000000000001</v>
      </c>
      <c r="BI307" s="13">
        <f t="shared" si="61"/>
        <v>1.6359999999999999</v>
      </c>
      <c r="BJ307" s="14">
        <v>51.4</v>
      </c>
      <c r="BK307" s="14">
        <v>17.2</v>
      </c>
      <c r="BL307" s="14">
        <v>31.4</v>
      </c>
      <c r="BM307" s="16">
        <f t="shared" si="62"/>
        <v>100</v>
      </c>
      <c r="BN307" s="21">
        <f t="shared" si="63"/>
        <v>3.18</v>
      </c>
      <c r="BO307" s="21">
        <f t="shared" si="64"/>
        <v>1.06</v>
      </c>
      <c r="BP307" s="21">
        <f t="shared" si="65"/>
        <v>1.94</v>
      </c>
      <c r="BQ307" s="14">
        <f t="shared" si="66"/>
        <v>6.18</v>
      </c>
      <c r="BR307" s="22" t="str">
        <f>IF(OR(AND(X307="Mourões", BQ307&gt;=6.5),AND(X307="Postes", BQ307&gt;=9.6),AND(X307="Dormentes", BQ307&gt;=9.6),AND(X307="Estacas", BQ307&gt;=6.5),AND(X307="Cruzetas", BQ307&gt;=6.5),AND(X307="Outros - Solo", BQ307&gt;=6.5),AND(X307="Outros - Suspenso",BQ307&gt;=4),AND(X307="Deck",BQ307&gt;=4)),'Listas suspensas'!$C$21,'Listas suspensas'!$C$22)</f>
        <v>Os resultados da análise química apresentaram uma retenção do produto inferior ao padrão mínimo exigido pela norma ABNT NBR 16143</v>
      </c>
    </row>
    <row r="308" spans="2:70" x14ac:dyDescent="0.25">
      <c r="B308" s="8" t="s">
        <v>800</v>
      </c>
      <c r="C308" s="8" t="s">
        <v>71</v>
      </c>
      <c r="F308" s="11">
        <v>45896</v>
      </c>
      <c r="G308" s="11">
        <v>45901</v>
      </c>
      <c r="H308" s="11">
        <v>45919</v>
      </c>
      <c r="I308" s="8" t="s">
        <v>696</v>
      </c>
      <c r="J308" s="8" t="s">
        <v>697</v>
      </c>
      <c r="K308" s="8" t="s">
        <v>202</v>
      </c>
      <c r="L308" s="8" t="s">
        <v>15</v>
      </c>
      <c r="N308" s="8" t="s">
        <v>75</v>
      </c>
      <c r="O308" s="8" t="s">
        <v>104</v>
      </c>
      <c r="P308" s="28" t="s">
        <v>146</v>
      </c>
      <c r="Q308" s="16" t="s">
        <v>801</v>
      </c>
      <c r="X308" s="8" t="s">
        <v>101</v>
      </c>
      <c r="Y308" s="34">
        <f>IF(X308='Listas suspensas'!$A$21,'Listas suspensas'!$B$23,IF(X308='Listas suspensas'!$A$22,'Listas suspensas'!$B$23,IF(X308='Listas suspensas'!$A$23,'Listas suspensas'!$B$22,IF(X308='Listas suspensas'!$A$26,'Listas suspensas'!$B$22,IF(X308='Listas suspensas'!$A$32,'Listas suspensas'!$B$22,IF(X308='Listas suspensas'!$A$33,'Listas suspensas'!$B$21,IF(X308='Listas suspensas'!$A$24,'Listas suspensas'!$B$22,IF(X308='Listas suspensas'!$A$30,'Listas suspensas'!$B$21,""))))))))</f>
        <v>6.5</v>
      </c>
      <c r="Z308" s="8" t="s">
        <v>80</v>
      </c>
      <c r="AA308" s="8">
        <v>2</v>
      </c>
      <c r="AB308" s="8" t="str">
        <f>IF(AA308='Listas suspensas'!$A$2,'Listas suspensas'!$B$2,IF(AA308='Listas suspensas'!$A$3,'Listas suspensas'!$B$3,IF(AA308='Listas suspensas'!$A$4,'Listas suspensas'!$B$4,IF(AA308='Listas suspensas'!$A$5,'Listas suspensas'!$B$5,IF(AA308='Listas suspensas'!$A$6,'Listas suspensas'!$B$6,"")))))</f>
        <v>Profunda e irregular</v>
      </c>
      <c r="AC308" s="8" t="str">
        <f>IF(AA308='Listas suspensas'!$A$2,'Listas suspensas'!$C$2,IF(AA308='Listas suspensas'!$A$3,'Listas suspensas'!$C$3,IF(AA308='Listas suspensas'!$A$4,'Listas suspensas'!$C$4,IF(AA308='Listas suspensas'!$A$5,'Listas suspensas'!$C$5,IF(AA308='Listas suspensas'!$A$6,'Listas suspensas'!$C$6,"")))))</f>
        <v>Indica a penetração profunda, mas desuniforme em toda a extensão do alburno.</v>
      </c>
      <c r="BD308" s="13">
        <v>0.438</v>
      </c>
      <c r="BE308" s="18">
        <f t="shared" si="60"/>
        <v>438</v>
      </c>
      <c r="BF308" s="8">
        <v>0.89100000000000001</v>
      </c>
      <c r="BG308" s="8">
        <v>0.24399999999999999</v>
      </c>
      <c r="BH308" s="8">
        <v>0.436</v>
      </c>
      <c r="BI308" s="13">
        <f t="shared" si="61"/>
        <v>1.571</v>
      </c>
      <c r="BJ308" s="14">
        <v>56.7</v>
      </c>
      <c r="BK308" s="14">
        <v>15.5</v>
      </c>
      <c r="BL308" s="14">
        <v>27.8</v>
      </c>
      <c r="BM308" s="16">
        <f t="shared" si="62"/>
        <v>100</v>
      </c>
      <c r="BN308" s="21">
        <f t="shared" si="63"/>
        <v>3.9</v>
      </c>
      <c r="BO308" s="21">
        <f t="shared" si="64"/>
        <v>1.07</v>
      </c>
      <c r="BP308" s="21">
        <f t="shared" si="65"/>
        <v>1.91</v>
      </c>
      <c r="BQ308" s="14">
        <f t="shared" si="66"/>
        <v>6.88</v>
      </c>
      <c r="BR308" s="22" t="str">
        <f>IF(OR(AND(X308="Mourões", BQ308&gt;=6.5),AND(X308="Postes", BQ308&gt;=9.6),AND(X308="Dormentes", BQ308&gt;=9.6),AND(X308="Estacas", BQ308&gt;=6.5),AND(X308="Cruzetas", BQ308&gt;=6.5),AND(X308="Outros - Solo", BQ308&gt;=6.5),AND(X308="Outros - Suspenso",BQ308&gt;=4),AND(X308="Deck",BQ308&gt;=4)),'Listas suspensas'!$C$21,'Listas suspensas'!$C$22)</f>
        <v>Os resultados da análise química apresentaram uma retenção do produto de acordo com o padrão mínimo exigido pela norma ABNT NBR 16143</v>
      </c>
    </row>
    <row r="309" spans="2:70" x14ac:dyDescent="0.25">
      <c r="B309" s="8" t="s">
        <v>802</v>
      </c>
      <c r="C309" s="8" t="s">
        <v>71</v>
      </c>
      <c r="F309" s="11">
        <v>45896</v>
      </c>
      <c r="G309" s="11">
        <v>45901</v>
      </c>
      <c r="H309" s="11">
        <v>45919</v>
      </c>
      <c r="I309" s="8" t="s">
        <v>696</v>
      </c>
      <c r="J309" s="8" t="s">
        <v>697</v>
      </c>
      <c r="K309" s="8" t="s">
        <v>202</v>
      </c>
      <c r="L309" s="8" t="s">
        <v>15</v>
      </c>
      <c r="N309" s="8" t="s">
        <v>75</v>
      </c>
      <c r="O309" s="8" t="s">
        <v>104</v>
      </c>
      <c r="P309" s="28" t="s">
        <v>146</v>
      </c>
      <c r="Q309" s="16" t="s">
        <v>803</v>
      </c>
      <c r="X309" s="8" t="s">
        <v>101</v>
      </c>
      <c r="Y309" s="34">
        <f>IF(X309='Listas suspensas'!$A$21,'Listas suspensas'!$B$23,IF(X309='Listas suspensas'!$A$22,'Listas suspensas'!$B$23,IF(X309='Listas suspensas'!$A$23,'Listas suspensas'!$B$22,IF(X309='Listas suspensas'!$A$26,'Listas suspensas'!$B$22,IF(X309='Listas suspensas'!$A$32,'Listas suspensas'!$B$22,IF(X309='Listas suspensas'!$A$33,'Listas suspensas'!$B$21,IF(X309='Listas suspensas'!$A$24,'Listas suspensas'!$B$22,IF(X309='Listas suspensas'!$A$30,'Listas suspensas'!$B$21,""))))))))</f>
        <v>6.5</v>
      </c>
      <c r="Z309" s="8" t="s">
        <v>80</v>
      </c>
      <c r="AA309" s="8">
        <v>1</v>
      </c>
      <c r="AB309" s="8" t="str">
        <f>IF(AA309='Listas suspensas'!$A$2,'Listas suspensas'!$B$2,IF(AA309='Listas suspensas'!$A$3,'Listas suspensas'!$B$3,IF(AA309='Listas suspensas'!$A$4,'Listas suspensas'!$B$4,IF(AA309='Listas suspensas'!$A$5,'Listas suspensas'!$B$5,IF(AA309='Listas suspensas'!$A$6,'Listas suspensas'!$B$6,"")))))</f>
        <v>Profunda e regular</v>
      </c>
      <c r="AC309" s="8" t="str">
        <f>IF(AA309='Listas suspensas'!$A$2,'Listas suspensas'!$C$2,IF(AA309='Listas suspensas'!$A$3,'Listas suspensas'!$C$3,IF(AA309='Listas suspensas'!$A$4,'Listas suspensas'!$C$4,IF(AA309='Listas suspensas'!$A$5,'Listas suspensas'!$C$5,IF(AA309='Listas suspensas'!$A$6,'Listas suspensas'!$C$6,"")))))</f>
        <v>Indica a penetração profunda e uniforme em toda a extensão do alburno.</v>
      </c>
      <c r="BD309" s="13">
        <v>0.46500000000000002</v>
      </c>
      <c r="BE309" s="18">
        <f t="shared" si="60"/>
        <v>465</v>
      </c>
      <c r="BF309" s="8">
        <v>1.05</v>
      </c>
      <c r="BG309" s="8">
        <v>0.315</v>
      </c>
      <c r="BH309" s="8">
        <v>0.61499999999999999</v>
      </c>
      <c r="BI309" s="13">
        <f t="shared" si="61"/>
        <v>1.98</v>
      </c>
      <c r="BJ309" s="14">
        <v>53</v>
      </c>
      <c r="BK309" s="14">
        <v>15.9</v>
      </c>
      <c r="BL309" s="14">
        <v>31.1</v>
      </c>
      <c r="BM309" s="16">
        <f t="shared" si="62"/>
        <v>100</v>
      </c>
      <c r="BN309" s="21">
        <f t="shared" si="63"/>
        <v>4.88</v>
      </c>
      <c r="BO309" s="21">
        <f t="shared" si="64"/>
        <v>1.46</v>
      </c>
      <c r="BP309" s="21">
        <f t="shared" si="65"/>
        <v>2.86</v>
      </c>
      <c r="BQ309" s="14">
        <f t="shared" si="66"/>
        <v>9.1999999999999993</v>
      </c>
      <c r="BR309" s="22" t="str">
        <f>IF(OR(AND(X309="Mourões", BQ309&gt;=6.5),AND(X309="Postes", BQ309&gt;=9.6),AND(X309="Dormentes", BQ309&gt;=9.6),AND(X309="Estacas", BQ309&gt;=6.5),AND(X309="Cruzetas", BQ309&gt;=6.5),AND(X309="Outros - Solo", BQ309&gt;=6.5),AND(X309="Outros - Suspenso",BQ309&gt;=4),AND(X309="Deck",BQ309&gt;=4)),'Listas suspensas'!$C$21,'Listas suspensas'!$C$22)</f>
        <v>Os resultados da análise química apresentaram uma retenção do produto de acordo com o padrão mínimo exigido pela norma ABNT NBR 16143</v>
      </c>
    </row>
    <row r="310" spans="2:70" x14ac:dyDescent="0.25">
      <c r="B310" s="8" t="s">
        <v>804</v>
      </c>
      <c r="C310" s="8" t="s">
        <v>71</v>
      </c>
      <c r="F310" s="11">
        <v>45896</v>
      </c>
      <c r="G310" s="11">
        <v>45901</v>
      </c>
      <c r="H310" s="11">
        <v>45919</v>
      </c>
      <c r="I310" s="8" t="s">
        <v>805</v>
      </c>
      <c r="J310" s="8" t="s">
        <v>806</v>
      </c>
      <c r="K310" s="8" t="s">
        <v>144</v>
      </c>
      <c r="L310" s="8" t="s">
        <v>15</v>
      </c>
      <c r="N310" s="8" t="s">
        <v>75</v>
      </c>
      <c r="O310" s="8" t="s">
        <v>104</v>
      </c>
      <c r="P310" s="28" t="s">
        <v>471</v>
      </c>
      <c r="Q310" s="16" t="s">
        <v>146</v>
      </c>
      <c r="X310" s="8" t="s">
        <v>101</v>
      </c>
      <c r="Y310" s="34">
        <f>IF(X310='Listas suspensas'!$A$21,'Listas suspensas'!$B$23,IF(X310='Listas suspensas'!$A$22,'Listas suspensas'!$B$23,IF(X310='Listas suspensas'!$A$23,'Listas suspensas'!$B$22,IF(X310='Listas suspensas'!$A$26,'Listas suspensas'!$B$22,IF(X310='Listas suspensas'!$A$32,'Listas suspensas'!$B$22,IF(X310='Listas suspensas'!$A$33,'Listas suspensas'!$B$21,IF(X310='Listas suspensas'!$A$24,'Listas suspensas'!$B$22,IF(X310='Listas suspensas'!$A$30,'Listas suspensas'!$B$21,""))))))))</f>
        <v>6.5</v>
      </c>
      <c r="Z310" s="8" t="s">
        <v>80</v>
      </c>
      <c r="AA310" s="8">
        <v>2</v>
      </c>
      <c r="AB310" s="8" t="str">
        <f>IF(AA310='Listas suspensas'!$A$2,'Listas suspensas'!$B$2,IF(AA310='Listas suspensas'!$A$3,'Listas suspensas'!$B$3,IF(AA310='Listas suspensas'!$A$4,'Listas suspensas'!$B$4,IF(AA310='Listas suspensas'!$A$5,'Listas suspensas'!$B$5,IF(AA310='Listas suspensas'!$A$6,'Listas suspensas'!$B$6,"")))))</f>
        <v>Profunda e irregular</v>
      </c>
      <c r="AC310" s="8" t="str">
        <f>IF(AA310='Listas suspensas'!$A$2,'Listas suspensas'!$C$2,IF(AA310='Listas suspensas'!$A$3,'Listas suspensas'!$C$3,IF(AA310='Listas suspensas'!$A$4,'Listas suspensas'!$C$4,IF(AA310='Listas suspensas'!$A$5,'Listas suspensas'!$C$5,IF(AA310='Listas suspensas'!$A$6,'Listas suspensas'!$C$6,"")))))</f>
        <v>Indica a penetração profunda, mas desuniforme em toda a extensão do alburno.</v>
      </c>
      <c r="BD310" s="13">
        <v>0.53400000000000003</v>
      </c>
      <c r="BE310" s="18">
        <f t="shared" si="60"/>
        <v>534</v>
      </c>
      <c r="BF310" s="8">
        <v>0.34100000000000003</v>
      </c>
      <c r="BG310" s="8">
        <v>0.13900000000000001</v>
      </c>
      <c r="BH310" s="8">
        <v>0.19700000000000001</v>
      </c>
      <c r="BI310" s="13">
        <f t="shared" si="61"/>
        <v>0.67700000000000005</v>
      </c>
      <c r="BJ310" s="14">
        <v>50.4</v>
      </c>
      <c r="BK310" s="14">
        <v>20.5</v>
      </c>
      <c r="BL310" s="14">
        <v>29.1</v>
      </c>
      <c r="BM310" s="16">
        <f t="shared" si="62"/>
        <v>100</v>
      </c>
      <c r="BN310" s="21">
        <f t="shared" si="63"/>
        <v>1.82</v>
      </c>
      <c r="BO310" s="21">
        <f t="shared" si="64"/>
        <v>0.74</v>
      </c>
      <c r="BP310" s="21">
        <f t="shared" si="65"/>
        <v>1.05</v>
      </c>
      <c r="BQ310" s="14">
        <f t="shared" si="66"/>
        <v>3.61</v>
      </c>
      <c r="BR310" s="22" t="str">
        <f>IF(OR(AND(X310="Mourões", BQ310&gt;=6.5),AND(X310="Postes", BQ310&gt;=9.6),AND(X310="Dormentes", BQ310&gt;=9.6),AND(X310="Estacas", BQ310&gt;=6.5),AND(X310="Cruzetas", BQ310&gt;=6.5),AND(X310="Outros - Solo", BQ310&gt;=6.5),AND(X310="Outros - Suspenso",BQ310&gt;=4),AND(X310="Deck",BQ310&gt;=4)),'Listas suspensas'!$C$21,'Listas suspensas'!$C$22)</f>
        <v>Os resultados da análise química apresentaram uma retenção do produto inferior ao padrão mínimo exigido pela norma ABNT NBR 16143</v>
      </c>
    </row>
    <row r="311" spans="2:70" x14ac:dyDescent="0.25">
      <c r="B311" s="8" t="s">
        <v>807</v>
      </c>
      <c r="C311" s="8" t="s">
        <v>71</v>
      </c>
      <c r="F311" s="11">
        <v>45896</v>
      </c>
      <c r="G311" s="11">
        <v>45901</v>
      </c>
      <c r="H311" s="11">
        <v>45911</v>
      </c>
      <c r="I311" s="8" t="s">
        <v>808</v>
      </c>
      <c r="J311" s="8" t="s">
        <v>809</v>
      </c>
      <c r="K311" s="8" t="s">
        <v>144</v>
      </c>
      <c r="L311" s="8" t="s">
        <v>15</v>
      </c>
      <c r="N311" s="8" t="s">
        <v>75</v>
      </c>
      <c r="O311" s="8" t="s">
        <v>94</v>
      </c>
      <c r="P311" s="28" t="s">
        <v>77</v>
      </c>
      <c r="Q311" s="16" t="s">
        <v>146</v>
      </c>
      <c r="X311" s="8" t="s">
        <v>101</v>
      </c>
      <c r="Y311" s="34">
        <f>IF(X311='Listas suspensas'!$A$21,'Listas suspensas'!$B$23,IF(X311='Listas suspensas'!$A$22,'Listas suspensas'!$B$23,IF(X311='Listas suspensas'!$A$23,'Listas suspensas'!$B$22,IF(X311='Listas suspensas'!$A$26,'Listas suspensas'!$B$22,IF(X311='Listas suspensas'!$A$32,'Listas suspensas'!$B$22,IF(X311='Listas suspensas'!$A$33,'Listas suspensas'!$B$21,IF(X311='Listas suspensas'!$A$24,'Listas suspensas'!$B$22,IF(X311='Listas suspensas'!$A$30,'Listas suspensas'!$B$21,""))))))))</f>
        <v>6.5</v>
      </c>
      <c r="Z311" s="8" t="s">
        <v>80</v>
      </c>
      <c r="AA311" s="8">
        <v>2</v>
      </c>
      <c r="AB311" s="8" t="str">
        <f>IF(AA311='Listas suspensas'!$A$2,'Listas suspensas'!$B$2,IF(AA311='Listas suspensas'!$A$3,'Listas suspensas'!$B$3,IF(AA311='Listas suspensas'!$A$4,'Listas suspensas'!$B$4,IF(AA311='Listas suspensas'!$A$5,'Listas suspensas'!$B$5,IF(AA311='Listas suspensas'!$A$6,'Listas suspensas'!$B$6,"")))))</f>
        <v>Profunda e irregular</v>
      </c>
      <c r="AC311" s="8" t="str">
        <f>IF(AA311='Listas suspensas'!$A$2,'Listas suspensas'!$C$2,IF(AA311='Listas suspensas'!$A$3,'Listas suspensas'!$C$3,IF(AA311='Listas suspensas'!$A$4,'Listas suspensas'!$C$4,IF(AA311='Listas suspensas'!$A$5,'Listas suspensas'!$C$5,IF(AA311='Listas suspensas'!$A$6,'Listas suspensas'!$C$6,"")))))</f>
        <v>Indica a penetração profunda, mas desuniforme em toda a extensão do alburno.</v>
      </c>
      <c r="BD311" s="13">
        <v>0.60199999999999998</v>
      </c>
      <c r="BE311" s="18">
        <f t="shared" si="60"/>
        <v>602</v>
      </c>
      <c r="BF311" s="8">
        <v>0.71899999999999997</v>
      </c>
      <c r="BG311" s="8">
        <v>0.27</v>
      </c>
      <c r="BH311" s="8">
        <v>0.504</v>
      </c>
      <c r="BI311" s="13">
        <f t="shared" si="61"/>
        <v>1.4929999999999999</v>
      </c>
      <c r="BJ311" s="14">
        <v>48.2</v>
      </c>
      <c r="BK311" s="14">
        <v>18.100000000000001</v>
      </c>
      <c r="BL311" s="14">
        <v>33.700000000000003</v>
      </c>
      <c r="BM311" s="16">
        <f t="shared" si="62"/>
        <v>100</v>
      </c>
      <c r="BN311" s="21">
        <f t="shared" si="63"/>
        <v>4.33</v>
      </c>
      <c r="BO311" s="21">
        <f t="shared" si="64"/>
        <v>1.63</v>
      </c>
      <c r="BP311" s="21">
        <f t="shared" si="65"/>
        <v>3.03</v>
      </c>
      <c r="BQ311" s="14">
        <f t="shared" si="66"/>
        <v>8.99</v>
      </c>
      <c r="BR311" s="22" t="str">
        <f>IF(OR(AND(X311="Mourões", BQ311&gt;=6.5),AND(X311="Postes", BQ311&gt;=9.6),AND(X311="Dormentes", BQ311&gt;=9.6),AND(X311="Estacas", BQ311&gt;=6.5),AND(X311="Cruzetas", BQ311&gt;=6.5),AND(X311="Outros - Solo", BQ311&gt;=6.5),AND(X311="Outros - Suspenso",BQ311&gt;=4),AND(X311="Deck",BQ311&gt;=4)),'Listas suspensas'!$C$21,'Listas suspensas'!$C$22)</f>
        <v>Os resultados da análise química apresentaram uma retenção do produto de acordo com o padrão mínimo exigido pela norma ABNT NBR 16143</v>
      </c>
    </row>
    <row r="312" spans="2:70" x14ac:dyDescent="0.25">
      <c r="B312" s="8" t="s">
        <v>810</v>
      </c>
      <c r="C312" s="8" t="s">
        <v>71</v>
      </c>
      <c r="F312" s="11">
        <v>45896</v>
      </c>
      <c r="G312" s="11">
        <v>45901</v>
      </c>
      <c r="H312" s="11">
        <v>45911</v>
      </c>
      <c r="I312" s="8" t="s">
        <v>811</v>
      </c>
      <c r="J312" s="8" t="s">
        <v>812</v>
      </c>
      <c r="K312" s="8" t="s">
        <v>144</v>
      </c>
      <c r="L312" s="8" t="s">
        <v>15</v>
      </c>
      <c r="N312" s="8" t="s">
        <v>75</v>
      </c>
      <c r="O312" s="8" t="s">
        <v>76</v>
      </c>
      <c r="P312" s="28" t="s">
        <v>77</v>
      </c>
      <c r="Q312" s="16" t="s">
        <v>620</v>
      </c>
      <c r="X312" s="8" t="s">
        <v>79</v>
      </c>
      <c r="Y312" s="34">
        <f>IF(X312='Listas suspensas'!$A$21,'Listas suspensas'!$B$23,IF(X312='Listas suspensas'!$A$22,'Listas suspensas'!$B$23,IF(X312='Listas suspensas'!$A$23,'Listas suspensas'!$B$22,IF(X312='Listas suspensas'!$A$26,'Listas suspensas'!$B$22,IF(X312='Listas suspensas'!$A$32,'Listas suspensas'!$B$22,IF(X312='Listas suspensas'!$A$33,'Listas suspensas'!$B$21,IF(X312='Listas suspensas'!$A$24,'Listas suspensas'!$B$22,IF(X312='Listas suspensas'!$A$30,'Listas suspensas'!$B$21,""))))))))</f>
        <v>6.5</v>
      </c>
      <c r="Z312" s="8" t="s">
        <v>80</v>
      </c>
      <c r="AA312" s="8">
        <v>3</v>
      </c>
      <c r="AB312" s="8" t="str">
        <f>IF(AA312='Listas suspensas'!$A$2,'Listas suspensas'!$B$2,IF(AA312='Listas suspensas'!$A$3,'Listas suspensas'!$B$3,IF(AA312='Listas suspensas'!$A$4,'Listas suspensas'!$B$4,IF(AA312='Listas suspensas'!$A$5,'Listas suspensas'!$B$5,IF(AA312='Listas suspensas'!$A$6,'Listas suspensas'!$B$6,"")))))</f>
        <v xml:space="preserve"> Parcial e regular</v>
      </c>
      <c r="AC312" s="8" t="str">
        <f>IF(AA312='Listas suspensas'!$A$2,'Listas suspensas'!$C$2,IF(AA312='Listas suspensas'!$A$3,'Listas suspensas'!$C$3,IF(AA312='Listas suspensas'!$A$4,'Listas suspensas'!$C$4,IF(AA312='Listas suspensas'!$A$5,'Listas suspensas'!$C$5,IF(AA312='Listas suspensas'!$A$6,'Listas suspensas'!$C$6,"")))))</f>
        <v>Indica a penetração uniforme, mas não total pela extensão do alburno.</v>
      </c>
      <c r="BD312" s="13">
        <v>0.67800000000000005</v>
      </c>
      <c r="BE312" s="18">
        <f t="shared" si="60"/>
        <v>678</v>
      </c>
      <c r="BF312" s="8">
        <v>0.41099999999999998</v>
      </c>
      <c r="BG312" s="8">
        <v>0.15</v>
      </c>
      <c r="BH312" s="8">
        <v>0.27100000000000002</v>
      </c>
      <c r="BI312" s="13">
        <f t="shared" si="61"/>
        <v>0.83199999999999996</v>
      </c>
      <c r="BJ312" s="14">
        <v>49.4</v>
      </c>
      <c r="BK312" s="14">
        <v>18</v>
      </c>
      <c r="BL312" s="14">
        <v>32.6</v>
      </c>
      <c r="BM312" s="16">
        <f t="shared" si="62"/>
        <v>100</v>
      </c>
      <c r="BN312" s="21">
        <f t="shared" si="63"/>
        <v>2.79</v>
      </c>
      <c r="BO312" s="21">
        <f t="shared" si="64"/>
        <v>1.02</v>
      </c>
      <c r="BP312" s="21">
        <f t="shared" si="65"/>
        <v>1.84</v>
      </c>
      <c r="BQ312" s="14">
        <f t="shared" si="66"/>
        <v>5.65</v>
      </c>
      <c r="BR312" s="22" t="str">
        <f>IF(OR(AND(X312="Mourões", BQ312&gt;=6.5),AND(X312="Postes", BQ312&gt;=9.6),AND(X312="Dormentes", BQ312&gt;=9.6),AND(X312="Estacas", BQ312&gt;=6.5),AND(X312="Cruzetas", BQ312&gt;=6.5),AND(X312="Outros - Solo", BQ312&gt;=6.5),AND(X312="Outros - Suspenso",BQ312&gt;=4),AND(X312="Deck",BQ312&gt;=4)),'Listas suspensas'!$C$21,'Listas suspensas'!$C$22)</f>
        <v>Os resultados da análise química apresentaram uma retenção do produto inferior ao padrão mínimo exigido pela norma ABNT NBR 16143</v>
      </c>
    </row>
    <row r="313" spans="2:70" x14ac:dyDescent="0.25">
      <c r="B313" s="8" t="s">
        <v>813</v>
      </c>
      <c r="C313" s="8" t="s">
        <v>71</v>
      </c>
      <c r="F313" s="11">
        <v>45896</v>
      </c>
      <c r="G313" s="11">
        <v>45901</v>
      </c>
      <c r="H313" s="11">
        <v>45911</v>
      </c>
      <c r="I313" s="8" t="s">
        <v>811</v>
      </c>
      <c r="J313" s="8" t="s">
        <v>812</v>
      </c>
      <c r="K313" s="8" t="s">
        <v>144</v>
      </c>
      <c r="L313" s="8" t="s">
        <v>15</v>
      </c>
      <c r="N313" s="8" t="s">
        <v>75</v>
      </c>
      <c r="O313" s="8" t="s">
        <v>76</v>
      </c>
      <c r="P313" s="28" t="s">
        <v>77</v>
      </c>
      <c r="Q313" s="16" t="s">
        <v>622</v>
      </c>
      <c r="X313" s="8" t="s">
        <v>79</v>
      </c>
      <c r="Y313" s="34">
        <f>IF(X313='Listas suspensas'!$A$21,'Listas suspensas'!$B$23,IF(X313='Listas suspensas'!$A$22,'Listas suspensas'!$B$23,IF(X313='Listas suspensas'!$A$23,'Listas suspensas'!$B$22,IF(X313='Listas suspensas'!$A$26,'Listas suspensas'!$B$22,IF(X313='Listas suspensas'!$A$32,'Listas suspensas'!$B$22,IF(X313='Listas suspensas'!$A$33,'Listas suspensas'!$B$21,IF(X313='Listas suspensas'!$A$24,'Listas suspensas'!$B$22,IF(X313='Listas suspensas'!$A$30,'Listas suspensas'!$B$21,""))))))))</f>
        <v>6.5</v>
      </c>
      <c r="Z313" s="8" t="s">
        <v>80</v>
      </c>
      <c r="AA313" s="8">
        <v>3</v>
      </c>
      <c r="AB313" s="8" t="str">
        <f>IF(AA313='Listas suspensas'!$A$2,'Listas suspensas'!$B$2,IF(AA313='Listas suspensas'!$A$3,'Listas suspensas'!$B$3,IF(AA313='Listas suspensas'!$A$4,'Listas suspensas'!$B$4,IF(AA313='Listas suspensas'!$A$5,'Listas suspensas'!$B$5,IF(AA313='Listas suspensas'!$A$6,'Listas suspensas'!$B$6,"")))))</f>
        <v xml:space="preserve"> Parcial e regular</v>
      </c>
      <c r="AC313" s="8" t="str">
        <f>IF(AA313='Listas suspensas'!$A$2,'Listas suspensas'!$C$2,IF(AA313='Listas suspensas'!$A$3,'Listas suspensas'!$C$3,IF(AA313='Listas suspensas'!$A$4,'Listas suspensas'!$C$4,IF(AA313='Listas suspensas'!$A$5,'Listas suspensas'!$C$5,IF(AA313='Listas suspensas'!$A$6,'Listas suspensas'!$C$6,"")))))</f>
        <v>Indica a penetração uniforme, mas não total pela extensão do alburno.</v>
      </c>
      <c r="BD313" s="13">
        <v>0.72699999999999998</v>
      </c>
      <c r="BE313" s="18">
        <f t="shared" ref="BE313:BE376" si="67">BD313*1000</f>
        <v>727</v>
      </c>
      <c r="BF313" s="8">
        <v>0.53900000000000003</v>
      </c>
      <c r="BG313" s="8">
        <v>0.183</v>
      </c>
      <c r="BH313" s="8">
        <v>0.30199999999999999</v>
      </c>
      <c r="BI313" s="13">
        <f t="shared" si="61"/>
        <v>1.024</v>
      </c>
      <c r="BJ313" s="14">
        <v>52.6</v>
      </c>
      <c r="BK313" s="14">
        <v>17.899999999999999</v>
      </c>
      <c r="BL313" s="14">
        <v>29.5</v>
      </c>
      <c r="BM313" s="16">
        <f t="shared" si="62"/>
        <v>100</v>
      </c>
      <c r="BN313" s="21">
        <f t="shared" si="63"/>
        <v>3.92</v>
      </c>
      <c r="BO313" s="21">
        <f t="shared" si="64"/>
        <v>1.33</v>
      </c>
      <c r="BP313" s="21">
        <f t="shared" si="65"/>
        <v>2.2000000000000002</v>
      </c>
      <c r="BQ313" s="14">
        <f t="shared" si="66"/>
        <v>7.45</v>
      </c>
      <c r="BR313" s="22" t="str">
        <f>IF(OR(AND(X313="Mourões", BQ313&gt;=6.5),AND(X313="Postes", BQ313&gt;=9.6),AND(X313="Dormentes", BQ313&gt;=9.6),AND(X313="Estacas", BQ313&gt;=6.5),AND(X313="Cruzetas", BQ313&gt;=6.5),AND(X313="Outros - Solo", BQ313&gt;=6.5),AND(X313="Outros - Suspenso",BQ313&gt;=4),AND(X313="Deck",BQ313&gt;=4)),'Listas suspensas'!$C$21,'Listas suspensas'!$C$22)</f>
        <v>Os resultados da análise química apresentaram uma retenção do produto de acordo com o padrão mínimo exigido pela norma ABNT NBR 16143</v>
      </c>
    </row>
    <row r="314" spans="2:70" x14ac:dyDescent="0.25">
      <c r="B314" s="8" t="s">
        <v>814</v>
      </c>
      <c r="C314" s="8" t="s">
        <v>71</v>
      </c>
      <c r="F314" s="11">
        <v>45896</v>
      </c>
      <c r="G314" s="11">
        <v>45901</v>
      </c>
      <c r="H314" s="11">
        <v>45911</v>
      </c>
      <c r="I314" s="8" t="s">
        <v>815</v>
      </c>
      <c r="J314" s="8" t="s">
        <v>816</v>
      </c>
      <c r="K314" s="8" t="s">
        <v>74</v>
      </c>
      <c r="L314" s="8" t="s">
        <v>15</v>
      </c>
      <c r="M314" s="30" t="s">
        <v>817</v>
      </c>
      <c r="N314" s="8" t="s">
        <v>75</v>
      </c>
      <c r="O314" s="8" t="s">
        <v>94</v>
      </c>
      <c r="P314" s="28" t="s">
        <v>77</v>
      </c>
      <c r="Q314" s="16" t="s">
        <v>818</v>
      </c>
      <c r="X314" s="8" t="s">
        <v>79</v>
      </c>
      <c r="Y314" s="34">
        <f>IF(X314='Listas suspensas'!$A$21,'Listas suspensas'!$B$23,IF(X314='Listas suspensas'!$A$22,'Listas suspensas'!$B$23,IF(X314='Listas suspensas'!$A$23,'Listas suspensas'!$B$22,IF(X314='Listas suspensas'!$A$26,'Listas suspensas'!$B$22,IF(X314='Listas suspensas'!$A$32,'Listas suspensas'!$B$22,IF(X314='Listas suspensas'!$A$33,'Listas suspensas'!$B$21,IF(X314='Listas suspensas'!$A$24,'Listas suspensas'!$B$22,IF(X314='Listas suspensas'!$A$30,'Listas suspensas'!$B$21,""))))))))</f>
        <v>6.5</v>
      </c>
      <c r="Z314" s="8" t="s">
        <v>80</v>
      </c>
      <c r="AA314" s="8">
        <v>4</v>
      </c>
      <c r="AB314" s="8" t="str">
        <f>IF(AA314='Listas suspensas'!$A$2,'Listas suspensas'!$B$2,IF(AA314='Listas suspensas'!$A$3,'Listas suspensas'!$B$3,IF(AA314='Listas suspensas'!$A$4,'Listas suspensas'!$B$4,IF(AA314='Listas suspensas'!$A$5,'Listas suspensas'!$B$5,IF(AA314='Listas suspensas'!$A$6,'Listas suspensas'!$B$6,"")))))</f>
        <v>Parcial e irregular</v>
      </c>
      <c r="AC314" s="8" t="str">
        <f>IF(AA314='Listas suspensas'!$A$2,'Listas suspensas'!$C$2,IF(AA314='Listas suspensas'!$A$3,'Listas suspensas'!$C$3,IF(AA314='Listas suspensas'!$A$4,'Listas suspensas'!$C$4,IF(AA314='Listas suspensas'!$A$5,'Listas suspensas'!$C$5,IF(AA314='Listas suspensas'!$A$6,'Listas suspensas'!$C$6,"")))))</f>
        <v>Indica a penetração desuniforme e não total pela extensão do alburno.</v>
      </c>
      <c r="BD314" s="13">
        <v>0.69399999999999995</v>
      </c>
      <c r="BE314" s="18">
        <f t="shared" si="67"/>
        <v>694</v>
      </c>
      <c r="BF314" s="8">
        <v>0.33800000000000002</v>
      </c>
      <c r="BG314" s="8">
        <v>0.17100000000000001</v>
      </c>
      <c r="BH314" s="8">
        <v>0.374</v>
      </c>
      <c r="BI314" s="13">
        <f t="shared" si="61"/>
        <v>0.88300000000000001</v>
      </c>
      <c r="BJ314" s="14">
        <v>38.299999999999997</v>
      </c>
      <c r="BK314" s="14">
        <v>19.399999999999999</v>
      </c>
      <c r="BL314" s="14">
        <v>42.3</v>
      </c>
      <c r="BM314" s="16">
        <f t="shared" si="62"/>
        <v>100</v>
      </c>
      <c r="BN314" s="21">
        <f t="shared" si="63"/>
        <v>2.35</v>
      </c>
      <c r="BO314" s="21">
        <f t="shared" si="64"/>
        <v>1.19</v>
      </c>
      <c r="BP314" s="21">
        <f t="shared" si="65"/>
        <v>2.6</v>
      </c>
      <c r="BQ314" s="14">
        <f t="shared" si="66"/>
        <v>6.14</v>
      </c>
      <c r="BR314" s="22" t="str">
        <f>IF(OR(AND(X314="Mourões", BQ314&gt;=6.5),AND(X314="Postes", BQ314&gt;=9.6),AND(X314="Dormentes", BQ314&gt;=9.6),AND(X314="Estacas", BQ314&gt;=6.5),AND(X314="Cruzetas", BQ314&gt;=6.5),AND(X314="Outros - Solo", BQ314&gt;=6.5),AND(X314="Outros - Suspenso",BQ314&gt;=4),AND(X314="Deck",BQ314&gt;=4)),'Listas suspensas'!$C$21,'Listas suspensas'!$C$22)</f>
        <v>Os resultados da análise química apresentaram uma retenção do produto inferior ao padrão mínimo exigido pela norma ABNT NBR 16143</v>
      </c>
    </row>
    <row r="315" spans="2:70" x14ac:dyDescent="0.25">
      <c r="B315" s="8" t="s">
        <v>819</v>
      </c>
      <c r="C315" s="8" t="s">
        <v>71</v>
      </c>
      <c r="F315" s="11">
        <v>45896</v>
      </c>
      <c r="G315" s="11">
        <v>45901</v>
      </c>
      <c r="H315" s="11">
        <v>45911</v>
      </c>
      <c r="I315" s="8" t="s">
        <v>815</v>
      </c>
      <c r="J315" s="8" t="s">
        <v>816</v>
      </c>
      <c r="K315" s="8" t="s">
        <v>74</v>
      </c>
      <c r="L315" s="8" t="s">
        <v>15</v>
      </c>
      <c r="M315" s="30" t="s">
        <v>817</v>
      </c>
      <c r="N315" s="8" t="s">
        <v>75</v>
      </c>
      <c r="O315" s="8" t="s">
        <v>94</v>
      </c>
      <c r="P315" s="28" t="s">
        <v>146</v>
      </c>
      <c r="Q315" s="16" t="s">
        <v>820</v>
      </c>
      <c r="X315" s="8" t="s">
        <v>79</v>
      </c>
      <c r="Y315" s="34">
        <f>IF(X315='Listas suspensas'!$A$21,'Listas suspensas'!$B$23,IF(X315='Listas suspensas'!$A$22,'Listas suspensas'!$B$23,IF(X315='Listas suspensas'!$A$23,'Listas suspensas'!$B$22,IF(X315='Listas suspensas'!$A$26,'Listas suspensas'!$B$22,IF(X315='Listas suspensas'!$A$32,'Listas suspensas'!$B$22,IF(X315='Listas suspensas'!$A$33,'Listas suspensas'!$B$21,IF(X315='Listas suspensas'!$A$24,'Listas suspensas'!$B$22,IF(X315='Listas suspensas'!$A$30,'Listas suspensas'!$B$21,""))))))))</f>
        <v>6.5</v>
      </c>
      <c r="Z315" s="8" t="s">
        <v>80</v>
      </c>
      <c r="AA315" s="8">
        <v>4</v>
      </c>
      <c r="AB315" s="8" t="str">
        <f>IF(AA315='Listas suspensas'!$A$2,'Listas suspensas'!$B$2,IF(AA315='Listas suspensas'!$A$3,'Listas suspensas'!$B$3,IF(AA315='Listas suspensas'!$A$4,'Listas suspensas'!$B$4,IF(AA315='Listas suspensas'!$A$5,'Listas suspensas'!$B$5,IF(AA315='Listas suspensas'!$A$6,'Listas suspensas'!$B$6,"")))))</f>
        <v>Parcial e irregular</v>
      </c>
      <c r="AC315" s="8" t="str">
        <f>IF(AA315='Listas suspensas'!$A$2,'Listas suspensas'!$C$2,IF(AA315='Listas suspensas'!$A$3,'Listas suspensas'!$C$3,IF(AA315='Listas suspensas'!$A$4,'Listas suspensas'!$C$4,IF(AA315='Listas suspensas'!$A$5,'Listas suspensas'!$C$5,IF(AA315='Listas suspensas'!$A$6,'Listas suspensas'!$C$6,"")))))</f>
        <v>Indica a penetração desuniforme e não total pela extensão do alburno.</v>
      </c>
      <c r="BD315" s="13">
        <v>0.72299999999999998</v>
      </c>
      <c r="BE315" s="18">
        <f t="shared" si="67"/>
        <v>723</v>
      </c>
      <c r="BF315" s="8">
        <v>0.16400000000000001</v>
      </c>
      <c r="BG315" s="8">
        <v>5.8000000000000003E-2</v>
      </c>
      <c r="BH315" s="8">
        <v>0.13100000000000001</v>
      </c>
      <c r="BI315" s="13">
        <f t="shared" si="61"/>
        <v>0.35299999999999998</v>
      </c>
      <c r="BJ315" s="14">
        <v>46.4</v>
      </c>
      <c r="BK315" s="14">
        <v>16.600000000000001</v>
      </c>
      <c r="BL315" s="14">
        <v>37</v>
      </c>
      <c r="BM315" s="16">
        <f t="shared" si="62"/>
        <v>100</v>
      </c>
      <c r="BN315" s="21">
        <f t="shared" si="63"/>
        <v>1.19</v>
      </c>
      <c r="BO315" s="21">
        <f t="shared" si="64"/>
        <v>0.42</v>
      </c>
      <c r="BP315" s="21">
        <f t="shared" si="65"/>
        <v>0.95</v>
      </c>
      <c r="BQ315" s="14">
        <f t="shared" si="66"/>
        <v>2.56</v>
      </c>
      <c r="BR315" s="22" t="str">
        <f>IF(OR(AND(X315="Mourões", BQ315&gt;=6.5),AND(X315="Postes", BQ315&gt;=9.6),AND(X315="Dormentes", BQ315&gt;=9.6),AND(X315="Estacas", BQ315&gt;=6.5),AND(X315="Cruzetas", BQ315&gt;=6.5),AND(X315="Outros - Solo", BQ315&gt;=6.5),AND(X315="Outros - Suspenso",BQ315&gt;=4),AND(X315="Deck",BQ315&gt;=4)),'Listas suspensas'!$C$21,'Listas suspensas'!$C$22)</f>
        <v>Os resultados da análise química apresentaram uma retenção do produto inferior ao padrão mínimo exigido pela norma ABNT NBR 16143</v>
      </c>
    </row>
    <row r="316" spans="2:70" x14ac:dyDescent="0.25">
      <c r="B316" s="8" t="s">
        <v>821</v>
      </c>
      <c r="C316" s="8" t="s">
        <v>71</v>
      </c>
      <c r="F316" s="11">
        <v>45896</v>
      </c>
      <c r="G316" s="11">
        <v>45901</v>
      </c>
      <c r="H316" s="11">
        <v>45911</v>
      </c>
      <c r="I316" s="8" t="s">
        <v>815</v>
      </c>
      <c r="J316" s="8" t="s">
        <v>816</v>
      </c>
      <c r="K316" s="8" t="s">
        <v>74</v>
      </c>
      <c r="L316" s="8" t="s">
        <v>15</v>
      </c>
      <c r="M316" s="30" t="s">
        <v>817</v>
      </c>
      <c r="N316" s="8" t="s">
        <v>75</v>
      </c>
      <c r="O316" s="8" t="s">
        <v>94</v>
      </c>
      <c r="P316" s="28" t="s">
        <v>77</v>
      </c>
      <c r="Q316" s="16" t="s">
        <v>822</v>
      </c>
      <c r="X316" s="8" t="s">
        <v>79</v>
      </c>
      <c r="Y316" s="34">
        <f>IF(X316='Listas suspensas'!$A$21,'Listas suspensas'!$B$23,IF(X316='Listas suspensas'!$A$22,'Listas suspensas'!$B$23,IF(X316='Listas suspensas'!$A$23,'Listas suspensas'!$B$22,IF(X316='Listas suspensas'!$A$26,'Listas suspensas'!$B$22,IF(X316='Listas suspensas'!$A$32,'Listas suspensas'!$B$22,IF(X316='Listas suspensas'!$A$33,'Listas suspensas'!$B$21,IF(X316='Listas suspensas'!$A$24,'Listas suspensas'!$B$22,IF(X316='Listas suspensas'!$A$30,'Listas suspensas'!$B$21,""))))))))</f>
        <v>6.5</v>
      </c>
      <c r="Z316" s="8" t="s">
        <v>80</v>
      </c>
      <c r="AA316" s="8">
        <v>5</v>
      </c>
      <c r="AB316" s="8" t="str">
        <f>IF(AA316='Listas suspensas'!$A$2,'Listas suspensas'!$B$2,IF(AA316='Listas suspensas'!$A$3,'Listas suspensas'!$B$3,IF(AA316='Listas suspensas'!$A$4,'Listas suspensas'!$B$4,IF(AA316='Listas suspensas'!$A$5,'Listas suspensas'!$B$5,IF(AA316='Listas suspensas'!$A$6,'Listas suspensas'!$B$6,"")))))</f>
        <v>Sem Reação do Cromoazurol</v>
      </c>
      <c r="AC316" s="8" t="str">
        <f>IF(AA316='Listas suspensas'!$A$2,'Listas suspensas'!$C$2,IF(AA316='Listas suspensas'!$A$3,'Listas suspensas'!$C$3,IF(AA316='Listas suspensas'!$A$4,'Listas suspensas'!$C$4,IF(AA316='Listas suspensas'!$A$5,'Listas suspensas'!$C$5,IF(AA316='Listas suspensas'!$A$6,'Listas suspensas'!$C$6,"")))))</f>
        <v>Sem Reação do Cromoazurol</v>
      </c>
      <c r="BD316" s="13">
        <v>0.63500000000000001</v>
      </c>
      <c r="BE316" s="18">
        <f t="shared" si="67"/>
        <v>635</v>
      </c>
      <c r="BF316" s="8">
        <v>0.374</v>
      </c>
      <c r="BG316" s="8">
        <v>0.14000000000000001</v>
      </c>
      <c r="BH316" s="8">
        <v>0.26</v>
      </c>
      <c r="BI316" s="13">
        <f t="shared" si="61"/>
        <v>0.77400000000000002</v>
      </c>
      <c r="BJ316" s="14">
        <v>48.3</v>
      </c>
      <c r="BK316" s="14">
        <v>18.100000000000001</v>
      </c>
      <c r="BL316" s="14">
        <v>33.6</v>
      </c>
      <c r="BM316" s="16">
        <f t="shared" si="62"/>
        <v>100</v>
      </c>
      <c r="BN316" s="21">
        <f t="shared" si="63"/>
        <v>2.37</v>
      </c>
      <c r="BO316" s="21">
        <f t="shared" si="64"/>
        <v>0.89</v>
      </c>
      <c r="BP316" s="21">
        <f t="shared" si="65"/>
        <v>1.65</v>
      </c>
      <c r="BQ316" s="14">
        <f t="shared" si="66"/>
        <v>4.91</v>
      </c>
      <c r="BR316" s="22" t="str">
        <f>IF(OR(AND(X316="Mourões", BQ316&gt;=6.5),AND(X316="Postes", BQ316&gt;=9.6),AND(X316="Dormentes", BQ316&gt;=9.6),AND(X316="Estacas", BQ316&gt;=6.5),AND(X316="Cruzetas", BQ316&gt;=6.5),AND(X316="Outros - Solo", BQ316&gt;=6.5),AND(X316="Outros - Suspenso",BQ316&gt;=4),AND(X316="Deck",BQ316&gt;=4)),'Listas suspensas'!$C$21,'Listas suspensas'!$C$22)</f>
        <v>Os resultados da análise química apresentaram uma retenção do produto inferior ao padrão mínimo exigido pela norma ABNT NBR 16143</v>
      </c>
    </row>
    <row r="317" spans="2:70" x14ac:dyDescent="0.25">
      <c r="B317" s="8" t="s">
        <v>823</v>
      </c>
      <c r="C317" s="8" t="s">
        <v>71</v>
      </c>
      <c r="F317" s="11">
        <v>45896</v>
      </c>
      <c r="G317" s="11">
        <v>45901</v>
      </c>
      <c r="H317" s="11">
        <v>45919</v>
      </c>
      <c r="I317" s="8" t="s">
        <v>824</v>
      </c>
      <c r="J317" s="8" t="s">
        <v>825</v>
      </c>
      <c r="K317" s="8" t="s">
        <v>92</v>
      </c>
      <c r="L317" s="8" t="s">
        <v>15</v>
      </c>
      <c r="M317" s="30" t="s">
        <v>826</v>
      </c>
      <c r="N317" s="8" t="s">
        <v>75</v>
      </c>
      <c r="O317" s="8" t="s">
        <v>76</v>
      </c>
      <c r="P317" s="28" t="s">
        <v>146</v>
      </c>
      <c r="Q317" s="16" t="s">
        <v>827</v>
      </c>
      <c r="X317" s="8" t="s">
        <v>79</v>
      </c>
      <c r="Y317" s="34">
        <f>IF(X317='Listas suspensas'!$A$21,'Listas suspensas'!$B$23,IF(X317='Listas suspensas'!$A$22,'Listas suspensas'!$B$23,IF(X317='Listas suspensas'!$A$23,'Listas suspensas'!$B$22,IF(X317='Listas suspensas'!$A$26,'Listas suspensas'!$B$22,IF(X317='Listas suspensas'!$A$32,'Listas suspensas'!$B$22,IF(X317='Listas suspensas'!$A$33,'Listas suspensas'!$B$21,IF(X317='Listas suspensas'!$A$24,'Listas suspensas'!$B$22,IF(X317='Listas suspensas'!$A$30,'Listas suspensas'!$B$21,""))))))))</f>
        <v>6.5</v>
      </c>
      <c r="Z317" s="8" t="s">
        <v>80</v>
      </c>
      <c r="AA317" s="8">
        <v>1</v>
      </c>
      <c r="AB317" s="8" t="str">
        <f>IF(AA317='Listas suspensas'!$A$2,'Listas suspensas'!$B$2,IF(AA317='Listas suspensas'!$A$3,'Listas suspensas'!$B$3,IF(AA317='Listas suspensas'!$A$4,'Listas suspensas'!$B$4,IF(AA317='Listas suspensas'!$A$5,'Listas suspensas'!$B$5,IF(AA317='Listas suspensas'!$A$6,'Listas suspensas'!$B$6,"")))))</f>
        <v>Profunda e regular</v>
      </c>
      <c r="AC317" s="8" t="str">
        <f>IF(AA317='Listas suspensas'!$A$2,'Listas suspensas'!$C$2,IF(AA317='Listas suspensas'!$A$3,'Listas suspensas'!$C$3,IF(AA317='Listas suspensas'!$A$4,'Listas suspensas'!$C$4,IF(AA317='Listas suspensas'!$A$5,'Listas suspensas'!$C$5,IF(AA317='Listas suspensas'!$A$6,'Listas suspensas'!$C$6,"")))))</f>
        <v>Indica a penetração profunda e uniforme em toda a extensão do alburno.</v>
      </c>
      <c r="BD317" s="13">
        <v>0.622</v>
      </c>
      <c r="BE317" s="18">
        <f t="shared" si="67"/>
        <v>622</v>
      </c>
      <c r="BF317" s="8">
        <v>0.93300000000000005</v>
      </c>
      <c r="BG317" s="8">
        <v>0.311</v>
      </c>
      <c r="BH317" s="8">
        <v>0.59</v>
      </c>
      <c r="BI317" s="13">
        <f t="shared" si="61"/>
        <v>1.8340000000000001</v>
      </c>
      <c r="BJ317" s="14">
        <v>50.9</v>
      </c>
      <c r="BK317" s="14">
        <v>17</v>
      </c>
      <c r="BL317" s="14">
        <v>32.1</v>
      </c>
      <c r="BM317" s="16">
        <f t="shared" si="62"/>
        <v>100</v>
      </c>
      <c r="BN317" s="21">
        <f t="shared" si="63"/>
        <v>5.8</v>
      </c>
      <c r="BO317" s="21">
        <f t="shared" si="64"/>
        <v>1.93</v>
      </c>
      <c r="BP317" s="21">
        <f t="shared" si="65"/>
        <v>3.67</v>
      </c>
      <c r="BQ317" s="14">
        <f t="shared" si="66"/>
        <v>11.4</v>
      </c>
      <c r="BR317" s="22" t="str">
        <f>IF(OR(AND(X317="Mourões", BQ317&gt;=6.5),AND(X317="Postes", BQ317&gt;=9.6),AND(X317="Dormentes", BQ317&gt;=9.6),AND(X317="Estacas", BQ317&gt;=6.5),AND(X317="Cruzetas", BQ317&gt;=6.5),AND(X317="Outros - Solo", BQ317&gt;=6.5),AND(X317="Outros - Suspenso",BQ317&gt;=4),AND(X317="Deck",BQ317&gt;=4)),'Listas suspensas'!$C$21,'Listas suspensas'!$C$22)</f>
        <v>Os resultados da análise química apresentaram uma retenção do produto de acordo com o padrão mínimo exigido pela norma ABNT NBR 16143</v>
      </c>
    </row>
    <row r="318" spans="2:70" x14ac:dyDescent="0.25">
      <c r="B318" s="8" t="s">
        <v>828</v>
      </c>
      <c r="C318" s="8" t="s">
        <v>71</v>
      </c>
      <c r="F318" s="11">
        <v>45896</v>
      </c>
      <c r="G318" s="11">
        <v>45901</v>
      </c>
      <c r="H318" s="11">
        <v>45919</v>
      </c>
      <c r="I318" s="8" t="s">
        <v>824</v>
      </c>
      <c r="J318" s="8" t="s">
        <v>825</v>
      </c>
      <c r="K318" s="8" t="s">
        <v>92</v>
      </c>
      <c r="L318" s="8" t="s">
        <v>15</v>
      </c>
      <c r="M318" s="30" t="s">
        <v>826</v>
      </c>
      <c r="N318" s="8" t="s">
        <v>75</v>
      </c>
      <c r="O318" s="8" t="s">
        <v>76</v>
      </c>
      <c r="P318" s="28" t="s">
        <v>146</v>
      </c>
      <c r="Q318" s="16" t="s">
        <v>829</v>
      </c>
      <c r="X318" s="8" t="s">
        <v>79</v>
      </c>
      <c r="Y318" s="34">
        <f>IF(X318='Listas suspensas'!$A$21,'Listas suspensas'!$B$23,IF(X318='Listas suspensas'!$A$22,'Listas suspensas'!$B$23,IF(X318='Listas suspensas'!$A$23,'Listas suspensas'!$B$22,IF(X318='Listas suspensas'!$A$26,'Listas suspensas'!$B$22,IF(X318='Listas suspensas'!$A$32,'Listas suspensas'!$B$22,IF(X318='Listas suspensas'!$A$33,'Listas suspensas'!$B$21,IF(X318='Listas suspensas'!$A$24,'Listas suspensas'!$B$22,IF(X318='Listas suspensas'!$A$30,'Listas suspensas'!$B$21,""))))))))</f>
        <v>6.5</v>
      </c>
      <c r="Z318" s="8" t="s">
        <v>80</v>
      </c>
      <c r="AA318" s="8">
        <v>1</v>
      </c>
      <c r="AB318" s="8" t="str">
        <f>IF(AA318='Listas suspensas'!$A$2,'Listas suspensas'!$B$2,IF(AA318='Listas suspensas'!$A$3,'Listas suspensas'!$B$3,IF(AA318='Listas suspensas'!$A$4,'Listas suspensas'!$B$4,IF(AA318='Listas suspensas'!$A$5,'Listas suspensas'!$B$5,IF(AA318='Listas suspensas'!$A$6,'Listas suspensas'!$B$6,"")))))</f>
        <v>Profunda e regular</v>
      </c>
      <c r="AC318" s="8" t="str">
        <f>IF(AA318='Listas suspensas'!$A$2,'Listas suspensas'!$C$2,IF(AA318='Listas suspensas'!$A$3,'Listas suspensas'!$C$3,IF(AA318='Listas suspensas'!$A$4,'Listas suspensas'!$C$4,IF(AA318='Listas suspensas'!$A$5,'Listas suspensas'!$C$5,IF(AA318='Listas suspensas'!$A$6,'Listas suspensas'!$C$6,"")))))</f>
        <v>Indica a penetração profunda e uniforme em toda a extensão do alburno.</v>
      </c>
      <c r="BD318" s="13">
        <v>0.61</v>
      </c>
      <c r="BE318" s="18">
        <f t="shared" si="67"/>
        <v>610</v>
      </c>
      <c r="BF318" s="8">
        <v>0.61799999999999999</v>
      </c>
      <c r="BG318" s="8">
        <v>0.248</v>
      </c>
      <c r="BH318" s="8">
        <v>0.44800000000000001</v>
      </c>
      <c r="BI318" s="13">
        <f t="shared" si="61"/>
        <v>1.3140000000000001</v>
      </c>
      <c r="BJ318" s="14">
        <v>47.1</v>
      </c>
      <c r="BK318" s="14">
        <v>18.899999999999999</v>
      </c>
      <c r="BL318" s="14">
        <v>34</v>
      </c>
      <c r="BM318" s="16">
        <f t="shared" si="62"/>
        <v>100</v>
      </c>
      <c r="BN318" s="21">
        <f t="shared" si="63"/>
        <v>3.77</v>
      </c>
      <c r="BO318" s="21">
        <f t="shared" si="64"/>
        <v>1.51</v>
      </c>
      <c r="BP318" s="21">
        <f t="shared" si="65"/>
        <v>2.73</v>
      </c>
      <c r="BQ318" s="14">
        <f t="shared" si="66"/>
        <v>8.01</v>
      </c>
      <c r="BR318" s="22" t="str">
        <f>IF(OR(AND(X318="Mourões", BQ318&gt;=6.5),AND(X318="Postes", BQ318&gt;=9.6),AND(X318="Dormentes", BQ318&gt;=9.6),AND(X318="Estacas", BQ318&gt;=6.5),AND(X318="Cruzetas", BQ318&gt;=6.5),AND(X318="Outros - Solo", BQ318&gt;=6.5),AND(X318="Outros - Suspenso",BQ318&gt;=4),AND(X318="Deck",BQ318&gt;=4)),'Listas suspensas'!$C$21,'Listas suspensas'!$C$22)</f>
        <v>Os resultados da análise química apresentaram uma retenção do produto de acordo com o padrão mínimo exigido pela norma ABNT NBR 16143</v>
      </c>
    </row>
    <row r="319" spans="2:70" x14ac:dyDescent="0.25">
      <c r="B319" s="8" t="s">
        <v>830</v>
      </c>
      <c r="C319" s="8" t="s">
        <v>71</v>
      </c>
      <c r="F319" s="11">
        <v>45896</v>
      </c>
      <c r="G319" s="11">
        <v>45901</v>
      </c>
      <c r="H319" s="11">
        <v>45919</v>
      </c>
      <c r="I319" s="8" t="s">
        <v>831</v>
      </c>
      <c r="J319" s="8" t="s">
        <v>832</v>
      </c>
      <c r="K319" s="8" t="s">
        <v>92</v>
      </c>
      <c r="L319" s="8" t="s">
        <v>15</v>
      </c>
      <c r="M319" s="30" t="s">
        <v>833</v>
      </c>
      <c r="N319" s="8" t="s">
        <v>75</v>
      </c>
      <c r="O319" s="8" t="s">
        <v>76</v>
      </c>
      <c r="P319" s="28" t="s">
        <v>146</v>
      </c>
      <c r="Q319" s="16" t="s">
        <v>834</v>
      </c>
      <c r="X319" s="8" t="s">
        <v>79</v>
      </c>
      <c r="Y319" s="34">
        <f>IF(X319='Listas suspensas'!$A$21,'Listas suspensas'!$B$23,IF(X319='Listas suspensas'!$A$22,'Listas suspensas'!$B$23,IF(X319='Listas suspensas'!$A$23,'Listas suspensas'!$B$22,IF(X319='Listas suspensas'!$A$26,'Listas suspensas'!$B$22,IF(X319='Listas suspensas'!$A$32,'Listas suspensas'!$B$22,IF(X319='Listas suspensas'!$A$33,'Listas suspensas'!$B$21,IF(X319='Listas suspensas'!$A$24,'Listas suspensas'!$B$22,IF(X319='Listas suspensas'!$A$30,'Listas suspensas'!$B$21,""))))))))</f>
        <v>6.5</v>
      </c>
      <c r="Z319" s="8" t="s">
        <v>80</v>
      </c>
      <c r="AA319" s="8">
        <v>2</v>
      </c>
      <c r="AB319" s="8" t="str">
        <f>IF(AA319='Listas suspensas'!$A$2,'Listas suspensas'!$B$2,IF(AA319='Listas suspensas'!$A$3,'Listas suspensas'!$B$3,IF(AA319='Listas suspensas'!$A$4,'Listas suspensas'!$B$4,IF(AA319='Listas suspensas'!$A$5,'Listas suspensas'!$B$5,IF(AA319='Listas suspensas'!$A$6,'Listas suspensas'!$B$6,"")))))</f>
        <v>Profunda e irregular</v>
      </c>
      <c r="AC319" s="8" t="str">
        <f>IF(AA319='Listas suspensas'!$A$2,'Listas suspensas'!$C$2,IF(AA319='Listas suspensas'!$A$3,'Listas suspensas'!$C$3,IF(AA319='Listas suspensas'!$A$4,'Listas suspensas'!$C$4,IF(AA319='Listas suspensas'!$A$5,'Listas suspensas'!$C$5,IF(AA319='Listas suspensas'!$A$6,'Listas suspensas'!$C$6,"")))))</f>
        <v>Indica a penetração profunda, mas desuniforme em toda a extensão do alburno.</v>
      </c>
      <c r="BD319" s="13">
        <v>0.61699999999999999</v>
      </c>
      <c r="BE319" s="18">
        <f t="shared" si="67"/>
        <v>617</v>
      </c>
      <c r="BF319" s="8">
        <v>0.35699999999999998</v>
      </c>
      <c r="BG319" s="8">
        <v>0.14699999999999999</v>
      </c>
      <c r="BH319" s="8">
        <v>0.24399999999999999</v>
      </c>
      <c r="BI319" s="13">
        <f t="shared" si="61"/>
        <v>0.748</v>
      </c>
      <c r="BJ319" s="14">
        <v>47.7</v>
      </c>
      <c r="BK319" s="14">
        <v>19.7</v>
      </c>
      <c r="BL319" s="14">
        <v>32.6</v>
      </c>
      <c r="BM319" s="16">
        <f t="shared" si="62"/>
        <v>100</v>
      </c>
      <c r="BN319" s="21">
        <f t="shared" si="63"/>
        <v>2.2000000000000002</v>
      </c>
      <c r="BO319" s="21">
        <f t="shared" si="64"/>
        <v>0.91</v>
      </c>
      <c r="BP319" s="21">
        <f t="shared" si="65"/>
        <v>1.51</v>
      </c>
      <c r="BQ319" s="14">
        <f t="shared" si="66"/>
        <v>4.62</v>
      </c>
      <c r="BR319" s="22" t="str">
        <f>IF(OR(AND(X319="Mourões", BQ319&gt;=6.5),AND(X319="Postes", BQ319&gt;=9.6),AND(X319="Dormentes", BQ319&gt;=9.6),AND(X319="Estacas", BQ319&gt;=6.5),AND(X319="Cruzetas", BQ319&gt;=6.5),AND(X319="Outros - Solo", BQ319&gt;=6.5),AND(X319="Outros - Suspenso",BQ319&gt;=4),AND(X319="Deck",BQ319&gt;=4)),'Listas suspensas'!$C$21,'Listas suspensas'!$C$22)</f>
        <v>Os resultados da análise química apresentaram uma retenção do produto inferior ao padrão mínimo exigido pela norma ABNT NBR 16143</v>
      </c>
    </row>
    <row r="320" spans="2:70" x14ac:dyDescent="0.25">
      <c r="B320" s="8" t="s">
        <v>835</v>
      </c>
      <c r="C320" s="8" t="s">
        <v>71</v>
      </c>
      <c r="F320" s="11">
        <v>45896</v>
      </c>
      <c r="G320" s="11">
        <v>45901</v>
      </c>
      <c r="H320" s="11">
        <v>45919</v>
      </c>
      <c r="I320" s="8" t="s">
        <v>831</v>
      </c>
      <c r="J320" s="8" t="s">
        <v>832</v>
      </c>
      <c r="K320" s="8" t="s">
        <v>92</v>
      </c>
      <c r="L320" s="8" t="s">
        <v>15</v>
      </c>
      <c r="M320" s="30" t="s">
        <v>833</v>
      </c>
      <c r="N320" s="8" t="s">
        <v>75</v>
      </c>
      <c r="O320" s="8" t="s">
        <v>76</v>
      </c>
      <c r="P320" s="28" t="s">
        <v>146</v>
      </c>
      <c r="Q320" s="16" t="s">
        <v>836</v>
      </c>
      <c r="X320" s="8" t="s">
        <v>79</v>
      </c>
      <c r="Y320" s="34">
        <f>IF(X320='Listas suspensas'!$A$21,'Listas suspensas'!$B$23,IF(X320='Listas suspensas'!$A$22,'Listas suspensas'!$B$23,IF(X320='Listas suspensas'!$A$23,'Listas suspensas'!$B$22,IF(X320='Listas suspensas'!$A$26,'Listas suspensas'!$B$22,IF(X320='Listas suspensas'!$A$32,'Listas suspensas'!$B$22,IF(X320='Listas suspensas'!$A$33,'Listas suspensas'!$B$21,IF(X320='Listas suspensas'!$A$24,'Listas suspensas'!$B$22,IF(X320='Listas suspensas'!$A$30,'Listas suspensas'!$B$21,""))))))))</f>
        <v>6.5</v>
      </c>
      <c r="Z320" s="8" t="s">
        <v>80</v>
      </c>
      <c r="AA320" s="8">
        <v>1</v>
      </c>
      <c r="AB320" s="8" t="str">
        <f>IF(AA320='Listas suspensas'!$A$2,'Listas suspensas'!$B$2,IF(AA320='Listas suspensas'!$A$3,'Listas suspensas'!$B$3,IF(AA320='Listas suspensas'!$A$4,'Listas suspensas'!$B$4,IF(AA320='Listas suspensas'!$A$5,'Listas suspensas'!$B$5,IF(AA320='Listas suspensas'!$A$6,'Listas suspensas'!$B$6,"")))))</f>
        <v>Profunda e regular</v>
      </c>
      <c r="AC320" s="8" t="str">
        <f>IF(AA320='Listas suspensas'!$A$2,'Listas suspensas'!$C$2,IF(AA320='Listas suspensas'!$A$3,'Listas suspensas'!$C$3,IF(AA320='Listas suspensas'!$A$4,'Listas suspensas'!$C$4,IF(AA320='Listas suspensas'!$A$5,'Listas suspensas'!$C$5,IF(AA320='Listas suspensas'!$A$6,'Listas suspensas'!$C$6,"")))))</f>
        <v>Indica a penetração profunda e uniforme em toda a extensão do alburno.</v>
      </c>
      <c r="BD320" s="13">
        <v>0.81</v>
      </c>
      <c r="BE320" s="18">
        <f t="shared" si="67"/>
        <v>810</v>
      </c>
      <c r="BF320" s="8">
        <v>0.25600000000000001</v>
      </c>
      <c r="BG320" s="8">
        <v>0.14299999999999999</v>
      </c>
      <c r="BH320" s="8">
        <v>0.254</v>
      </c>
      <c r="BI320" s="13">
        <f t="shared" si="61"/>
        <v>0.65300000000000002</v>
      </c>
      <c r="BJ320" s="14">
        <v>39.200000000000003</v>
      </c>
      <c r="BK320" s="14">
        <v>22</v>
      </c>
      <c r="BL320" s="14">
        <v>38.799999999999997</v>
      </c>
      <c r="BM320" s="16">
        <f t="shared" si="62"/>
        <v>100</v>
      </c>
      <c r="BN320" s="21">
        <f t="shared" si="63"/>
        <v>2.0699999999999998</v>
      </c>
      <c r="BO320" s="21">
        <f t="shared" si="64"/>
        <v>1.1599999999999999</v>
      </c>
      <c r="BP320" s="21">
        <f t="shared" si="65"/>
        <v>2.06</v>
      </c>
      <c r="BQ320" s="14">
        <f t="shared" si="66"/>
        <v>5.29</v>
      </c>
      <c r="BR320" s="22" t="str">
        <f>IF(OR(AND(X320="Mourões", BQ320&gt;=6.5),AND(X320="Postes", BQ320&gt;=9.6),AND(X320="Dormentes", BQ320&gt;=9.6),AND(X320="Estacas", BQ320&gt;=6.5),AND(X320="Cruzetas", BQ320&gt;=6.5),AND(X320="Outros - Solo", BQ320&gt;=6.5),AND(X320="Outros - Suspenso",BQ320&gt;=4),AND(X320="Deck",BQ320&gt;=4)),'Listas suspensas'!$C$21,'Listas suspensas'!$C$22)</f>
        <v>Os resultados da análise química apresentaram uma retenção do produto inferior ao padrão mínimo exigido pela norma ABNT NBR 16143</v>
      </c>
    </row>
    <row r="321" spans="2:70" x14ac:dyDescent="0.25">
      <c r="B321" s="8" t="s">
        <v>837</v>
      </c>
      <c r="C321" s="8" t="s">
        <v>71</v>
      </c>
      <c r="F321" s="11">
        <v>45896</v>
      </c>
      <c r="G321" s="11">
        <v>45901</v>
      </c>
      <c r="H321" s="11">
        <v>45919</v>
      </c>
      <c r="I321" s="8" t="s">
        <v>831</v>
      </c>
      <c r="J321" s="8" t="s">
        <v>832</v>
      </c>
      <c r="K321" s="8" t="s">
        <v>92</v>
      </c>
      <c r="L321" s="8" t="s">
        <v>15</v>
      </c>
      <c r="M321" s="30" t="s">
        <v>833</v>
      </c>
      <c r="N321" s="8" t="s">
        <v>75</v>
      </c>
      <c r="O321" s="8" t="s">
        <v>76</v>
      </c>
      <c r="P321" s="28" t="s">
        <v>146</v>
      </c>
      <c r="Q321" s="16" t="s">
        <v>838</v>
      </c>
      <c r="X321" s="8" t="s">
        <v>79</v>
      </c>
      <c r="Y321" s="34">
        <f>IF(X321='Listas suspensas'!$A$21,'Listas suspensas'!$B$23,IF(X321='Listas suspensas'!$A$22,'Listas suspensas'!$B$23,IF(X321='Listas suspensas'!$A$23,'Listas suspensas'!$B$22,IF(X321='Listas suspensas'!$A$26,'Listas suspensas'!$B$22,IF(X321='Listas suspensas'!$A$32,'Listas suspensas'!$B$22,IF(X321='Listas suspensas'!$A$33,'Listas suspensas'!$B$21,IF(X321='Listas suspensas'!$A$24,'Listas suspensas'!$B$22,IF(X321='Listas suspensas'!$A$30,'Listas suspensas'!$B$21,""))))))))</f>
        <v>6.5</v>
      </c>
      <c r="Z321" s="8" t="s">
        <v>80</v>
      </c>
      <c r="AA321" s="8">
        <v>2</v>
      </c>
      <c r="AB321" s="8" t="str">
        <f>IF(AA321='Listas suspensas'!$A$2,'Listas suspensas'!$B$2,IF(AA321='Listas suspensas'!$A$3,'Listas suspensas'!$B$3,IF(AA321='Listas suspensas'!$A$4,'Listas suspensas'!$B$4,IF(AA321='Listas suspensas'!$A$5,'Listas suspensas'!$B$5,IF(AA321='Listas suspensas'!$A$6,'Listas suspensas'!$B$6,"")))))</f>
        <v>Profunda e irregular</v>
      </c>
      <c r="AC321" s="8" t="str">
        <f>IF(AA321='Listas suspensas'!$A$2,'Listas suspensas'!$C$2,IF(AA321='Listas suspensas'!$A$3,'Listas suspensas'!$C$3,IF(AA321='Listas suspensas'!$A$4,'Listas suspensas'!$C$4,IF(AA321='Listas suspensas'!$A$5,'Listas suspensas'!$C$5,IF(AA321='Listas suspensas'!$A$6,'Listas suspensas'!$C$6,"")))))</f>
        <v>Indica a penetração profunda, mas desuniforme em toda a extensão do alburno.</v>
      </c>
      <c r="BD321" s="13">
        <v>0.64400000000000002</v>
      </c>
      <c r="BE321" s="18">
        <f t="shared" si="67"/>
        <v>644</v>
      </c>
      <c r="BF321" s="8">
        <v>0.249</v>
      </c>
      <c r="BG321" s="8">
        <v>0.11899999999999999</v>
      </c>
      <c r="BH321" s="8">
        <v>0.218</v>
      </c>
      <c r="BI321" s="13">
        <f t="shared" si="61"/>
        <v>0.58599999999999997</v>
      </c>
      <c r="BJ321" s="14">
        <v>42.5</v>
      </c>
      <c r="BK321" s="14">
        <v>20.399999999999999</v>
      </c>
      <c r="BL321" s="14">
        <v>37.1</v>
      </c>
      <c r="BM321" s="16">
        <f t="shared" si="62"/>
        <v>100</v>
      </c>
      <c r="BN321" s="21">
        <f t="shared" si="63"/>
        <v>1.6</v>
      </c>
      <c r="BO321" s="21">
        <f t="shared" si="64"/>
        <v>0.77</v>
      </c>
      <c r="BP321" s="21">
        <f t="shared" si="65"/>
        <v>1.4</v>
      </c>
      <c r="BQ321" s="14">
        <f t="shared" si="66"/>
        <v>3.77</v>
      </c>
      <c r="BR321" s="22" t="str">
        <f>IF(OR(AND(X321="Mourões", BQ321&gt;=6.5),AND(X321="Postes", BQ321&gt;=9.6),AND(X321="Dormentes", BQ321&gt;=9.6),AND(X321="Estacas", BQ321&gt;=6.5),AND(X321="Cruzetas", BQ321&gt;=6.5),AND(X321="Outros - Solo", BQ321&gt;=6.5),AND(X321="Outros - Suspenso",BQ321&gt;=4),AND(X321="Deck",BQ321&gt;=4)),'Listas suspensas'!$C$21,'Listas suspensas'!$C$22)</f>
        <v>Os resultados da análise química apresentaram uma retenção do produto inferior ao padrão mínimo exigido pela norma ABNT NBR 16143</v>
      </c>
    </row>
    <row r="322" spans="2:70" x14ac:dyDescent="0.25">
      <c r="B322" s="8" t="s">
        <v>839</v>
      </c>
      <c r="C322" s="8" t="s">
        <v>71</v>
      </c>
      <c r="F322" s="11">
        <v>45896</v>
      </c>
      <c r="G322" s="11">
        <v>45901</v>
      </c>
      <c r="H322" s="11">
        <v>45919</v>
      </c>
      <c r="I322" s="8" t="s">
        <v>831</v>
      </c>
      <c r="J322" s="8" t="s">
        <v>832</v>
      </c>
      <c r="K322" s="8" t="s">
        <v>92</v>
      </c>
      <c r="L322" s="8" t="s">
        <v>15</v>
      </c>
      <c r="M322" s="30" t="s">
        <v>833</v>
      </c>
      <c r="N322" s="8" t="s">
        <v>75</v>
      </c>
      <c r="O322" s="8" t="s">
        <v>76</v>
      </c>
      <c r="P322" s="28" t="s">
        <v>146</v>
      </c>
      <c r="Q322" s="16" t="s">
        <v>840</v>
      </c>
      <c r="X322" s="8" t="s">
        <v>79</v>
      </c>
      <c r="Y322" s="34">
        <f>IF(X322='Listas suspensas'!$A$21,'Listas suspensas'!$B$23,IF(X322='Listas suspensas'!$A$22,'Listas suspensas'!$B$23,IF(X322='Listas suspensas'!$A$23,'Listas suspensas'!$B$22,IF(X322='Listas suspensas'!$A$26,'Listas suspensas'!$B$22,IF(X322='Listas suspensas'!$A$32,'Listas suspensas'!$B$22,IF(X322='Listas suspensas'!$A$33,'Listas suspensas'!$B$21,IF(X322='Listas suspensas'!$A$24,'Listas suspensas'!$B$22,IF(X322='Listas suspensas'!$A$30,'Listas suspensas'!$B$21,""))))))))</f>
        <v>6.5</v>
      </c>
      <c r="Z322" s="8" t="s">
        <v>80</v>
      </c>
      <c r="AA322" s="8">
        <v>1</v>
      </c>
      <c r="AB322" s="8" t="str">
        <f>IF(AA322='Listas suspensas'!$A$2,'Listas suspensas'!$B$2,IF(AA322='Listas suspensas'!$A$3,'Listas suspensas'!$B$3,IF(AA322='Listas suspensas'!$A$4,'Listas suspensas'!$B$4,IF(AA322='Listas suspensas'!$A$5,'Listas suspensas'!$B$5,IF(AA322='Listas suspensas'!$A$6,'Listas suspensas'!$B$6,"")))))</f>
        <v>Profunda e regular</v>
      </c>
      <c r="AC322" s="8" t="str">
        <f>IF(AA322='Listas suspensas'!$A$2,'Listas suspensas'!$C$2,IF(AA322='Listas suspensas'!$A$3,'Listas suspensas'!$C$3,IF(AA322='Listas suspensas'!$A$4,'Listas suspensas'!$C$4,IF(AA322='Listas suspensas'!$A$5,'Listas suspensas'!$C$5,IF(AA322='Listas suspensas'!$A$6,'Listas suspensas'!$C$6,"")))))</f>
        <v>Indica a penetração profunda e uniforme em toda a extensão do alburno.</v>
      </c>
      <c r="BD322" s="13">
        <v>0.60799999999999998</v>
      </c>
      <c r="BE322" s="18">
        <f t="shared" si="67"/>
        <v>608</v>
      </c>
      <c r="BF322" s="8">
        <v>0.51600000000000001</v>
      </c>
      <c r="BG322" s="8">
        <v>0.19</v>
      </c>
      <c r="BH322" s="8">
        <v>0.318</v>
      </c>
      <c r="BI322" s="13">
        <f>SUM(BF322:BH322)</f>
        <v>1.024</v>
      </c>
      <c r="BJ322" s="14">
        <v>50.4</v>
      </c>
      <c r="BK322" s="14">
        <v>18.600000000000001</v>
      </c>
      <c r="BL322" s="14">
        <v>31</v>
      </c>
      <c r="BM322" s="16">
        <f t="shared" si="62"/>
        <v>100</v>
      </c>
      <c r="BN322" s="21">
        <f t="shared" si="63"/>
        <v>3.14</v>
      </c>
      <c r="BO322" s="21">
        <f t="shared" si="64"/>
        <v>1.1599999999999999</v>
      </c>
      <c r="BP322" s="21">
        <f t="shared" si="65"/>
        <v>1.93</v>
      </c>
      <c r="BQ322" s="14">
        <f t="shared" si="66"/>
        <v>6.23</v>
      </c>
      <c r="BR322" s="22" t="str">
        <f>IF(OR(AND(X322="Mourões", BQ322&gt;=6.5),AND(X322="Postes", BQ322&gt;=9.6),AND(X322="Dormentes", BQ322&gt;=9.6),AND(X322="Estacas", BQ322&gt;=6.5),AND(X322="Cruzetas", BQ322&gt;=6.5),AND(X322="Outros - Solo", BQ322&gt;=6.5),AND(X322="Outros - Suspenso",BQ322&gt;=4),AND(X322="Deck",BQ322&gt;=4)),'Listas suspensas'!$C$21,'Listas suspensas'!$C$22)</f>
        <v>Os resultados da análise química apresentaram uma retenção do produto inferior ao padrão mínimo exigido pela norma ABNT NBR 16143</v>
      </c>
    </row>
    <row r="323" spans="2:70" x14ac:dyDescent="0.25">
      <c r="B323" s="8" t="s">
        <v>841</v>
      </c>
      <c r="C323" s="8" t="s">
        <v>71</v>
      </c>
      <c r="F323" s="11">
        <v>45896</v>
      </c>
      <c r="G323" s="11">
        <v>45901</v>
      </c>
      <c r="H323" s="11">
        <v>45919</v>
      </c>
      <c r="I323" s="8" t="s">
        <v>831</v>
      </c>
      <c r="J323" s="8" t="s">
        <v>832</v>
      </c>
      <c r="K323" s="8" t="s">
        <v>92</v>
      </c>
      <c r="L323" s="8" t="s">
        <v>15</v>
      </c>
      <c r="M323" s="30" t="s">
        <v>833</v>
      </c>
      <c r="N323" s="8" t="s">
        <v>75</v>
      </c>
      <c r="O323" s="8" t="s">
        <v>76</v>
      </c>
      <c r="P323" s="28" t="s">
        <v>146</v>
      </c>
      <c r="Q323" s="16" t="s">
        <v>842</v>
      </c>
      <c r="X323" s="8" t="s">
        <v>79</v>
      </c>
      <c r="Y323" s="34">
        <f>IF(X323='Listas suspensas'!$A$21,'Listas suspensas'!$B$23,IF(X323='Listas suspensas'!$A$22,'Listas suspensas'!$B$23,IF(X323='Listas suspensas'!$A$23,'Listas suspensas'!$B$22,IF(X323='Listas suspensas'!$A$26,'Listas suspensas'!$B$22,IF(X323='Listas suspensas'!$A$32,'Listas suspensas'!$B$22,IF(X323='Listas suspensas'!$A$33,'Listas suspensas'!$B$21,IF(X323='Listas suspensas'!$A$24,'Listas suspensas'!$B$22,IF(X323='Listas suspensas'!$A$30,'Listas suspensas'!$B$21,""))))))))</f>
        <v>6.5</v>
      </c>
      <c r="Z323" s="8" t="s">
        <v>80</v>
      </c>
      <c r="AA323" s="8">
        <v>1</v>
      </c>
      <c r="AB323" s="8" t="str">
        <f>IF(AA323='Listas suspensas'!$A$2,'Listas suspensas'!$B$2,IF(AA323='Listas suspensas'!$A$3,'Listas suspensas'!$B$3,IF(AA323='Listas suspensas'!$A$4,'Listas suspensas'!$B$4,IF(AA323='Listas suspensas'!$A$5,'Listas suspensas'!$B$5,IF(AA323='Listas suspensas'!$A$6,'Listas suspensas'!$B$6,"")))))</f>
        <v>Profunda e regular</v>
      </c>
      <c r="AC323" s="8" t="str">
        <f>IF(AA323='Listas suspensas'!$A$2,'Listas suspensas'!$C$2,IF(AA323='Listas suspensas'!$A$3,'Listas suspensas'!$C$3,IF(AA323='Listas suspensas'!$A$4,'Listas suspensas'!$C$4,IF(AA323='Listas suspensas'!$A$5,'Listas suspensas'!$C$5,IF(AA323='Listas suspensas'!$A$6,'Listas suspensas'!$C$6,"")))))</f>
        <v>Indica a penetração profunda e uniforme em toda a extensão do alburno.</v>
      </c>
      <c r="BD323" s="13">
        <v>0.57499999999999996</v>
      </c>
      <c r="BE323" s="18">
        <f t="shared" si="67"/>
        <v>575</v>
      </c>
      <c r="BF323" s="8">
        <v>0.501</v>
      </c>
      <c r="BG323" s="8">
        <v>0.23</v>
      </c>
      <c r="BH323" s="8">
        <v>0.35799999999999998</v>
      </c>
      <c r="BI323" s="13">
        <f t="shared" ref="BI323:BI386" si="68">SUM(BF323:BH323)</f>
        <v>1.089</v>
      </c>
      <c r="BJ323" s="14">
        <v>46</v>
      </c>
      <c r="BK323" s="14">
        <v>21.2</v>
      </c>
      <c r="BL323" s="14">
        <v>32.799999999999997</v>
      </c>
      <c r="BM323" s="16">
        <f t="shared" si="62"/>
        <v>100</v>
      </c>
      <c r="BN323" s="21">
        <f t="shared" si="63"/>
        <v>2.88</v>
      </c>
      <c r="BO323" s="21">
        <f t="shared" si="64"/>
        <v>1.32</v>
      </c>
      <c r="BP323" s="21">
        <f t="shared" si="65"/>
        <v>2.06</v>
      </c>
      <c r="BQ323" s="14">
        <f t="shared" si="66"/>
        <v>6.26</v>
      </c>
      <c r="BR323" s="22" t="str">
        <f>IF(OR(AND(X323="Mourões", BQ323&gt;=6.5),AND(X323="Postes", BQ323&gt;=9.6),AND(X323="Dormentes", BQ323&gt;=9.6),AND(X323="Estacas", BQ323&gt;=6.5),AND(X323="Cruzetas", BQ323&gt;=6.5),AND(X323="Outros - Solo", BQ323&gt;=6.5),AND(X323="Outros - Suspenso",BQ323&gt;=4),AND(X323="Deck",BQ323&gt;=4)),'Listas suspensas'!$C$21,'Listas suspensas'!$C$22)</f>
        <v>Os resultados da análise química apresentaram uma retenção do produto inferior ao padrão mínimo exigido pela norma ABNT NBR 16143</v>
      </c>
    </row>
    <row r="324" spans="2:70" x14ac:dyDescent="0.25">
      <c r="B324" s="8" t="s">
        <v>843</v>
      </c>
      <c r="C324" s="8" t="s">
        <v>71</v>
      </c>
      <c r="F324" s="11">
        <v>45896</v>
      </c>
      <c r="G324" s="11">
        <v>45901</v>
      </c>
      <c r="H324" s="11">
        <v>45919</v>
      </c>
      <c r="I324" s="8" t="s">
        <v>844</v>
      </c>
      <c r="J324" s="8" t="s">
        <v>845</v>
      </c>
      <c r="K324" s="8" t="s">
        <v>92</v>
      </c>
      <c r="L324" s="8" t="s">
        <v>15</v>
      </c>
      <c r="M324" s="30" t="s">
        <v>846</v>
      </c>
      <c r="N324" s="8" t="s">
        <v>75</v>
      </c>
      <c r="O324" s="8" t="s">
        <v>76</v>
      </c>
      <c r="P324" s="28" t="s">
        <v>146</v>
      </c>
      <c r="Q324" s="16" t="s">
        <v>847</v>
      </c>
      <c r="X324" s="8" t="s">
        <v>79</v>
      </c>
      <c r="Y324" s="34">
        <f>IF(X324='Listas suspensas'!$A$21,'Listas suspensas'!$B$23,IF(X324='Listas suspensas'!$A$22,'Listas suspensas'!$B$23,IF(X324='Listas suspensas'!$A$23,'Listas suspensas'!$B$22,IF(X324='Listas suspensas'!$A$26,'Listas suspensas'!$B$22,IF(X324='Listas suspensas'!$A$32,'Listas suspensas'!$B$22,IF(X324='Listas suspensas'!$A$33,'Listas suspensas'!$B$21,IF(X324='Listas suspensas'!$A$24,'Listas suspensas'!$B$22,IF(X324='Listas suspensas'!$A$30,'Listas suspensas'!$B$21,""))))))))</f>
        <v>6.5</v>
      </c>
      <c r="Z324" s="8" t="s">
        <v>80</v>
      </c>
      <c r="AA324" s="8">
        <v>1</v>
      </c>
      <c r="AB324" s="8" t="str">
        <f>IF(AA324='Listas suspensas'!$A$2,'Listas suspensas'!$B$2,IF(AA324='Listas suspensas'!$A$3,'Listas suspensas'!$B$3,IF(AA324='Listas suspensas'!$A$4,'Listas suspensas'!$B$4,IF(AA324='Listas suspensas'!$A$5,'Listas suspensas'!$B$5,IF(AA324='Listas suspensas'!$A$6,'Listas suspensas'!$B$6,"")))))</f>
        <v>Profunda e regular</v>
      </c>
      <c r="AC324" s="8" t="str">
        <f>IF(AA324='Listas suspensas'!$A$2,'Listas suspensas'!$C$2,IF(AA324='Listas suspensas'!$A$3,'Listas suspensas'!$C$3,IF(AA324='Listas suspensas'!$A$4,'Listas suspensas'!$C$4,IF(AA324='Listas suspensas'!$A$5,'Listas suspensas'!$C$5,IF(AA324='Listas suspensas'!$A$6,'Listas suspensas'!$C$6,"")))))</f>
        <v>Indica a penetração profunda e uniforme em toda a extensão do alburno.</v>
      </c>
      <c r="BD324" s="13">
        <v>0.57099999999999995</v>
      </c>
      <c r="BE324" s="18">
        <f t="shared" si="67"/>
        <v>571</v>
      </c>
      <c r="BF324" s="8">
        <v>0.91300000000000003</v>
      </c>
      <c r="BG324" s="8">
        <v>0.33400000000000002</v>
      </c>
      <c r="BH324" s="8">
        <v>0.58799999999999997</v>
      </c>
      <c r="BI324" s="13">
        <f t="shared" si="68"/>
        <v>1.835</v>
      </c>
      <c r="BJ324" s="14">
        <v>49.8</v>
      </c>
      <c r="BK324" s="14">
        <v>18.2</v>
      </c>
      <c r="BL324" s="14">
        <v>32</v>
      </c>
      <c r="BM324" s="16">
        <f t="shared" si="62"/>
        <v>100</v>
      </c>
      <c r="BN324" s="21">
        <f t="shared" si="63"/>
        <v>5.21</v>
      </c>
      <c r="BO324" s="21">
        <f t="shared" si="64"/>
        <v>1.91</v>
      </c>
      <c r="BP324" s="21">
        <f t="shared" si="65"/>
        <v>3.36</v>
      </c>
      <c r="BQ324" s="14">
        <f t="shared" si="66"/>
        <v>10.48</v>
      </c>
      <c r="BR324" s="22" t="str">
        <f>IF(OR(AND(X324="Mourões", BQ324&gt;=6.5),AND(X324="Postes", BQ324&gt;=9.6),AND(X324="Dormentes", BQ324&gt;=9.6),AND(X324="Estacas", BQ324&gt;=6.5),AND(X324="Cruzetas", BQ324&gt;=6.5),AND(X324="Outros - Solo", BQ324&gt;=6.5),AND(X324="Outros - Suspenso",BQ324&gt;=4),AND(X324="Deck",BQ324&gt;=4)),'Listas suspensas'!$C$21,'Listas suspensas'!$C$22)</f>
        <v>Os resultados da análise química apresentaram uma retenção do produto de acordo com o padrão mínimo exigido pela norma ABNT NBR 16143</v>
      </c>
    </row>
    <row r="325" spans="2:70" x14ac:dyDescent="0.25">
      <c r="B325" s="8" t="s">
        <v>848</v>
      </c>
      <c r="C325" s="8" t="s">
        <v>71</v>
      </c>
      <c r="F325" s="11">
        <v>45896</v>
      </c>
      <c r="G325" s="11">
        <v>45901</v>
      </c>
      <c r="H325" s="11">
        <v>45919</v>
      </c>
      <c r="I325" s="8" t="s">
        <v>844</v>
      </c>
      <c r="J325" s="8" t="s">
        <v>845</v>
      </c>
      <c r="K325" s="8" t="s">
        <v>92</v>
      </c>
      <c r="L325" s="8" t="s">
        <v>15</v>
      </c>
      <c r="M325" s="30" t="s">
        <v>846</v>
      </c>
      <c r="N325" s="8" t="s">
        <v>75</v>
      </c>
      <c r="O325" s="8" t="s">
        <v>76</v>
      </c>
      <c r="P325" s="28" t="s">
        <v>146</v>
      </c>
      <c r="Q325" s="16" t="s">
        <v>849</v>
      </c>
      <c r="X325" s="8" t="s">
        <v>79</v>
      </c>
      <c r="Y325" s="34">
        <f>IF(X325='Listas suspensas'!$A$21,'Listas suspensas'!$B$23,IF(X325='Listas suspensas'!$A$22,'Listas suspensas'!$B$23,IF(X325='Listas suspensas'!$A$23,'Listas suspensas'!$B$22,IF(X325='Listas suspensas'!$A$26,'Listas suspensas'!$B$22,IF(X325='Listas suspensas'!$A$32,'Listas suspensas'!$B$22,IF(X325='Listas suspensas'!$A$33,'Listas suspensas'!$B$21,IF(X325='Listas suspensas'!$A$24,'Listas suspensas'!$B$22,IF(X325='Listas suspensas'!$A$30,'Listas suspensas'!$B$21,""))))))))</f>
        <v>6.5</v>
      </c>
      <c r="Z325" s="8" t="s">
        <v>80</v>
      </c>
      <c r="AA325" s="8">
        <v>1</v>
      </c>
      <c r="AB325" s="8" t="str">
        <f>IF(AA325='Listas suspensas'!$A$2,'Listas suspensas'!$B$2,IF(AA325='Listas suspensas'!$A$3,'Listas suspensas'!$B$3,IF(AA325='Listas suspensas'!$A$4,'Listas suspensas'!$B$4,IF(AA325='Listas suspensas'!$A$5,'Listas suspensas'!$B$5,IF(AA325='Listas suspensas'!$A$6,'Listas suspensas'!$B$6,"")))))</f>
        <v>Profunda e regular</v>
      </c>
      <c r="AC325" s="8" t="str">
        <f>IF(AA325='Listas suspensas'!$A$2,'Listas suspensas'!$C$2,IF(AA325='Listas suspensas'!$A$3,'Listas suspensas'!$C$3,IF(AA325='Listas suspensas'!$A$4,'Listas suspensas'!$C$4,IF(AA325='Listas suspensas'!$A$5,'Listas suspensas'!$C$5,IF(AA325='Listas suspensas'!$A$6,'Listas suspensas'!$C$6,"")))))</f>
        <v>Indica a penetração profunda e uniforme em toda a extensão do alburno.</v>
      </c>
      <c r="BD325" s="13">
        <v>0.73799999999999999</v>
      </c>
      <c r="BE325" s="18">
        <f t="shared" si="67"/>
        <v>738</v>
      </c>
      <c r="BF325" s="8">
        <v>0.54100000000000004</v>
      </c>
      <c r="BG325" s="8">
        <v>0.20499999999999999</v>
      </c>
      <c r="BH325" s="8">
        <v>0.36599999999999999</v>
      </c>
      <c r="BI325" s="13">
        <f t="shared" si="68"/>
        <v>1.1120000000000001</v>
      </c>
      <c r="BJ325" s="14">
        <v>48.7</v>
      </c>
      <c r="BK325" s="14">
        <v>18.399999999999999</v>
      </c>
      <c r="BL325" s="14">
        <v>32.9</v>
      </c>
      <c r="BM325" s="16">
        <f t="shared" si="62"/>
        <v>100</v>
      </c>
      <c r="BN325" s="21">
        <f t="shared" si="63"/>
        <v>3.99</v>
      </c>
      <c r="BO325" s="21">
        <f t="shared" si="64"/>
        <v>1.51</v>
      </c>
      <c r="BP325" s="21">
        <f t="shared" si="65"/>
        <v>2.7</v>
      </c>
      <c r="BQ325" s="14">
        <f t="shared" si="66"/>
        <v>8.1999999999999993</v>
      </c>
      <c r="BR325" s="22" t="str">
        <f>IF(OR(AND(X325="Mourões", BQ325&gt;=6.5),AND(X325="Postes", BQ325&gt;=9.6),AND(X325="Dormentes", BQ325&gt;=9.6),AND(X325="Estacas", BQ325&gt;=6.5),AND(X325="Cruzetas", BQ325&gt;=6.5),AND(X325="Outros - Solo", BQ325&gt;=6.5),AND(X325="Outros - Suspenso",BQ325&gt;=4),AND(X325="Deck",BQ325&gt;=4)),'Listas suspensas'!$C$21,'Listas suspensas'!$C$22)</f>
        <v>Os resultados da análise química apresentaram uma retenção do produto de acordo com o padrão mínimo exigido pela norma ABNT NBR 16143</v>
      </c>
    </row>
    <row r="326" spans="2:70" x14ac:dyDescent="0.25">
      <c r="B326" s="8" t="s">
        <v>850</v>
      </c>
      <c r="C326" s="8" t="s">
        <v>71</v>
      </c>
      <c r="F326" s="11">
        <v>45903</v>
      </c>
      <c r="G326" s="11">
        <v>45905</v>
      </c>
      <c r="H326" s="11">
        <v>45919</v>
      </c>
      <c r="I326" s="8" t="s">
        <v>851</v>
      </c>
      <c r="J326" s="8" t="s">
        <v>852</v>
      </c>
      <c r="K326" s="8" t="s">
        <v>74</v>
      </c>
      <c r="L326" s="8" t="s">
        <v>15</v>
      </c>
      <c r="M326" s="30" t="s">
        <v>853</v>
      </c>
      <c r="N326" s="8" t="s">
        <v>75</v>
      </c>
      <c r="O326" s="8" t="s">
        <v>76</v>
      </c>
      <c r="P326" s="28" t="s">
        <v>77</v>
      </c>
      <c r="Q326" s="16" t="s">
        <v>854</v>
      </c>
      <c r="X326" s="8" t="s">
        <v>79</v>
      </c>
      <c r="Y326" s="34">
        <f>IF(X326='Listas suspensas'!$A$21,'Listas suspensas'!$B$23,IF(X326='Listas suspensas'!$A$22,'Listas suspensas'!$B$23,IF(X326='Listas suspensas'!$A$23,'Listas suspensas'!$B$22,IF(X326='Listas suspensas'!$A$26,'Listas suspensas'!$B$22,IF(X326='Listas suspensas'!$A$32,'Listas suspensas'!$B$22,IF(X326='Listas suspensas'!$A$33,'Listas suspensas'!$B$21,IF(X326='Listas suspensas'!$A$24,'Listas suspensas'!$B$22,IF(X326='Listas suspensas'!$A$30,'Listas suspensas'!$B$21,""))))))))</f>
        <v>6.5</v>
      </c>
      <c r="Z326" s="8" t="s">
        <v>80</v>
      </c>
      <c r="AA326" s="8">
        <v>1</v>
      </c>
      <c r="AB326" s="8" t="str">
        <f>IF(AA326='Listas suspensas'!$A$2,'Listas suspensas'!$B$2,IF(AA326='Listas suspensas'!$A$3,'Listas suspensas'!$B$3,IF(AA326='Listas suspensas'!$A$4,'Listas suspensas'!$B$4,IF(AA326='Listas suspensas'!$A$5,'Listas suspensas'!$B$5,IF(AA326='Listas suspensas'!$A$6,'Listas suspensas'!$B$6,"")))))</f>
        <v>Profunda e regular</v>
      </c>
      <c r="AC326" s="8" t="str">
        <f>IF(AA326='Listas suspensas'!$A$2,'Listas suspensas'!$C$2,IF(AA326='Listas suspensas'!$A$3,'Listas suspensas'!$C$3,IF(AA326='Listas suspensas'!$A$4,'Listas suspensas'!$C$4,IF(AA326='Listas suspensas'!$A$5,'Listas suspensas'!$C$5,IF(AA326='Listas suspensas'!$A$6,'Listas suspensas'!$C$6,"")))))</f>
        <v>Indica a penetração profunda e uniforme em toda a extensão do alburno.</v>
      </c>
      <c r="BD326" s="13">
        <v>0.78600000000000003</v>
      </c>
      <c r="BE326" s="18">
        <f t="shared" si="67"/>
        <v>786</v>
      </c>
      <c r="BF326" s="8">
        <v>0.441</v>
      </c>
      <c r="BG326" s="8">
        <v>0.23599999999999999</v>
      </c>
      <c r="BH326" s="8">
        <v>0.42199999999999999</v>
      </c>
      <c r="BI326" s="13">
        <f t="shared" si="68"/>
        <v>1.099</v>
      </c>
      <c r="BJ326" s="14">
        <v>40.1</v>
      </c>
      <c r="BK326" s="14">
        <v>21.4</v>
      </c>
      <c r="BL326" s="14">
        <v>38.5</v>
      </c>
      <c r="BM326" s="16">
        <f t="shared" si="62"/>
        <v>100</v>
      </c>
      <c r="BN326" s="21">
        <f t="shared" si="63"/>
        <v>3.47</v>
      </c>
      <c r="BO326" s="21">
        <f t="shared" si="64"/>
        <v>1.85</v>
      </c>
      <c r="BP326" s="21">
        <f t="shared" si="65"/>
        <v>3.32</v>
      </c>
      <c r="BQ326" s="14">
        <f t="shared" si="66"/>
        <v>8.64</v>
      </c>
      <c r="BR326" s="22" t="str">
        <f>IF(OR(AND(X326="Mourões", BQ326&gt;=6.5),AND(X326="Postes", BQ326&gt;=9.6),AND(X326="Dormentes", BQ326&gt;=9.6),AND(X326="Estacas", BQ326&gt;=6.5),AND(X326="Cruzetas", BQ326&gt;=6.5),AND(X326="Outros - Solo", BQ326&gt;=6.5),AND(X326="Outros - Suspenso",BQ326&gt;=4),AND(X326="Deck",BQ326&gt;=4)),'Listas suspensas'!$C$21,'Listas suspensas'!$C$22)</f>
        <v>Os resultados da análise química apresentaram uma retenção do produto de acordo com o padrão mínimo exigido pela norma ABNT NBR 16143</v>
      </c>
    </row>
    <row r="327" spans="2:70" x14ac:dyDescent="0.25">
      <c r="B327" s="8" t="s">
        <v>855</v>
      </c>
      <c r="C327" s="8" t="s">
        <v>71</v>
      </c>
      <c r="F327" s="11">
        <v>45903</v>
      </c>
      <c r="G327" s="11">
        <v>45905</v>
      </c>
      <c r="H327" s="11">
        <v>45923</v>
      </c>
      <c r="I327" s="8" t="s">
        <v>851</v>
      </c>
      <c r="J327" s="8" t="s">
        <v>852</v>
      </c>
      <c r="K327" s="8" t="s">
        <v>74</v>
      </c>
      <c r="L327" s="8" t="s">
        <v>15</v>
      </c>
      <c r="M327" s="30" t="s">
        <v>853</v>
      </c>
      <c r="N327" s="8" t="s">
        <v>75</v>
      </c>
      <c r="O327" s="8" t="s">
        <v>76</v>
      </c>
      <c r="P327" s="28" t="s">
        <v>77</v>
      </c>
      <c r="Q327" s="16" t="s">
        <v>856</v>
      </c>
      <c r="X327" s="8" t="s">
        <v>79</v>
      </c>
      <c r="Y327" s="34">
        <f>IF(X327='Listas suspensas'!$A$21,'Listas suspensas'!$B$23,IF(X327='Listas suspensas'!$A$22,'Listas suspensas'!$B$23,IF(X327='Listas suspensas'!$A$23,'Listas suspensas'!$B$22,IF(X327='Listas suspensas'!$A$26,'Listas suspensas'!$B$22,IF(X327='Listas suspensas'!$A$32,'Listas suspensas'!$B$22,IF(X327='Listas suspensas'!$A$33,'Listas suspensas'!$B$21,IF(X327='Listas suspensas'!$A$24,'Listas suspensas'!$B$22,IF(X327='Listas suspensas'!$A$30,'Listas suspensas'!$B$21,""))))))))</f>
        <v>6.5</v>
      </c>
      <c r="Z327" s="8" t="s">
        <v>80</v>
      </c>
      <c r="AA327" s="8">
        <v>1</v>
      </c>
      <c r="AB327" s="8" t="str">
        <f>IF(AA327='Listas suspensas'!$A$2,'Listas suspensas'!$B$2,IF(AA327='Listas suspensas'!$A$3,'Listas suspensas'!$B$3,IF(AA327='Listas suspensas'!$A$4,'Listas suspensas'!$B$4,IF(AA327='Listas suspensas'!$A$5,'Listas suspensas'!$B$5,IF(AA327='Listas suspensas'!$A$6,'Listas suspensas'!$B$6,"")))))</f>
        <v>Profunda e regular</v>
      </c>
      <c r="AC327" s="8" t="str">
        <f>IF(AA327='Listas suspensas'!$A$2,'Listas suspensas'!$C$2,IF(AA327='Listas suspensas'!$A$3,'Listas suspensas'!$C$3,IF(AA327='Listas suspensas'!$A$4,'Listas suspensas'!$C$4,IF(AA327='Listas suspensas'!$A$5,'Listas suspensas'!$C$5,IF(AA327='Listas suspensas'!$A$6,'Listas suspensas'!$C$6,"")))))</f>
        <v>Indica a penetração profunda e uniforme em toda a extensão do alburno.</v>
      </c>
      <c r="BD327" s="13">
        <v>0.73</v>
      </c>
      <c r="BE327" s="18">
        <f t="shared" si="67"/>
        <v>730</v>
      </c>
      <c r="BF327" s="8">
        <v>0.42199999999999999</v>
      </c>
      <c r="BG327" s="8">
        <v>0.20499999999999999</v>
      </c>
      <c r="BH327" s="8">
        <v>0.36599999999999999</v>
      </c>
      <c r="BI327" s="13">
        <f t="shared" si="68"/>
        <v>0.99299999999999999</v>
      </c>
      <c r="BJ327" s="14">
        <v>42.5</v>
      </c>
      <c r="BK327" s="14">
        <v>20.7</v>
      </c>
      <c r="BL327" s="14">
        <v>36.799999999999997</v>
      </c>
      <c r="BM327" s="16">
        <f t="shared" si="62"/>
        <v>100</v>
      </c>
      <c r="BN327" s="21">
        <f t="shared" si="63"/>
        <v>3.08</v>
      </c>
      <c r="BO327" s="21">
        <f t="shared" si="64"/>
        <v>1.5</v>
      </c>
      <c r="BP327" s="21">
        <f t="shared" si="65"/>
        <v>2.67</v>
      </c>
      <c r="BQ327" s="14">
        <f t="shared" si="66"/>
        <v>7.25</v>
      </c>
      <c r="BR327" s="22" t="str">
        <f>IF(OR(AND(X327="Mourões", BQ327&gt;=6.5),AND(X327="Postes", BQ327&gt;=9.6),AND(X327="Dormentes", BQ327&gt;=9.6),AND(X327="Estacas", BQ327&gt;=6.5),AND(X327="Cruzetas", BQ327&gt;=6.5),AND(X327="Outros - Solo", BQ327&gt;=6.5),AND(X327="Outros - Suspenso",BQ327&gt;=4),AND(X327="Deck",BQ327&gt;=4)),'Listas suspensas'!$C$21,'Listas suspensas'!$C$22)</f>
        <v>Os resultados da análise química apresentaram uma retenção do produto de acordo com o padrão mínimo exigido pela norma ABNT NBR 16143</v>
      </c>
    </row>
    <row r="328" spans="2:70" x14ac:dyDescent="0.25">
      <c r="B328" s="8" t="s">
        <v>857</v>
      </c>
      <c r="C328" s="8" t="s">
        <v>71</v>
      </c>
      <c r="F328" s="11">
        <v>45908</v>
      </c>
      <c r="G328" s="11">
        <v>45908</v>
      </c>
      <c r="H328" s="11">
        <v>45911</v>
      </c>
      <c r="I328" s="8" t="s">
        <v>685</v>
      </c>
      <c r="J328" s="8" t="s">
        <v>686</v>
      </c>
      <c r="K328" s="8" t="s">
        <v>92</v>
      </c>
      <c r="L328" s="8" t="s">
        <v>15</v>
      </c>
      <c r="M328" s="30" t="s">
        <v>687</v>
      </c>
      <c r="N328" s="8" t="s">
        <v>75</v>
      </c>
      <c r="O328" s="8" t="s">
        <v>94</v>
      </c>
      <c r="P328" s="28" t="s">
        <v>174</v>
      </c>
      <c r="Q328" s="16" t="s">
        <v>858</v>
      </c>
      <c r="X328" s="8" t="s">
        <v>98</v>
      </c>
      <c r="Y328" s="34">
        <f>IF(X328='Listas suspensas'!$A$21,'Listas suspensas'!$B$23,IF(X328='Listas suspensas'!$A$22,'Listas suspensas'!$B$23,IF(X328='Listas suspensas'!$A$23,'Listas suspensas'!$B$22,IF(X328='Listas suspensas'!$A$26,'Listas suspensas'!$B$22,IF(X328='Listas suspensas'!$A$32,'Listas suspensas'!$B$22,IF(X328='Listas suspensas'!$A$33,'Listas suspensas'!$B$21,IF(X328='Listas suspensas'!$A$24,'Listas suspensas'!$B$22,IF(X328='Listas suspensas'!$A$30,'Listas suspensas'!$B$21,""))))))))</f>
        <v>9.6</v>
      </c>
      <c r="Z328" s="8" t="s">
        <v>80</v>
      </c>
      <c r="AA328" s="8">
        <v>4</v>
      </c>
      <c r="AB328" s="8" t="str">
        <f>IF(AA328='Listas suspensas'!$A$2,'Listas suspensas'!$B$2,IF(AA328='Listas suspensas'!$A$3,'Listas suspensas'!$B$3,IF(AA328='Listas suspensas'!$A$4,'Listas suspensas'!$B$4,IF(AA328='Listas suspensas'!$A$5,'Listas suspensas'!$B$5,IF(AA328='Listas suspensas'!$A$6,'Listas suspensas'!$B$6,"")))))</f>
        <v>Parcial e irregular</v>
      </c>
      <c r="AC328" s="8" t="str">
        <f>IF(AA328='Listas suspensas'!$A$2,'Listas suspensas'!$C$2,IF(AA328='Listas suspensas'!$A$3,'Listas suspensas'!$C$3,IF(AA328='Listas suspensas'!$A$4,'Listas suspensas'!$C$4,IF(AA328='Listas suspensas'!$A$5,'Listas suspensas'!$C$5,IF(AA328='Listas suspensas'!$A$6,'Listas suspensas'!$C$6,"")))))</f>
        <v>Indica a penetração desuniforme e não total pela extensão do alburno.</v>
      </c>
      <c r="BD328" s="13">
        <v>0.88800000000000001</v>
      </c>
      <c r="BE328" s="18">
        <f t="shared" si="67"/>
        <v>888</v>
      </c>
      <c r="BF328" s="8">
        <v>0.57099999999999995</v>
      </c>
      <c r="BG328" s="8">
        <v>0.26</v>
      </c>
      <c r="BH328" s="8">
        <v>0.61199999999999999</v>
      </c>
      <c r="BI328" s="13">
        <f t="shared" si="68"/>
        <v>1.4430000000000001</v>
      </c>
      <c r="BJ328" s="14">
        <v>39.6</v>
      </c>
      <c r="BK328" s="14">
        <v>18</v>
      </c>
      <c r="BL328" s="14">
        <v>42.4</v>
      </c>
      <c r="BM328" s="16">
        <f t="shared" si="62"/>
        <v>100</v>
      </c>
      <c r="BN328" s="21">
        <f t="shared" si="63"/>
        <v>5.07</v>
      </c>
      <c r="BO328" s="21">
        <f t="shared" si="64"/>
        <v>2.31</v>
      </c>
      <c r="BP328" s="21">
        <f t="shared" si="65"/>
        <v>5.43</v>
      </c>
      <c r="BQ328" s="14">
        <f t="shared" si="66"/>
        <v>12.81</v>
      </c>
      <c r="BR328" s="22" t="str">
        <f>IF(OR(AND(X328="Mourões", BQ328&gt;=6.5),AND(X328="Postes", BQ328&gt;=9.6),AND(X328="Dormentes", BQ328&gt;=9.6),AND(X328="Estacas", BQ328&gt;=6.5),AND(X328="Cruzetas", BQ328&gt;=6.5),AND(X328="Outros - Solo", BQ328&gt;=6.5),AND(X328="Outros - Suspenso",BQ328&gt;=4),AND(X328="Deck",BQ328&gt;=4)),'Listas suspensas'!$C$21,'Listas suspensas'!$C$22)</f>
        <v>Os resultados da análise química apresentaram uma retenção do produto de acordo com o padrão mínimo exigido pela norma ABNT NBR 16143</v>
      </c>
    </row>
    <row r="329" spans="2:70" x14ac:dyDescent="0.25">
      <c r="B329" s="8" t="s">
        <v>859</v>
      </c>
      <c r="C329" s="8" t="s">
        <v>71</v>
      </c>
      <c r="F329" s="11">
        <v>45908</v>
      </c>
      <c r="G329" s="11">
        <v>45908</v>
      </c>
      <c r="H329" s="11">
        <v>45911</v>
      </c>
      <c r="I329" s="8" t="s">
        <v>685</v>
      </c>
      <c r="J329" s="8" t="s">
        <v>686</v>
      </c>
      <c r="K329" s="8" t="s">
        <v>92</v>
      </c>
      <c r="L329" s="8" t="s">
        <v>15</v>
      </c>
      <c r="M329" s="30" t="s">
        <v>687</v>
      </c>
      <c r="N329" s="8" t="s">
        <v>75</v>
      </c>
      <c r="O329" s="8" t="s">
        <v>94</v>
      </c>
      <c r="P329" s="28" t="s">
        <v>174</v>
      </c>
      <c r="Q329" s="16" t="s">
        <v>860</v>
      </c>
      <c r="X329" s="8" t="s">
        <v>98</v>
      </c>
      <c r="Y329" s="34">
        <f>IF(X329='Listas suspensas'!$A$21,'Listas suspensas'!$B$23,IF(X329='Listas suspensas'!$A$22,'Listas suspensas'!$B$23,IF(X329='Listas suspensas'!$A$23,'Listas suspensas'!$B$22,IF(X329='Listas suspensas'!$A$26,'Listas suspensas'!$B$22,IF(X329='Listas suspensas'!$A$32,'Listas suspensas'!$B$22,IF(X329='Listas suspensas'!$A$33,'Listas suspensas'!$B$21,IF(X329='Listas suspensas'!$A$24,'Listas suspensas'!$B$22,IF(X329='Listas suspensas'!$A$30,'Listas suspensas'!$B$21,""))))))))</f>
        <v>9.6</v>
      </c>
      <c r="Z329" s="8" t="s">
        <v>80</v>
      </c>
      <c r="AA329" s="8">
        <v>5</v>
      </c>
      <c r="AB329" s="8" t="str">
        <f>IF(AA329='Listas suspensas'!$A$2,'Listas suspensas'!$B$2,IF(AA329='Listas suspensas'!$A$3,'Listas suspensas'!$B$3,IF(AA329='Listas suspensas'!$A$4,'Listas suspensas'!$B$4,IF(AA329='Listas suspensas'!$A$5,'Listas suspensas'!$B$5,IF(AA329='Listas suspensas'!$A$6,'Listas suspensas'!$B$6,"")))))</f>
        <v>Sem Reação do Cromoazurol</v>
      </c>
      <c r="AC329" s="8" t="str">
        <f>IF(AA329='Listas suspensas'!$A$2,'Listas suspensas'!$C$2,IF(AA329='Listas suspensas'!$A$3,'Listas suspensas'!$C$3,IF(AA329='Listas suspensas'!$A$4,'Listas suspensas'!$C$4,IF(AA329='Listas suspensas'!$A$5,'Listas suspensas'!$C$5,IF(AA329='Listas suspensas'!$A$6,'Listas suspensas'!$C$6,"")))))</f>
        <v>Sem Reação do Cromoazurol</v>
      </c>
      <c r="BD329" s="13">
        <v>0.996</v>
      </c>
      <c r="BE329" s="18">
        <f t="shared" si="67"/>
        <v>996</v>
      </c>
      <c r="BF329" s="8">
        <v>0.13400000000000001</v>
      </c>
      <c r="BG329" s="8">
        <v>6.2E-2</v>
      </c>
      <c r="BH329" s="8">
        <v>0.14099999999999999</v>
      </c>
      <c r="BI329" s="13">
        <f t="shared" si="68"/>
        <v>0.33699999999999997</v>
      </c>
      <c r="BJ329" s="14">
        <v>39.700000000000003</v>
      </c>
      <c r="BK329" s="14">
        <v>18.5</v>
      </c>
      <c r="BL329" s="14">
        <v>41.8</v>
      </c>
      <c r="BM329" s="16">
        <f t="shared" si="62"/>
        <v>100</v>
      </c>
      <c r="BN329" s="21">
        <f t="shared" si="63"/>
        <v>1.33</v>
      </c>
      <c r="BO329" s="21">
        <f t="shared" si="64"/>
        <v>0.62</v>
      </c>
      <c r="BP329" s="21">
        <f t="shared" si="65"/>
        <v>1.4</v>
      </c>
      <c r="BQ329" s="14">
        <f t="shared" si="66"/>
        <v>3.35</v>
      </c>
      <c r="BR329" s="22" t="str">
        <f>IF(OR(AND(X329="Mourões", BQ329&gt;=6.5),AND(X329="Postes", BQ329&gt;=9.6),AND(X329="Dormentes", BQ329&gt;=9.6),AND(X329="Estacas", BQ329&gt;=6.5),AND(X329="Cruzetas", BQ329&gt;=6.5),AND(X329="Outros - Solo", BQ329&gt;=6.5),AND(X329="Outros - Suspenso",BQ329&gt;=4),AND(X329="Deck",BQ329&gt;=4)),'Listas suspensas'!$C$21,'Listas suspensas'!$C$22)</f>
        <v>Os resultados da análise química apresentaram uma retenção do produto inferior ao padrão mínimo exigido pela norma ABNT NBR 16143</v>
      </c>
    </row>
    <row r="330" spans="2:70" x14ac:dyDescent="0.25">
      <c r="B330" s="8" t="s">
        <v>861</v>
      </c>
      <c r="C330" s="8" t="s">
        <v>71</v>
      </c>
      <c r="F330" s="11">
        <v>45908</v>
      </c>
      <c r="G330" s="11">
        <v>45908</v>
      </c>
      <c r="H330" s="11">
        <v>45911</v>
      </c>
      <c r="I330" s="8" t="s">
        <v>685</v>
      </c>
      <c r="J330" s="8" t="s">
        <v>686</v>
      </c>
      <c r="K330" s="8" t="s">
        <v>92</v>
      </c>
      <c r="L330" s="8" t="s">
        <v>15</v>
      </c>
      <c r="M330" s="30" t="s">
        <v>687</v>
      </c>
      <c r="N330" s="8" t="s">
        <v>75</v>
      </c>
      <c r="O330" s="8" t="s">
        <v>94</v>
      </c>
      <c r="P330" s="28" t="s">
        <v>174</v>
      </c>
      <c r="Q330" s="16" t="s">
        <v>862</v>
      </c>
      <c r="X330" s="8" t="s">
        <v>79</v>
      </c>
      <c r="Y330" s="34">
        <f>IF(X330='Listas suspensas'!$A$21,'Listas suspensas'!$B$23,IF(X330='Listas suspensas'!$A$22,'Listas suspensas'!$B$23,IF(X330='Listas suspensas'!$A$23,'Listas suspensas'!$B$22,IF(X330='Listas suspensas'!$A$26,'Listas suspensas'!$B$22,IF(X330='Listas suspensas'!$A$32,'Listas suspensas'!$B$22,IF(X330='Listas suspensas'!$A$33,'Listas suspensas'!$B$21,IF(X330='Listas suspensas'!$A$24,'Listas suspensas'!$B$22,IF(X330='Listas suspensas'!$A$30,'Listas suspensas'!$B$21,""))))))))</f>
        <v>6.5</v>
      </c>
      <c r="Z330" s="8" t="s">
        <v>80</v>
      </c>
      <c r="AA330" s="8">
        <v>4</v>
      </c>
      <c r="AB330" s="8" t="str">
        <f>IF(AA330='Listas suspensas'!$A$2,'Listas suspensas'!$B$2,IF(AA330='Listas suspensas'!$A$3,'Listas suspensas'!$B$3,IF(AA330='Listas suspensas'!$A$4,'Listas suspensas'!$B$4,IF(AA330='Listas suspensas'!$A$5,'Listas suspensas'!$B$5,IF(AA330='Listas suspensas'!$A$6,'Listas suspensas'!$B$6,"")))))</f>
        <v>Parcial e irregular</v>
      </c>
      <c r="AC330" s="8" t="str">
        <f>IF(AA330='Listas suspensas'!$A$2,'Listas suspensas'!$C$2,IF(AA330='Listas suspensas'!$A$3,'Listas suspensas'!$C$3,IF(AA330='Listas suspensas'!$A$4,'Listas suspensas'!$C$4,IF(AA330='Listas suspensas'!$A$5,'Listas suspensas'!$C$5,IF(AA330='Listas suspensas'!$A$6,'Listas suspensas'!$C$6,"")))))</f>
        <v>Indica a penetração desuniforme e não total pela extensão do alburno.</v>
      </c>
      <c r="BD330" s="13">
        <v>0.879</v>
      </c>
      <c r="BE330" s="18">
        <f t="shared" si="67"/>
        <v>879</v>
      </c>
      <c r="BF330" s="8">
        <v>0.41299999999999998</v>
      </c>
      <c r="BG330" s="8">
        <v>0.193</v>
      </c>
      <c r="BH330" s="8">
        <v>0.45100000000000001</v>
      </c>
      <c r="BI330" s="13">
        <f t="shared" si="68"/>
        <v>1.0569999999999999</v>
      </c>
      <c r="BJ330" s="14">
        <v>39.1</v>
      </c>
      <c r="BK330" s="14">
        <v>18.2</v>
      </c>
      <c r="BL330" s="14">
        <v>42.7</v>
      </c>
      <c r="BM330" s="16">
        <f t="shared" si="62"/>
        <v>100</v>
      </c>
      <c r="BN330" s="21">
        <f t="shared" si="63"/>
        <v>3.63</v>
      </c>
      <c r="BO330" s="21">
        <f t="shared" si="64"/>
        <v>1.7</v>
      </c>
      <c r="BP330" s="21">
        <f t="shared" si="65"/>
        <v>3.96</v>
      </c>
      <c r="BQ330" s="14">
        <f t="shared" si="66"/>
        <v>9.2899999999999991</v>
      </c>
      <c r="BR330" s="22" t="str">
        <f>IF(OR(AND(X330="Mourões", BQ330&gt;=6.5),AND(X330="Postes", BQ330&gt;=9.6),AND(X330="Dormentes", BQ330&gt;=9.6),AND(X330="Estacas", BQ330&gt;=6.5),AND(X330="Cruzetas", BQ330&gt;=6.5),AND(X330="Outros - Solo", BQ330&gt;=6.5),AND(X330="Outros - Suspenso",BQ330&gt;=4),AND(X330="Deck",BQ330&gt;=4)),'Listas suspensas'!$C$21,'Listas suspensas'!$C$22)</f>
        <v>Os resultados da análise química apresentaram uma retenção do produto de acordo com o padrão mínimo exigido pela norma ABNT NBR 16143</v>
      </c>
    </row>
    <row r="331" spans="2:70" x14ac:dyDescent="0.25">
      <c r="B331" s="8" t="s">
        <v>863</v>
      </c>
      <c r="C331" s="8" t="s">
        <v>71</v>
      </c>
      <c r="F331" s="11">
        <v>45908</v>
      </c>
      <c r="G331" s="11">
        <v>45908</v>
      </c>
      <c r="H331" s="11">
        <v>45911</v>
      </c>
      <c r="I331" s="8" t="s">
        <v>685</v>
      </c>
      <c r="J331" s="8" t="s">
        <v>686</v>
      </c>
      <c r="K331" s="8" t="s">
        <v>92</v>
      </c>
      <c r="L331" s="8" t="s">
        <v>15</v>
      </c>
      <c r="M331" s="30" t="s">
        <v>687</v>
      </c>
      <c r="N331" s="8" t="s">
        <v>75</v>
      </c>
      <c r="O331" s="8" t="s">
        <v>94</v>
      </c>
      <c r="P331" s="28" t="s">
        <v>174</v>
      </c>
      <c r="Q331" s="16" t="s">
        <v>864</v>
      </c>
      <c r="X331" s="8" t="s">
        <v>98</v>
      </c>
      <c r="Y331" s="34">
        <f>IF(X331='Listas suspensas'!$A$21,'Listas suspensas'!$B$23,IF(X331='Listas suspensas'!$A$22,'Listas suspensas'!$B$23,IF(X331='Listas suspensas'!$A$23,'Listas suspensas'!$B$22,IF(X331='Listas suspensas'!$A$26,'Listas suspensas'!$B$22,IF(X331='Listas suspensas'!$A$32,'Listas suspensas'!$B$22,IF(X331='Listas suspensas'!$A$33,'Listas suspensas'!$B$21,IF(X331='Listas suspensas'!$A$24,'Listas suspensas'!$B$22,IF(X331='Listas suspensas'!$A$30,'Listas suspensas'!$B$21,""))))))))</f>
        <v>9.6</v>
      </c>
      <c r="Z331" s="8" t="s">
        <v>80</v>
      </c>
      <c r="AA331" s="8">
        <v>4</v>
      </c>
      <c r="AB331" s="8" t="str">
        <f>IF(AA331='Listas suspensas'!$A$2,'Listas suspensas'!$B$2,IF(AA331='Listas suspensas'!$A$3,'Listas suspensas'!$B$3,IF(AA331='Listas suspensas'!$A$4,'Listas suspensas'!$B$4,IF(AA331='Listas suspensas'!$A$5,'Listas suspensas'!$B$5,IF(AA331='Listas suspensas'!$A$6,'Listas suspensas'!$B$6,"")))))</f>
        <v>Parcial e irregular</v>
      </c>
      <c r="AC331" s="8" t="str">
        <f>IF(AA331='Listas suspensas'!$A$2,'Listas suspensas'!$C$2,IF(AA331='Listas suspensas'!$A$3,'Listas suspensas'!$C$3,IF(AA331='Listas suspensas'!$A$4,'Listas suspensas'!$C$4,IF(AA331='Listas suspensas'!$A$5,'Listas suspensas'!$C$5,IF(AA331='Listas suspensas'!$A$6,'Listas suspensas'!$C$6,"")))))</f>
        <v>Indica a penetração desuniforme e não total pela extensão do alburno.</v>
      </c>
      <c r="BD331" s="13">
        <v>0.98499999999999999</v>
      </c>
      <c r="BE331" s="18">
        <f t="shared" si="67"/>
        <v>985</v>
      </c>
      <c r="BF331" s="8">
        <v>0.38</v>
      </c>
      <c r="BG331" s="8">
        <v>0.19900000000000001</v>
      </c>
      <c r="BH331" s="8">
        <v>0.439</v>
      </c>
      <c r="BI331" s="13">
        <f t="shared" si="68"/>
        <v>1.018</v>
      </c>
      <c r="BJ331" s="14">
        <v>37.299999999999997</v>
      </c>
      <c r="BK331" s="14">
        <v>19.600000000000001</v>
      </c>
      <c r="BL331" s="14">
        <v>43.1</v>
      </c>
      <c r="BM331" s="16">
        <f t="shared" si="62"/>
        <v>100</v>
      </c>
      <c r="BN331" s="21">
        <f t="shared" si="63"/>
        <v>3.74</v>
      </c>
      <c r="BO331" s="21">
        <f t="shared" si="64"/>
        <v>1.96</v>
      </c>
      <c r="BP331" s="21">
        <f t="shared" si="65"/>
        <v>4.32</v>
      </c>
      <c r="BQ331" s="14">
        <f t="shared" si="66"/>
        <v>10.02</v>
      </c>
      <c r="BR331" s="22" t="str">
        <f>IF(OR(AND(X331="Mourões", BQ331&gt;=6.5),AND(X331="Postes", BQ331&gt;=9.6),AND(X331="Dormentes", BQ331&gt;=9.6),AND(X331="Estacas", BQ331&gt;=6.5),AND(X331="Cruzetas", BQ331&gt;=6.5),AND(X331="Outros - Solo", BQ331&gt;=6.5),AND(X331="Outros - Suspenso",BQ331&gt;=4),AND(X331="Deck",BQ331&gt;=4)),'Listas suspensas'!$C$21,'Listas suspensas'!$C$22)</f>
        <v>Os resultados da análise química apresentaram uma retenção do produto de acordo com o padrão mínimo exigido pela norma ABNT NBR 16143</v>
      </c>
    </row>
    <row r="332" spans="2:70" x14ac:dyDescent="0.25">
      <c r="B332" s="8" t="s">
        <v>865</v>
      </c>
      <c r="C332" s="8" t="s">
        <v>71</v>
      </c>
      <c r="F332" s="11">
        <v>45908</v>
      </c>
      <c r="G332" s="11">
        <v>45908</v>
      </c>
      <c r="H332" s="11">
        <v>45911</v>
      </c>
      <c r="I332" s="8" t="s">
        <v>685</v>
      </c>
      <c r="J332" s="8" t="s">
        <v>686</v>
      </c>
      <c r="K332" s="8" t="s">
        <v>92</v>
      </c>
      <c r="L332" s="8" t="s">
        <v>15</v>
      </c>
      <c r="M332" s="30" t="s">
        <v>687</v>
      </c>
      <c r="N332" s="8" t="s">
        <v>75</v>
      </c>
      <c r="O332" s="8" t="s">
        <v>94</v>
      </c>
      <c r="P332" s="28" t="s">
        <v>174</v>
      </c>
      <c r="Q332" s="16" t="s">
        <v>866</v>
      </c>
      <c r="X332" s="8" t="s">
        <v>98</v>
      </c>
      <c r="Y332" s="34">
        <f>IF(X332='Listas suspensas'!$A$21,'Listas suspensas'!$B$23,IF(X332='Listas suspensas'!$A$22,'Listas suspensas'!$B$23,IF(X332='Listas suspensas'!$A$23,'Listas suspensas'!$B$22,IF(X332='Listas suspensas'!$A$26,'Listas suspensas'!$B$22,IF(X332='Listas suspensas'!$A$32,'Listas suspensas'!$B$22,IF(X332='Listas suspensas'!$A$33,'Listas suspensas'!$B$21,IF(X332='Listas suspensas'!$A$24,'Listas suspensas'!$B$22,IF(X332='Listas suspensas'!$A$30,'Listas suspensas'!$B$21,""))))))))</f>
        <v>9.6</v>
      </c>
      <c r="Z332" s="8" t="s">
        <v>80</v>
      </c>
      <c r="AA332" s="8">
        <v>5</v>
      </c>
      <c r="AB332" s="8" t="str">
        <f>IF(AA332='Listas suspensas'!$A$2,'Listas suspensas'!$B$2,IF(AA332='Listas suspensas'!$A$3,'Listas suspensas'!$B$3,IF(AA332='Listas suspensas'!$A$4,'Listas suspensas'!$B$4,IF(AA332='Listas suspensas'!$A$5,'Listas suspensas'!$B$5,IF(AA332='Listas suspensas'!$A$6,'Listas suspensas'!$B$6,"")))))</f>
        <v>Sem Reação do Cromoazurol</v>
      </c>
      <c r="AC332" s="8" t="str">
        <f>IF(AA332='Listas suspensas'!$A$2,'Listas suspensas'!$C$2,IF(AA332='Listas suspensas'!$A$3,'Listas suspensas'!$C$3,IF(AA332='Listas suspensas'!$A$4,'Listas suspensas'!$C$4,IF(AA332='Listas suspensas'!$A$5,'Listas suspensas'!$C$5,IF(AA332='Listas suspensas'!$A$6,'Listas suspensas'!$C$6,"")))))</f>
        <v>Sem Reação do Cromoazurol</v>
      </c>
      <c r="BD332" s="13">
        <v>0.995</v>
      </c>
      <c r="BE332" s="18">
        <f t="shared" si="67"/>
        <v>995</v>
      </c>
      <c r="BF332" s="8">
        <v>0.156</v>
      </c>
      <c r="BG332" s="8">
        <v>7.4999999999999997E-2</v>
      </c>
      <c r="BH332" s="8">
        <v>0.17799999999999999</v>
      </c>
      <c r="BI332" s="13">
        <f t="shared" si="68"/>
        <v>0.40899999999999997</v>
      </c>
      <c r="BJ332" s="14">
        <v>38.200000000000003</v>
      </c>
      <c r="BK332" s="14">
        <v>18.3</v>
      </c>
      <c r="BL332" s="14">
        <v>43.5</v>
      </c>
      <c r="BM332" s="16">
        <f t="shared" si="62"/>
        <v>100</v>
      </c>
      <c r="BN332" s="21">
        <f t="shared" si="63"/>
        <v>1.55</v>
      </c>
      <c r="BO332" s="21">
        <f t="shared" si="64"/>
        <v>0.75</v>
      </c>
      <c r="BP332" s="21">
        <f t="shared" si="65"/>
        <v>1.77</v>
      </c>
      <c r="BQ332" s="14">
        <f t="shared" si="66"/>
        <v>4.07</v>
      </c>
      <c r="BR332" s="22" t="str">
        <f>IF(OR(AND(X332="Mourões", BQ332&gt;=6.5),AND(X332="Postes", BQ332&gt;=9.6),AND(X332="Dormentes", BQ332&gt;=9.6),AND(X332="Estacas", BQ332&gt;=6.5),AND(X332="Cruzetas", BQ332&gt;=6.5),AND(X332="Outros - Solo", BQ332&gt;=6.5),AND(X332="Outros - Suspenso",BQ332&gt;=4),AND(X332="Deck",BQ332&gt;=4)),'Listas suspensas'!$C$21,'Listas suspensas'!$C$22)</f>
        <v>Os resultados da análise química apresentaram uma retenção do produto inferior ao padrão mínimo exigido pela norma ABNT NBR 16143</v>
      </c>
    </row>
    <row r="333" spans="2:70" x14ac:dyDescent="0.25">
      <c r="B333" s="8" t="s">
        <v>867</v>
      </c>
      <c r="C333" s="8" t="s">
        <v>71</v>
      </c>
      <c r="F333" s="11">
        <v>45908</v>
      </c>
      <c r="G333" s="11">
        <v>45908</v>
      </c>
      <c r="H333" s="11">
        <v>45911</v>
      </c>
      <c r="I333" s="8" t="s">
        <v>685</v>
      </c>
      <c r="J333" s="8" t="s">
        <v>686</v>
      </c>
      <c r="K333" s="8" t="s">
        <v>92</v>
      </c>
      <c r="L333" s="8" t="s">
        <v>15</v>
      </c>
      <c r="M333" s="30" t="s">
        <v>687</v>
      </c>
      <c r="N333" s="8" t="s">
        <v>75</v>
      </c>
      <c r="O333" s="8" t="s">
        <v>94</v>
      </c>
      <c r="P333" s="28" t="s">
        <v>174</v>
      </c>
      <c r="Q333" s="16" t="s">
        <v>868</v>
      </c>
      <c r="X333" s="8" t="s">
        <v>98</v>
      </c>
      <c r="Y333" s="34">
        <f>IF(X333='Listas suspensas'!$A$21,'Listas suspensas'!$B$23,IF(X333='Listas suspensas'!$A$22,'Listas suspensas'!$B$23,IF(X333='Listas suspensas'!$A$23,'Listas suspensas'!$B$22,IF(X333='Listas suspensas'!$A$26,'Listas suspensas'!$B$22,IF(X333='Listas suspensas'!$A$32,'Listas suspensas'!$B$22,IF(X333='Listas suspensas'!$A$33,'Listas suspensas'!$B$21,IF(X333='Listas suspensas'!$A$24,'Listas suspensas'!$B$22,IF(X333='Listas suspensas'!$A$30,'Listas suspensas'!$B$21,""))))))))</f>
        <v>9.6</v>
      </c>
      <c r="Z333" s="8" t="s">
        <v>80</v>
      </c>
      <c r="AA333" s="8">
        <v>4</v>
      </c>
      <c r="AB333" s="8" t="str">
        <f>IF(AA333='Listas suspensas'!$A$2,'Listas suspensas'!$B$2,IF(AA333='Listas suspensas'!$A$3,'Listas suspensas'!$B$3,IF(AA333='Listas suspensas'!$A$4,'Listas suspensas'!$B$4,IF(AA333='Listas suspensas'!$A$5,'Listas suspensas'!$B$5,IF(AA333='Listas suspensas'!$A$6,'Listas suspensas'!$B$6,"")))))</f>
        <v>Parcial e irregular</v>
      </c>
      <c r="AC333" s="8" t="str">
        <f>IF(AA333='Listas suspensas'!$A$2,'Listas suspensas'!$C$2,IF(AA333='Listas suspensas'!$A$3,'Listas suspensas'!$C$3,IF(AA333='Listas suspensas'!$A$4,'Listas suspensas'!$C$4,IF(AA333='Listas suspensas'!$A$5,'Listas suspensas'!$C$5,IF(AA333='Listas suspensas'!$A$6,'Listas suspensas'!$C$6,"")))))</f>
        <v>Indica a penetração desuniforme e não total pela extensão do alburno.</v>
      </c>
      <c r="BD333" s="13">
        <v>0.94399999999999995</v>
      </c>
      <c r="BE333" s="18">
        <f t="shared" si="67"/>
        <v>944</v>
      </c>
      <c r="BF333" s="8">
        <v>0.45900000000000002</v>
      </c>
      <c r="BG333" s="8">
        <v>0.22800000000000001</v>
      </c>
      <c r="BH333" s="8">
        <v>0.5</v>
      </c>
      <c r="BI333" s="13">
        <f t="shared" si="68"/>
        <v>1.1870000000000001</v>
      </c>
      <c r="BJ333" s="14">
        <v>38.700000000000003</v>
      </c>
      <c r="BK333" s="14">
        <v>19.2</v>
      </c>
      <c r="BL333" s="14">
        <v>42.1</v>
      </c>
      <c r="BM333" s="16">
        <f t="shared" si="62"/>
        <v>100</v>
      </c>
      <c r="BN333" s="21">
        <f t="shared" si="63"/>
        <v>4.33</v>
      </c>
      <c r="BO333" s="21">
        <f t="shared" si="64"/>
        <v>2.15</v>
      </c>
      <c r="BP333" s="21">
        <f t="shared" si="65"/>
        <v>4.72</v>
      </c>
      <c r="BQ333" s="14">
        <f t="shared" si="66"/>
        <v>11.2</v>
      </c>
      <c r="BR333" s="22" t="str">
        <f>IF(OR(AND(X333="Mourões", BQ333&gt;=6.5),AND(X333="Postes", BQ333&gt;=9.6),AND(X333="Dormentes", BQ333&gt;=9.6),AND(X333="Estacas", BQ333&gt;=6.5),AND(X333="Cruzetas", BQ333&gt;=6.5),AND(X333="Outros - Solo", BQ333&gt;=6.5),AND(X333="Outros - Suspenso",BQ333&gt;=4),AND(X333="Deck",BQ333&gt;=4)),'Listas suspensas'!$C$21,'Listas suspensas'!$C$22)</f>
        <v>Os resultados da análise química apresentaram uma retenção do produto de acordo com o padrão mínimo exigido pela norma ABNT NBR 16143</v>
      </c>
    </row>
    <row r="334" spans="2:70" x14ac:dyDescent="0.25">
      <c r="B334" s="8" t="s">
        <v>869</v>
      </c>
      <c r="C334" s="8" t="s">
        <v>71</v>
      </c>
      <c r="F334" s="11">
        <v>45908</v>
      </c>
      <c r="G334" s="11">
        <v>45908</v>
      </c>
      <c r="H334" s="11">
        <v>45911</v>
      </c>
      <c r="I334" s="8" t="s">
        <v>685</v>
      </c>
      <c r="J334" s="8" t="s">
        <v>686</v>
      </c>
      <c r="K334" s="8" t="s">
        <v>92</v>
      </c>
      <c r="L334" s="8" t="s">
        <v>15</v>
      </c>
      <c r="M334" s="30" t="s">
        <v>687</v>
      </c>
      <c r="N334" s="8" t="s">
        <v>75</v>
      </c>
      <c r="O334" s="8" t="s">
        <v>94</v>
      </c>
      <c r="P334" s="28" t="s">
        <v>174</v>
      </c>
      <c r="Q334" s="16" t="s">
        <v>870</v>
      </c>
      <c r="X334" s="8" t="s">
        <v>79</v>
      </c>
      <c r="Y334" s="34">
        <f>IF(X334='Listas suspensas'!$A$21,'Listas suspensas'!$B$23,IF(X334='Listas suspensas'!$A$22,'Listas suspensas'!$B$23,IF(X334='Listas suspensas'!$A$23,'Listas suspensas'!$B$22,IF(X334='Listas suspensas'!$A$26,'Listas suspensas'!$B$22,IF(X334='Listas suspensas'!$A$32,'Listas suspensas'!$B$22,IF(X334='Listas suspensas'!$A$33,'Listas suspensas'!$B$21,IF(X334='Listas suspensas'!$A$24,'Listas suspensas'!$B$22,IF(X334='Listas suspensas'!$A$30,'Listas suspensas'!$B$21,""))))))))</f>
        <v>6.5</v>
      </c>
      <c r="Z334" s="8" t="s">
        <v>80</v>
      </c>
      <c r="AA334" s="8">
        <v>4</v>
      </c>
      <c r="AB334" s="8" t="str">
        <f>IF(AA334='Listas suspensas'!$A$2,'Listas suspensas'!$B$2,IF(AA334='Listas suspensas'!$A$3,'Listas suspensas'!$B$3,IF(AA334='Listas suspensas'!$A$4,'Listas suspensas'!$B$4,IF(AA334='Listas suspensas'!$A$5,'Listas suspensas'!$B$5,IF(AA334='Listas suspensas'!$A$6,'Listas suspensas'!$B$6,"")))))</f>
        <v>Parcial e irregular</v>
      </c>
      <c r="AC334" s="8" t="str">
        <f>IF(AA334='Listas suspensas'!$A$2,'Listas suspensas'!$C$2,IF(AA334='Listas suspensas'!$A$3,'Listas suspensas'!$C$3,IF(AA334='Listas suspensas'!$A$4,'Listas suspensas'!$C$4,IF(AA334='Listas suspensas'!$A$5,'Listas suspensas'!$C$5,IF(AA334='Listas suspensas'!$A$6,'Listas suspensas'!$C$6,"")))))</f>
        <v>Indica a penetração desuniforme e não total pela extensão do alburno.</v>
      </c>
      <c r="BD334" s="13">
        <v>0.86499999999999999</v>
      </c>
      <c r="BE334" s="18">
        <f t="shared" si="67"/>
        <v>865</v>
      </c>
      <c r="BF334" s="8">
        <v>0.67400000000000004</v>
      </c>
      <c r="BG334" s="8">
        <v>0.23400000000000001</v>
      </c>
      <c r="BH334" s="8">
        <v>0.60899999999999999</v>
      </c>
      <c r="BI334" s="13">
        <f t="shared" si="68"/>
        <v>1.5169999999999999</v>
      </c>
      <c r="BJ334" s="14">
        <v>44.4</v>
      </c>
      <c r="BK334" s="14">
        <v>15.4</v>
      </c>
      <c r="BL334" s="14">
        <v>40.200000000000003</v>
      </c>
      <c r="BM334" s="16">
        <f t="shared" si="62"/>
        <v>100</v>
      </c>
      <c r="BN334" s="21">
        <f t="shared" si="63"/>
        <v>5.83</v>
      </c>
      <c r="BO334" s="21">
        <f t="shared" si="64"/>
        <v>2.02</v>
      </c>
      <c r="BP334" s="21">
        <f t="shared" si="65"/>
        <v>5.27</v>
      </c>
      <c r="BQ334" s="14">
        <f t="shared" si="66"/>
        <v>13.12</v>
      </c>
      <c r="BR334" s="22" t="str">
        <f>IF(OR(AND(X334="Mourões", BQ334&gt;=6.5),AND(X334="Postes", BQ334&gt;=9.6),AND(X334="Dormentes", BQ334&gt;=9.6),AND(X334="Estacas", BQ334&gt;=6.5),AND(X334="Cruzetas", BQ334&gt;=6.5),AND(X334="Outros - Solo", BQ334&gt;=6.5),AND(X334="Outros - Suspenso",BQ334&gt;=4),AND(X334="Deck",BQ334&gt;=4)),'Listas suspensas'!$C$21,'Listas suspensas'!$C$22)</f>
        <v>Os resultados da análise química apresentaram uma retenção do produto de acordo com o padrão mínimo exigido pela norma ABNT NBR 16143</v>
      </c>
    </row>
    <row r="335" spans="2:70" x14ac:dyDescent="0.25">
      <c r="B335" s="8" t="s">
        <v>871</v>
      </c>
      <c r="C335" s="8" t="s">
        <v>71</v>
      </c>
      <c r="F335" s="11">
        <v>45909</v>
      </c>
      <c r="G335" s="11">
        <v>45912</v>
      </c>
      <c r="H335" s="11">
        <v>45919</v>
      </c>
      <c r="I335" s="8" t="s">
        <v>564</v>
      </c>
      <c r="J335" s="8" t="s">
        <v>213</v>
      </c>
      <c r="K335" s="8" t="s">
        <v>74</v>
      </c>
      <c r="L335" s="8" t="s">
        <v>15</v>
      </c>
      <c r="M335" s="30" t="s">
        <v>872</v>
      </c>
      <c r="N335" s="8" t="s">
        <v>75</v>
      </c>
      <c r="O335" s="8" t="s">
        <v>94</v>
      </c>
      <c r="P335" s="28" t="s">
        <v>77</v>
      </c>
      <c r="Q335" s="16" t="s">
        <v>873</v>
      </c>
      <c r="X335" s="8" t="s">
        <v>79</v>
      </c>
      <c r="Y335" s="34">
        <f>IF(X335='Listas suspensas'!$A$21,'Listas suspensas'!$B$23,IF(X335='Listas suspensas'!$A$22,'Listas suspensas'!$B$23,IF(X335='Listas suspensas'!$A$23,'Listas suspensas'!$B$22,IF(X335='Listas suspensas'!$A$26,'Listas suspensas'!$B$22,IF(X335='Listas suspensas'!$A$32,'Listas suspensas'!$B$22,IF(X335='Listas suspensas'!$A$33,'Listas suspensas'!$B$21,IF(X335='Listas suspensas'!$A$24,'Listas suspensas'!$B$22,IF(X335='Listas suspensas'!$A$30,'Listas suspensas'!$B$21,""))))))))</f>
        <v>6.5</v>
      </c>
      <c r="Z335" s="8" t="s">
        <v>80</v>
      </c>
      <c r="AA335" s="8">
        <v>2</v>
      </c>
      <c r="AB335" s="8" t="str">
        <f>IF(AA335='Listas suspensas'!$A$2,'Listas suspensas'!$B$2,IF(AA335='Listas suspensas'!$A$3,'Listas suspensas'!$B$3,IF(AA335='Listas suspensas'!$A$4,'Listas suspensas'!$B$4,IF(AA335='Listas suspensas'!$A$5,'Listas suspensas'!$B$5,IF(AA335='Listas suspensas'!$A$6,'Listas suspensas'!$B$6,"")))))</f>
        <v>Profunda e irregular</v>
      </c>
      <c r="AC335" s="8" t="str">
        <f>IF(AA335='Listas suspensas'!$A$2,'Listas suspensas'!$C$2,IF(AA335='Listas suspensas'!$A$3,'Listas suspensas'!$C$3,IF(AA335='Listas suspensas'!$A$4,'Listas suspensas'!$C$4,IF(AA335='Listas suspensas'!$A$5,'Listas suspensas'!$C$5,IF(AA335='Listas suspensas'!$A$6,'Listas suspensas'!$C$6,"")))))</f>
        <v>Indica a penetração profunda, mas desuniforme em toda a extensão do alburno.</v>
      </c>
      <c r="BD335" s="13">
        <v>0.59</v>
      </c>
      <c r="BE335" s="18">
        <f t="shared" si="67"/>
        <v>590</v>
      </c>
      <c r="BF335" s="8">
        <v>0.66</v>
      </c>
      <c r="BG335" s="8">
        <v>0.27800000000000002</v>
      </c>
      <c r="BH335" s="8">
        <v>0.55600000000000005</v>
      </c>
      <c r="BI335" s="13">
        <f t="shared" si="68"/>
        <v>1.4940000000000002</v>
      </c>
      <c r="BJ335" s="14">
        <v>44.2</v>
      </c>
      <c r="BK335" s="14">
        <v>18.600000000000001</v>
      </c>
      <c r="BL335" s="14">
        <v>37.200000000000003</v>
      </c>
      <c r="BM335" s="16">
        <f t="shared" si="62"/>
        <v>100</v>
      </c>
      <c r="BN335" s="21">
        <f t="shared" si="63"/>
        <v>3.89</v>
      </c>
      <c r="BO335" s="21">
        <f t="shared" si="64"/>
        <v>1.64</v>
      </c>
      <c r="BP335" s="21">
        <f t="shared" si="65"/>
        <v>3.28</v>
      </c>
      <c r="BQ335" s="14">
        <f t="shared" si="66"/>
        <v>8.81</v>
      </c>
      <c r="BR335" s="22" t="str">
        <f>IF(OR(AND(X335="Mourões", BQ335&gt;=6.5),AND(X335="Postes", BQ335&gt;=9.6),AND(X335="Dormentes", BQ335&gt;=9.6),AND(X335="Estacas", BQ335&gt;=6.5),AND(X335="Cruzetas", BQ335&gt;=6.5),AND(X335="Outros - Solo", BQ335&gt;=6.5),AND(X335="Outros - Suspenso",BQ335&gt;=4),AND(X335="Deck",BQ335&gt;=4)),'Listas suspensas'!$C$21,'Listas suspensas'!$C$22)</f>
        <v>Os resultados da análise química apresentaram uma retenção do produto de acordo com o padrão mínimo exigido pela norma ABNT NBR 16143</v>
      </c>
    </row>
    <row r="336" spans="2:70" x14ac:dyDescent="0.25">
      <c r="B336" s="8" t="s">
        <v>874</v>
      </c>
      <c r="C336" s="8" t="s">
        <v>71</v>
      </c>
      <c r="F336" s="11">
        <v>45909</v>
      </c>
      <c r="G336" s="11">
        <v>45912</v>
      </c>
      <c r="H336" s="11">
        <v>45919</v>
      </c>
      <c r="I336" s="8" t="s">
        <v>875</v>
      </c>
      <c r="J336" s="8" t="s">
        <v>876</v>
      </c>
      <c r="K336" s="8" t="s">
        <v>92</v>
      </c>
      <c r="L336" s="8" t="s">
        <v>15</v>
      </c>
      <c r="M336" s="30" t="s">
        <v>877</v>
      </c>
      <c r="N336" s="8" t="s">
        <v>75</v>
      </c>
      <c r="O336" s="8" t="s">
        <v>94</v>
      </c>
      <c r="P336" s="28" t="s">
        <v>77</v>
      </c>
      <c r="Q336" s="16" t="s">
        <v>878</v>
      </c>
      <c r="X336" s="8" t="s">
        <v>79</v>
      </c>
      <c r="Y336" s="34">
        <f>IF(X336='Listas suspensas'!$A$21,'Listas suspensas'!$B$23,IF(X336='Listas suspensas'!$A$22,'Listas suspensas'!$B$23,IF(X336='Listas suspensas'!$A$23,'Listas suspensas'!$B$22,IF(X336='Listas suspensas'!$A$26,'Listas suspensas'!$B$22,IF(X336='Listas suspensas'!$A$32,'Listas suspensas'!$B$22,IF(X336='Listas suspensas'!$A$33,'Listas suspensas'!$B$21,IF(X336='Listas suspensas'!$A$24,'Listas suspensas'!$B$22,IF(X336='Listas suspensas'!$A$30,'Listas suspensas'!$B$21,""))))))))</f>
        <v>6.5</v>
      </c>
      <c r="Z336" s="8" t="s">
        <v>80</v>
      </c>
      <c r="AA336" s="8">
        <v>3</v>
      </c>
      <c r="AB336" s="8" t="str">
        <f>IF(AA336='Listas suspensas'!$A$2,'Listas suspensas'!$B$2,IF(AA336='Listas suspensas'!$A$3,'Listas suspensas'!$B$3,IF(AA336='Listas suspensas'!$A$4,'Listas suspensas'!$B$4,IF(AA336='Listas suspensas'!$A$5,'Listas suspensas'!$B$5,IF(AA336='Listas suspensas'!$A$6,'Listas suspensas'!$B$6,"")))))</f>
        <v xml:space="preserve"> Parcial e regular</v>
      </c>
      <c r="AC336" s="8" t="str">
        <f>IF(AA336='Listas suspensas'!$A$2,'Listas suspensas'!$C$2,IF(AA336='Listas suspensas'!$A$3,'Listas suspensas'!$C$3,IF(AA336='Listas suspensas'!$A$4,'Listas suspensas'!$C$4,IF(AA336='Listas suspensas'!$A$5,'Listas suspensas'!$C$5,IF(AA336='Listas suspensas'!$A$6,'Listas suspensas'!$C$6,"")))))</f>
        <v>Indica a penetração uniforme, mas não total pela extensão do alburno.</v>
      </c>
      <c r="BD336" s="13">
        <v>0.875</v>
      </c>
      <c r="BE336" s="18">
        <f t="shared" si="67"/>
        <v>875</v>
      </c>
      <c r="BF336" s="8">
        <v>0.24099999999999999</v>
      </c>
      <c r="BG336" s="8">
        <v>0.14499999999999999</v>
      </c>
      <c r="BH336" s="8">
        <v>0.20699999999999999</v>
      </c>
      <c r="BI336" s="13">
        <f t="shared" si="68"/>
        <v>0.59299999999999997</v>
      </c>
      <c r="BJ336" s="14">
        <v>40.6</v>
      </c>
      <c r="BK336" s="14">
        <v>24.4</v>
      </c>
      <c r="BL336" s="14">
        <v>35</v>
      </c>
      <c r="BM336" s="16">
        <f t="shared" si="62"/>
        <v>100</v>
      </c>
      <c r="BN336" s="21">
        <f t="shared" si="63"/>
        <v>2.11</v>
      </c>
      <c r="BO336" s="21">
        <f t="shared" si="64"/>
        <v>1.27</v>
      </c>
      <c r="BP336" s="21">
        <f t="shared" si="65"/>
        <v>1.81</v>
      </c>
      <c r="BQ336" s="14">
        <f t="shared" si="66"/>
        <v>5.19</v>
      </c>
      <c r="BR336" s="22" t="str">
        <f>IF(OR(AND(X336="Mourões", BQ336&gt;=6.5),AND(X336="Postes", BQ336&gt;=9.6),AND(X336="Dormentes", BQ336&gt;=9.6),AND(X336="Estacas", BQ336&gt;=6.5),AND(X336="Cruzetas", BQ336&gt;=6.5),AND(X336="Outros - Solo", BQ336&gt;=6.5),AND(X336="Outros - Suspenso",BQ336&gt;=4),AND(X336="Deck",BQ336&gt;=4)),'Listas suspensas'!$C$21,'Listas suspensas'!$C$22)</f>
        <v>Os resultados da análise química apresentaram uma retenção do produto inferior ao padrão mínimo exigido pela norma ABNT NBR 16143</v>
      </c>
    </row>
    <row r="337" spans="2:70" x14ac:dyDescent="0.25">
      <c r="B337" s="8" t="s">
        <v>879</v>
      </c>
      <c r="C337" s="8" t="s">
        <v>71</v>
      </c>
      <c r="F337" s="11">
        <v>45909</v>
      </c>
      <c r="G337" s="11">
        <v>45912</v>
      </c>
      <c r="H337" s="11">
        <v>45923</v>
      </c>
      <c r="I337" s="8" t="s">
        <v>875</v>
      </c>
      <c r="J337" s="8" t="s">
        <v>876</v>
      </c>
      <c r="K337" s="8" t="s">
        <v>92</v>
      </c>
      <c r="L337" s="8" t="s">
        <v>15</v>
      </c>
      <c r="M337" s="30" t="s">
        <v>877</v>
      </c>
      <c r="N337" s="8" t="s">
        <v>75</v>
      </c>
      <c r="P337" s="28" t="s">
        <v>146</v>
      </c>
      <c r="Q337" s="16" t="s">
        <v>880</v>
      </c>
      <c r="X337" s="8" t="s">
        <v>79</v>
      </c>
      <c r="Y337" s="34">
        <f>IF(X337='Listas suspensas'!$A$21,'Listas suspensas'!$B$23,IF(X337='Listas suspensas'!$A$22,'Listas suspensas'!$B$23,IF(X337='Listas suspensas'!$A$23,'Listas suspensas'!$B$22,IF(X337='Listas suspensas'!$A$26,'Listas suspensas'!$B$22,IF(X337='Listas suspensas'!$A$32,'Listas suspensas'!$B$22,IF(X337='Listas suspensas'!$A$33,'Listas suspensas'!$B$21,IF(X337='Listas suspensas'!$A$24,'Listas suspensas'!$B$22,IF(X337='Listas suspensas'!$A$30,'Listas suspensas'!$B$21,""))))))))</f>
        <v>6.5</v>
      </c>
      <c r="Z337" s="8" t="s">
        <v>80</v>
      </c>
      <c r="AA337" s="8">
        <v>4</v>
      </c>
      <c r="AB337" s="8" t="str">
        <f>IF(AA337='Listas suspensas'!$A$2,'Listas suspensas'!$B$2,IF(AA337='Listas suspensas'!$A$3,'Listas suspensas'!$B$3,IF(AA337='Listas suspensas'!$A$4,'Listas suspensas'!$B$4,IF(AA337='Listas suspensas'!$A$5,'Listas suspensas'!$B$5,IF(AA337='Listas suspensas'!$A$6,'Listas suspensas'!$B$6,"")))))</f>
        <v>Parcial e irregular</v>
      </c>
      <c r="AC337" s="8" t="str">
        <f>IF(AA337='Listas suspensas'!$A$2,'Listas suspensas'!$C$2,IF(AA337='Listas suspensas'!$A$3,'Listas suspensas'!$C$3,IF(AA337='Listas suspensas'!$A$4,'Listas suspensas'!$C$4,IF(AA337='Listas suspensas'!$A$5,'Listas suspensas'!$C$5,IF(AA337='Listas suspensas'!$A$6,'Listas suspensas'!$C$6,"")))))</f>
        <v>Indica a penetração desuniforme e não total pela extensão do alburno.</v>
      </c>
      <c r="BD337" s="13">
        <v>0.43</v>
      </c>
      <c r="BE337" s="18">
        <f t="shared" si="67"/>
        <v>430</v>
      </c>
      <c r="BF337" s="8">
        <v>0.22</v>
      </c>
      <c r="BG337" s="8">
        <v>0.1</v>
      </c>
      <c r="BH337" s="8">
        <v>6.6000000000000003E-2</v>
      </c>
      <c r="BI337" s="13">
        <f t="shared" si="68"/>
        <v>0.38600000000000001</v>
      </c>
      <c r="BJ337" s="14">
        <v>57.1</v>
      </c>
      <c r="BK337" s="14">
        <v>25.9</v>
      </c>
      <c r="BL337" s="14">
        <v>17</v>
      </c>
      <c r="BM337" s="16">
        <f t="shared" si="62"/>
        <v>100</v>
      </c>
      <c r="BN337" s="21">
        <f t="shared" si="63"/>
        <v>0.95</v>
      </c>
      <c r="BO337" s="21">
        <f t="shared" si="64"/>
        <v>0.43</v>
      </c>
      <c r="BP337" s="21">
        <f t="shared" si="65"/>
        <v>0.28000000000000003</v>
      </c>
      <c r="BQ337" s="14">
        <f t="shared" si="66"/>
        <v>1.66</v>
      </c>
      <c r="BR337" s="22" t="str">
        <f>IF(OR(AND(X337="Mourões", BQ337&gt;=6.5),AND(X337="Postes", BQ337&gt;=9.6),AND(X337="Dormentes", BQ337&gt;=9.6),AND(X337="Estacas", BQ337&gt;=6.5),AND(X337="Cruzetas", BQ337&gt;=6.5),AND(X337="Outros - Solo", BQ337&gt;=6.5),AND(X337="Outros - Suspenso",BQ337&gt;=4),AND(X337="Deck",BQ337&gt;=4)),'Listas suspensas'!$C$21,'Listas suspensas'!$C$22)</f>
        <v>Os resultados da análise química apresentaram uma retenção do produto inferior ao padrão mínimo exigido pela norma ABNT NBR 16143</v>
      </c>
    </row>
    <row r="338" spans="2:70" x14ac:dyDescent="0.25">
      <c r="B338" s="8" t="s">
        <v>881</v>
      </c>
      <c r="C338" s="8" t="s">
        <v>71</v>
      </c>
      <c r="F338" s="11">
        <v>45909</v>
      </c>
      <c r="G338" s="11">
        <v>45912</v>
      </c>
      <c r="H338" s="11">
        <v>45919</v>
      </c>
      <c r="I338" s="8" t="s">
        <v>90</v>
      </c>
      <c r="J338" s="8" t="s">
        <v>91</v>
      </c>
      <c r="K338" s="8" t="s">
        <v>92</v>
      </c>
      <c r="L338" s="8" t="s">
        <v>15</v>
      </c>
      <c r="N338" s="8" t="s">
        <v>75</v>
      </c>
      <c r="O338" s="8" t="s">
        <v>94</v>
      </c>
      <c r="P338" s="28" t="s">
        <v>77</v>
      </c>
      <c r="Q338" s="16" t="s">
        <v>882</v>
      </c>
      <c r="X338" s="8" t="s">
        <v>79</v>
      </c>
      <c r="Y338" s="34">
        <f>IF(X338='Listas suspensas'!$A$21,'Listas suspensas'!$B$23,IF(X338='Listas suspensas'!$A$22,'Listas suspensas'!$B$23,IF(X338='Listas suspensas'!$A$23,'Listas suspensas'!$B$22,IF(X338='Listas suspensas'!$A$26,'Listas suspensas'!$B$22,IF(X338='Listas suspensas'!$A$32,'Listas suspensas'!$B$22,IF(X338='Listas suspensas'!$A$33,'Listas suspensas'!$B$21,IF(X338='Listas suspensas'!$A$24,'Listas suspensas'!$B$22,IF(X338='Listas suspensas'!$A$30,'Listas suspensas'!$B$21,""))))))))</f>
        <v>6.5</v>
      </c>
      <c r="Z338" s="8" t="s">
        <v>80</v>
      </c>
      <c r="AA338" s="8">
        <v>2</v>
      </c>
      <c r="AB338" s="8" t="str">
        <f>IF(AA338='Listas suspensas'!$A$2,'Listas suspensas'!$B$2,IF(AA338='Listas suspensas'!$A$3,'Listas suspensas'!$B$3,IF(AA338='Listas suspensas'!$A$4,'Listas suspensas'!$B$4,IF(AA338='Listas suspensas'!$A$5,'Listas suspensas'!$B$5,IF(AA338='Listas suspensas'!$A$6,'Listas suspensas'!$B$6,"")))))</f>
        <v>Profunda e irregular</v>
      </c>
      <c r="AC338" s="8" t="str">
        <f>IF(AA338='Listas suspensas'!$A$2,'Listas suspensas'!$C$2,IF(AA338='Listas suspensas'!$A$3,'Listas suspensas'!$C$3,IF(AA338='Listas suspensas'!$A$4,'Listas suspensas'!$C$4,IF(AA338='Listas suspensas'!$A$5,'Listas suspensas'!$C$5,IF(AA338='Listas suspensas'!$A$6,'Listas suspensas'!$C$6,"")))))</f>
        <v>Indica a penetração profunda, mas desuniforme em toda a extensão do alburno.</v>
      </c>
      <c r="BD338" s="13">
        <v>0.97699999999999998</v>
      </c>
      <c r="BE338" s="18">
        <f t="shared" si="67"/>
        <v>977</v>
      </c>
      <c r="BF338" s="8">
        <v>0.34</v>
      </c>
      <c r="BG338" s="8">
        <v>0.16400000000000001</v>
      </c>
      <c r="BH338" s="8">
        <v>0.28499999999999998</v>
      </c>
      <c r="BI338" s="13">
        <f t="shared" si="68"/>
        <v>0.78899999999999992</v>
      </c>
      <c r="BJ338" s="14">
        <v>43.1</v>
      </c>
      <c r="BK338" s="14">
        <v>20.8</v>
      </c>
      <c r="BL338" s="14">
        <v>36.1</v>
      </c>
      <c r="BM338" s="16">
        <f t="shared" si="62"/>
        <v>100</v>
      </c>
      <c r="BN338" s="21">
        <f t="shared" si="63"/>
        <v>3.32</v>
      </c>
      <c r="BO338" s="21">
        <f t="shared" si="64"/>
        <v>1.6</v>
      </c>
      <c r="BP338" s="21">
        <f t="shared" si="65"/>
        <v>2.78</v>
      </c>
      <c r="BQ338" s="14">
        <f t="shared" si="66"/>
        <v>7.7</v>
      </c>
      <c r="BR338" s="22" t="str">
        <f>IF(OR(AND(X338="Mourões", BQ338&gt;=6.5),AND(X338="Postes", BQ338&gt;=9.6),AND(X338="Dormentes", BQ338&gt;=9.6),AND(X338="Estacas", BQ338&gt;=6.5),AND(X338="Cruzetas", BQ338&gt;=6.5),AND(X338="Outros - Solo", BQ338&gt;=6.5),AND(X338="Outros - Suspenso",BQ338&gt;=4),AND(X338="Deck",BQ338&gt;=4)),'Listas suspensas'!$C$21,'Listas suspensas'!$C$22)</f>
        <v>Os resultados da análise química apresentaram uma retenção do produto de acordo com o padrão mínimo exigido pela norma ABNT NBR 16143</v>
      </c>
    </row>
    <row r="339" spans="2:70" x14ac:dyDescent="0.25">
      <c r="B339" s="8" t="s">
        <v>883</v>
      </c>
      <c r="C339" s="8" t="s">
        <v>71</v>
      </c>
      <c r="F339" s="11">
        <v>45909</v>
      </c>
      <c r="G339" s="11">
        <v>45912</v>
      </c>
      <c r="H339" s="11">
        <v>45923</v>
      </c>
      <c r="I339" s="8" t="s">
        <v>884</v>
      </c>
      <c r="L339" s="8" t="s">
        <v>15</v>
      </c>
      <c r="M339" s="30" t="s">
        <v>885</v>
      </c>
      <c r="N339" s="8" t="s">
        <v>75</v>
      </c>
      <c r="O339" s="8" t="s">
        <v>545</v>
      </c>
      <c r="P339" s="28" t="s">
        <v>886</v>
      </c>
      <c r="Q339" s="16" t="s">
        <v>887</v>
      </c>
      <c r="X339" s="8" t="s">
        <v>79</v>
      </c>
      <c r="Y339" s="34">
        <f>IF(X339='Listas suspensas'!$A$21,'Listas suspensas'!$B$23,IF(X339='Listas suspensas'!$A$22,'Listas suspensas'!$B$23,IF(X339='Listas suspensas'!$A$23,'Listas suspensas'!$B$22,IF(X339='Listas suspensas'!$A$26,'Listas suspensas'!$B$22,IF(X339='Listas suspensas'!$A$32,'Listas suspensas'!$B$22,IF(X339='Listas suspensas'!$A$33,'Listas suspensas'!$B$21,IF(X339='Listas suspensas'!$A$24,'Listas suspensas'!$B$22,IF(X339='Listas suspensas'!$A$30,'Listas suspensas'!$B$21,""))))))))</f>
        <v>6.5</v>
      </c>
      <c r="Z339" s="8" t="s">
        <v>80</v>
      </c>
      <c r="AA339" s="8">
        <v>1</v>
      </c>
      <c r="AB339" s="8" t="str">
        <f>IF(AA339='Listas suspensas'!$A$2,'Listas suspensas'!$B$2,IF(AA339='Listas suspensas'!$A$3,'Listas suspensas'!$B$3,IF(AA339='Listas suspensas'!$A$4,'Listas suspensas'!$B$4,IF(AA339='Listas suspensas'!$A$5,'Listas suspensas'!$B$5,IF(AA339='Listas suspensas'!$A$6,'Listas suspensas'!$B$6,"")))))</f>
        <v>Profunda e regular</v>
      </c>
      <c r="AC339" s="8" t="str">
        <f>IF(AA339='Listas suspensas'!$A$2,'Listas suspensas'!$C$2,IF(AA339='Listas suspensas'!$A$3,'Listas suspensas'!$C$3,IF(AA339='Listas suspensas'!$A$4,'Listas suspensas'!$C$4,IF(AA339='Listas suspensas'!$A$5,'Listas suspensas'!$C$5,IF(AA339='Listas suspensas'!$A$6,'Listas suspensas'!$C$6,"")))))</f>
        <v>Indica a penetração profunda e uniforme em toda a extensão do alburno.</v>
      </c>
      <c r="BD339" s="13">
        <v>0.50900000000000001</v>
      </c>
      <c r="BE339" s="18">
        <f t="shared" si="67"/>
        <v>509</v>
      </c>
      <c r="BF339" s="8">
        <v>0.52600000000000002</v>
      </c>
      <c r="BG339" s="8">
        <v>0.22900000000000001</v>
      </c>
      <c r="BH339" s="8">
        <v>0.311</v>
      </c>
      <c r="BI339" s="13">
        <f t="shared" si="68"/>
        <v>1.0660000000000001</v>
      </c>
      <c r="BJ339" s="14">
        <v>49.4</v>
      </c>
      <c r="BK339" s="14">
        <v>21.5</v>
      </c>
      <c r="BL339" s="14">
        <v>29.1</v>
      </c>
      <c r="BM339" s="16">
        <f t="shared" si="62"/>
        <v>100</v>
      </c>
      <c r="BN339" s="21">
        <f t="shared" si="63"/>
        <v>2.68</v>
      </c>
      <c r="BO339" s="21">
        <f t="shared" si="64"/>
        <v>1.17</v>
      </c>
      <c r="BP339" s="21">
        <f t="shared" si="65"/>
        <v>1.58</v>
      </c>
      <c r="BQ339" s="14">
        <f t="shared" si="66"/>
        <v>5.43</v>
      </c>
      <c r="BR339" s="22" t="str">
        <f>IF(OR(AND(X339="Mourões", BQ339&gt;=6.5),AND(X339="Postes", BQ339&gt;=9.6),AND(X339="Dormentes", BQ339&gt;=9.6),AND(X339="Estacas", BQ339&gt;=6.5),AND(X339="Cruzetas", BQ339&gt;=6.5),AND(X339="Outros - Solo", BQ339&gt;=6.5),AND(X339="Outros - Suspenso",BQ339&gt;=4),AND(X339="Deck",BQ339&gt;=4)),'Listas suspensas'!$C$21,'Listas suspensas'!$C$22)</f>
        <v>Os resultados da análise química apresentaram uma retenção do produto inferior ao padrão mínimo exigido pela norma ABNT NBR 16143</v>
      </c>
    </row>
    <row r="340" spans="2:70" x14ac:dyDescent="0.25">
      <c r="B340" s="8" t="s">
        <v>888</v>
      </c>
      <c r="C340" s="8" t="s">
        <v>71</v>
      </c>
      <c r="F340" s="11">
        <v>45909</v>
      </c>
      <c r="G340" s="11">
        <v>45912</v>
      </c>
      <c r="H340" s="11">
        <v>45923</v>
      </c>
      <c r="I340" s="8" t="s">
        <v>884</v>
      </c>
      <c r="L340" s="8" t="s">
        <v>15</v>
      </c>
      <c r="M340" s="30" t="s">
        <v>885</v>
      </c>
      <c r="N340" s="8" t="s">
        <v>75</v>
      </c>
      <c r="O340" s="8" t="s">
        <v>545</v>
      </c>
      <c r="P340" s="28" t="s">
        <v>886</v>
      </c>
      <c r="Q340" s="16" t="s">
        <v>889</v>
      </c>
      <c r="X340" s="8" t="s">
        <v>79</v>
      </c>
      <c r="Y340" s="34">
        <f>IF(X340='Listas suspensas'!$A$21,'Listas suspensas'!$B$23,IF(X340='Listas suspensas'!$A$22,'Listas suspensas'!$B$23,IF(X340='Listas suspensas'!$A$23,'Listas suspensas'!$B$22,IF(X340='Listas suspensas'!$A$26,'Listas suspensas'!$B$22,IF(X340='Listas suspensas'!$A$32,'Listas suspensas'!$B$22,IF(X340='Listas suspensas'!$A$33,'Listas suspensas'!$B$21,IF(X340='Listas suspensas'!$A$24,'Listas suspensas'!$B$22,IF(X340='Listas suspensas'!$A$30,'Listas suspensas'!$B$21,""))))))))</f>
        <v>6.5</v>
      </c>
      <c r="Z340" s="8" t="s">
        <v>80</v>
      </c>
      <c r="AA340" s="8">
        <v>2</v>
      </c>
      <c r="AB340" s="8" t="str">
        <f>IF(AA340='Listas suspensas'!$A$2,'Listas suspensas'!$B$2,IF(AA340='Listas suspensas'!$A$3,'Listas suspensas'!$B$3,IF(AA340='Listas suspensas'!$A$4,'Listas suspensas'!$B$4,IF(AA340='Listas suspensas'!$A$5,'Listas suspensas'!$B$5,IF(AA340='Listas suspensas'!$A$6,'Listas suspensas'!$B$6,"")))))</f>
        <v>Profunda e irregular</v>
      </c>
      <c r="AC340" s="8" t="str">
        <f>IF(AA340='Listas suspensas'!$A$2,'Listas suspensas'!$C$2,IF(AA340='Listas suspensas'!$A$3,'Listas suspensas'!$C$3,IF(AA340='Listas suspensas'!$A$4,'Listas suspensas'!$C$4,IF(AA340='Listas suspensas'!$A$5,'Listas suspensas'!$C$5,IF(AA340='Listas suspensas'!$A$6,'Listas suspensas'!$C$6,"")))))</f>
        <v>Indica a penetração profunda, mas desuniforme em toda a extensão do alburno.</v>
      </c>
      <c r="BD340" s="13">
        <v>0.623</v>
      </c>
      <c r="BE340" s="18">
        <f t="shared" si="67"/>
        <v>623</v>
      </c>
      <c r="BF340" s="8">
        <v>0.182</v>
      </c>
      <c r="BG340" s="8">
        <v>6.8000000000000005E-2</v>
      </c>
      <c r="BH340" s="8">
        <v>0.14000000000000001</v>
      </c>
      <c r="BI340" s="13">
        <f t="shared" si="68"/>
        <v>0.39</v>
      </c>
      <c r="BJ340" s="14">
        <v>46.7</v>
      </c>
      <c r="BK340" s="14">
        <v>17.399999999999999</v>
      </c>
      <c r="BL340" s="14">
        <v>35.9</v>
      </c>
      <c r="BM340" s="16">
        <f t="shared" si="62"/>
        <v>100</v>
      </c>
      <c r="BN340" s="21">
        <f t="shared" si="63"/>
        <v>1.1299999999999999</v>
      </c>
      <c r="BO340" s="21">
        <f t="shared" si="64"/>
        <v>0.42</v>
      </c>
      <c r="BP340" s="21">
        <f t="shared" si="65"/>
        <v>0.87</v>
      </c>
      <c r="BQ340" s="14">
        <f t="shared" si="66"/>
        <v>2.42</v>
      </c>
      <c r="BR340" s="22" t="str">
        <f>IF(OR(AND(X340="Mourões", BQ340&gt;=6.5),AND(X340="Postes", BQ340&gt;=9.6),AND(X340="Dormentes", BQ340&gt;=9.6),AND(X340="Estacas", BQ340&gt;=6.5),AND(X340="Cruzetas", BQ340&gt;=6.5),AND(X340="Outros - Solo", BQ340&gt;=6.5),AND(X340="Outros - Suspenso",BQ340&gt;=4),AND(X340="Deck",BQ340&gt;=4)),'Listas suspensas'!$C$21,'Listas suspensas'!$C$22)</f>
        <v>Os resultados da análise química apresentaram uma retenção do produto inferior ao padrão mínimo exigido pela norma ABNT NBR 16143</v>
      </c>
    </row>
    <row r="341" spans="2:70" x14ac:dyDescent="0.25">
      <c r="B341" s="8" t="s">
        <v>890</v>
      </c>
      <c r="C341" s="8" t="s">
        <v>71</v>
      </c>
      <c r="F341" s="11">
        <v>45909</v>
      </c>
      <c r="G341" s="11">
        <v>45912</v>
      </c>
      <c r="H341" s="11">
        <v>45919</v>
      </c>
      <c r="I341" s="8" t="s">
        <v>503</v>
      </c>
      <c r="J341" s="8" t="s">
        <v>504</v>
      </c>
      <c r="K341" s="8" t="s">
        <v>92</v>
      </c>
      <c r="L341" s="8" t="s">
        <v>15</v>
      </c>
      <c r="M341" s="30" t="s">
        <v>891</v>
      </c>
      <c r="N341" s="8" t="s">
        <v>75</v>
      </c>
      <c r="O341" s="8" t="s">
        <v>104</v>
      </c>
      <c r="P341" s="28" t="s">
        <v>146</v>
      </c>
      <c r="Q341" s="16" t="s">
        <v>509</v>
      </c>
      <c r="X341" s="8" t="s">
        <v>473</v>
      </c>
      <c r="Y341" s="34">
        <f>IF(X341='Listas suspensas'!$A$21,'Listas suspensas'!$B$23,IF(X341='Listas suspensas'!$A$22,'Listas suspensas'!$B$23,IF(X341='Listas suspensas'!$A$23,'Listas suspensas'!$B$22,IF(X341='Listas suspensas'!$A$26,'Listas suspensas'!$B$22,IF(X341='Listas suspensas'!$A$32,'Listas suspensas'!$B$22,IF(X341='Listas suspensas'!$A$33,'Listas suspensas'!$B$21,IF(X341='Listas suspensas'!$A$24,'Listas suspensas'!$B$22,IF(X341='Listas suspensas'!$A$30,'Listas suspensas'!$B$21,""))))))))</f>
        <v>4</v>
      </c>
      <c r="Z341" s="8" t="s">
        <v>80</v>
      </c>
      <c r="AA341" s="8">
        <v>2</v>
      </c>
      <c r="AB341" s="8" t="str">
        <f>IF(AA341='Listas suspensas'!$A$2,'Listas suspensas'!$B$2,IF(AA341='Listas suspensas'!$A$3,'Listas suspensas'!$B$3,IF(AA341='Listas suspensas'!$A$4,'Listas suspensas'!$B$4,IF(AA341='Listas suspensas'!$A$5,'Listas suspensas'!$B$5,IF(AA341='Listas suspensas'!$A$6,'Listas suspensas'!$B$6,"")))))</f>
        <v>Profunda e irregular</v>
      </c>
      <c r="AC341" s="8" t="str">
        <f>IF(AA341='Listas suspensas'!$A$2,'Listas suspensas'!$C$2,IF(AA341='Listas suspensas'!$A$3,'Listas suspensas'!$C$3,IF(AA341='Listas suspensas'!$A$4,'Listas suspensas'!$C$4,IF(AA341='Listas suspensas'!$A$5,'Listas suspensas'!$C$5,IF(AA341='Listas suspensas'!$A$6,'Listas suspensas'!$C$6,"")))))</f>
        <v>Indica a penetração profunda, mas desuniforme em toda a extensão do alburno.</v>
      </c>
      <c r="BD341" s="13">
        <v>0.499</v>
      </c>
      <c r="BE341" s="18">
        <f t="shared" si="67"/>
        <v>499</v>
      </c>
      <c r="BF341" s="8">
        <v>0.38400000000000001</v>
      </c>
      <c r="BG341" s="8">
        <v>0.14899999999999999</v>
      </c>
      <c r="BH341" s="8">
        <v>0.27200000000000002</v>
      </c>
      <c r="BI341" s="13">
        <f t="shared" si="68"/>
        <v>0.80500000000000005</v>
      </c>
      <c r="BJ341" s="14">
        <v>47.7</v>
      </c>
      <c r="BK341" s="14">
        <v>18.5</v>
      </c>
      <c r="BL341" s="14">
        <v>33.799999999999997</v>
      </c>
      <c r="BM341" s="16">
        <f t="shared" si="62"/>
        <v>100</v>
      </c>
      <c r="BN341" s="21">
        <f t="shared" si="63"/>
        <v>1.92</v>
      </c>
      <c r="BO341" s="21">
        <f t="shared" si="64"/>
        <v>0.74</v>
      </c>
      <c r="BP341" s="21">
        <f t="shared" si="65"/>
        <v>1.36</v>
      </c>
      <c r="BQ341" s="14">
        <f t="shared" si="66"/>
        <v>4.0199999999999996</v>
      </c>
      <c r="BR341" s="22" t="str">
        <f>IF(OR(AND(X341="Mourões", BQ341&gt;=6.5),AND(X341="Postes", BQ341&gt;=9.6),AND(X341="Dormentes", BQ341&gt;=9.6),AND(X341="Estacas", BQ341&gt;=6.5),AND(X341="Cruzetas", BQ341&gt;=6.5),AND(X341="Outros - Solo", BQ341&gt;=6.5),AND(X341="Outros - Suspenso",BQ341&gt;=4),AND(X341="Deck",BQ341&gt;=4)),'Listas suspensas'!$C$21,'Listas suspensas'!$C$22)</f>
        <v>Os resultados da análise química apresentaram uma retenção do produto de acordo com o padrão mínimo exigido pela norma ABNT NBR 16143</v>
      </c>
    </row>
    <row r="342" spans="2:70" x14ac:dyDescent="0.25">
      <c r="B342" s="8" t="s">
        <v>892</v>
      </c>
      <c r="C342" s="8" t="s">
        <v>71</v>
      </c>
      <c r="F342" s="11">
        <v>45909</v>
      </c>
      <c r="G342" s="11">
        <v>45912</v>
      </c>
      <c r="H342" s="11">
        <v>45919</v>
      </c>
      <c r="I342" s="8" t="s">
        <v>503</v>
      </c>
      <c r="J342" s="8" t="s">
        <v>504</v>
      </c>
      <c r="K342" s="8" t="s">
        <v>92</v>
      </c>
      <c r="L342" s="8" t="s">
        <v>15</v>
      </c>
      <c r="M342" s="30" t="s">
        <v>891</v>
      </c>
      <c r="N342" s="8" t="s">
        <v>75</v>
      </c>
      <c r="O342" s="8" t="s">
        <v>76</v>
      </c>
      <c r="P342" s="28" t="s">
        <v>174</v>
      </c>
      <c r="Q342" s="16" t="s">
        <v>507</v>
      </c>
      <c r="X342" s="8" t="s">
        <v>79</v>
      </c>
      <c r="Y342" s="34">
        <f>IF(X342='Listas suspensas'!$A$21,'Listas suspensas'!$B$23,IF(X342='Listas suspensas'!$A$22,'Listas suspensas'!$B$23,IF(X342='Listas suspensas'!$A$23,'Listas suspensas'!$B$22,IF(X342='Listas suspensas'!$A$26,'Listas suspensas'!$B$22,IF(X342='Listas suspensas'!$A$32,'Listas suspensas'!$B$22,IF(X342='Listas suspensas'!$A$33,'Listas suspensas'!$B$21,IF(X342='Listas suspensas'!$A$24,'Listas suspensas'!$B$22,IF(X342='Listas suspensas'!$A$30,'Listas suspensas'!$B$21,""))))))))</f>
        <v>6.5</v>
      </c>
      <c r="Z342" s="8" t="s">
        <v>80</v>
      </c>
      <c r="AA342" s="8">
        <v>3</v>
      </c>
      <c r="AB342" s="8" t="str">
        <f>IF(AA342='Listas suspensas'!$A$2,'Listas suspensas'!$B$2,IF(AA342='Listas suspensas'!$A$3,'Listas suspensas'!$B$3,IF(AA342='Listas suspensas'!$A$4,'Listas suspensas'!$B$4,IF(AA342='Listas suspensas'!$A$5,'Listas suspensas'!$B$5,IF(AA342='Listas suspensas'!$A$6,'Listas suspensas'!$B$6,"")))))</f>
        <v xml:space="preserve"> Parcial e regular</v>
      </c>
      <c r="AC342" s="8" t="str">
        <f>IF(AA342='Listas suspensas'!$A$2,'Listas suspensas'!$C$2,IF(AA342='Listas suspensas'!$A$3,'Listas suspensas'!$C$3,IF(AA342='Listas suspensas'!$A$4,'Listas suspensas'!$C$4,IF(AA342='Listas suspensas'!$A$5,'Listas suspensas'!$C$5,IF(AA342='Listas suspensas'!$A$6,'Listas suspensas'!$C$6,"")))))</f>
        <v>Indica a penetração uniforme, mas não total pela extensão do alburno.</v>
      </c>
      <c r="BD342" s="13">
        <v>0.84799999999999998</v>
      </c>
      <c r="BE342" s="18">
        <f t="shared" si="67"/>
        <v>848</v>
      </c>
      <c r="BF342" s="8">
        <v>0.26</v>
      </c>
      <c r="BG342" s="8">
        <v>0.129</v>
      </c>
      <c r="BH342" s="8">
        <v>0.20200000000000001</v>
      </c>
      <c r="BI342" s="13">
        <f t="shared" si="68"/>
        <v>0.59099999999999997</v>
      </c>
      <c r="BJ342" s="14">
        <v>43.9</v>
      </c>
      <c r="BK342" s="14">
        <v>21.8</v>
      </c>
      <c r="BL342" s="14">
        <v>34.299999999999997</v>
      </c>
      <c r="BM342" s="16">
        <f t="shared" si="62"/>
        <v>100</v>
      </c>
      <c r="BN342" s="21">
        <f t="shared" si="63"/>
        <v>2.2000000000000002</v>
      </c>
      <c r="BO342" s="21">
        <f t="shared" si="64"/>
        <v>1.0900000000000001</v>
      </c>
      <c r="BP342" s="21">
        <f t="shared" si="65"/>
        <v>1.71</v>
      </c>
      <c r="BQ342" s="14">
        <f t="shared" si="66"/>
        <v>5</v>
      </c>
      <c r="BR342" s="22" t="str">
        <f>IF(OR(AND(X342="Mourões", BQ342&gt;=6.5),AND(X342="Postes", BQ342&gt;=9.6),AND(X342="Dormentes", BQ342&gt;=9.6),AND(X342="Estacas", BQ342&gt;=6.5),AND(X342="Cruzetas", BQ342&gt;=6.5),AND(X342="Outros - Solo", BQ342&gt;=6.5),AND(X342="Outros - Suspenso",BQ342&gt;=4),AND(X342="Deck",BQ342&gt;=4)),'Listas suspensas'!$C$21,'Listas suspensas'!$C$22)</f>
        <v>Os resultados da análise química apresentaram uma retenção do produto inferior ao padrão mínimo exigido pela norma ABNT NBR 16143</v>
      </c>
    </row>
    <row r="343" spans="2:70" x14ac:dyDescent="0.25">
      <c r="B343" s="8" t="s">
        <v>893</v>
      </c>
      <c r="C343" s="8" t="s">
        <v>71</v>
      </c>
      <c r="F343" s="11">
        <v>45909</v>
      </c>
      <c r="G343" s="11">
        <v>45912</v>
      </c>
      <c r="H343" s="11">
        <v>45919</v>
      </c>
      <c r="I343" s="8" t="s">
        <v>503</v>
      </c>
      <c r="J343" s="8" t="s">
        <v>504</v>
      </c>
      <c r="K343" s="8" t="s">
        <v>92</v>
      </c>
      <c r="L343" s="8" t="s">
        <v>15</v>
      </c>
      <c r="M343" s="30" t="s">
        <v>891</v>
      </c>
      <c r="N343" s="8" t="s">
        <v>75</v>
      </c>
      <c r="O343" s="8" t="s">
        <v>76</v>
      </c>
      <c r="P343" s="28" t="s">
        <v>77</v>
      </c>
      <c r="Q343" s="16" t="s">
        <v>894</v>
      </c>
      <c r="X343" s="8" t="s">
        <v>79</v>
      </c>
      <c r="Y343" s="34">
        <f>IF(X343='Listas suspensas'!$A$21,'Listas suspensas'!$B$23,IF(X343='Listas suspensas'!$A$22,'Listas suspensas'!$B$23,IF(X343='Listas suspensas'!$A$23,'Listas suspensas'!$B$22,IF(X343='Listas suspensas'!$A$26,'Listas suspensas'!$B$22,IF(X343='Listas suspensas'!$A$32,'Listas suspensas'!$B$22,IF(X343='Listas suspensas'!$A$33,'Listas suspensas'!$B$21,IF(X343='Listas suspensas'!$A$24,'Listas suspensas'!$B$22,IF(X343='Listas suspensas'!$A$30,'Listas suspensas'!$B$21,""))))))))</f>
        <v>6.5</v>
      </c>
      <c r="Z343" s="8" t="s">
        <v>80</v>
      </c>
      <c r="AA343" s="8">
        <v>3</v>
      </c>
      <c r="AB343" s="8" t="str">
        <f>IF(AA343='Listas suspensas'!$A$2,'Listas suspensas'!$B$2,IF(AA343='Listas suspensas'!$A$3,'Listas suspensas'!$B$3,IF(AA343='Listas suspensas'!$A$4,'Listas suspensas'!$B$4,IF(AA343='Listas suspensas'!$A$5,'Listas suspensas'!$B$5,IF(AA343='Listas suspensas'!$A$6,'Listas suspensas'!$B$6,"")))))</f>
        <v xml:space="preserve"> Parcial e regular</v>
      </c>
      <c r="AC343" s="8" t="str">
        <f>IF(AA343='Listas suspensas'!$A$2,'Listas suspensas'!$C$2,IF(AA343='Listas suspensas'!$A$3,'Listas suspensas'!$C$3,IF(AA343='Listas suspensas'!$A$4,'Listas suspensas'!$C$4,IF(AA343='Listas suspensas'!$A$5,'Listas suspensas'!$C$5,IF(AA343='Listas suspensas'!$A$6,'Listas suspensas'!$C$6,"")))))</f>
        <v>Indica a penetração uniforme, mas não total pela extensão do alburno.</v>
      </c>
      <c r="BD343" s="13">
        <v>0.6</v>
      </c>
      <c r="BE343" s="18">
        <f t="shared" si="67"/>
        <v>600</v>
      </c>
      <c r="BF343" s="8">
        <v>0.36299999999999999</v>
      </c>
      <c r="BG343" s="8">
        <v>0.124</v>
      </c>
      <c r="BH343" s="8">
        <v>0.247</v>
      </c>
      <c r="BI343" s="13">
        <f t="shared" si="68"/>
        <v>0.73399999999999999</v>
      </c>
      <c r="BJ343" s="14">
        <v>49.5</v>
      </c>
      <c r="BK343" s="14">
        <v>16.899999999999999</v>
      </c>
      <c r="BL343" s="14">
        <v>33.6</v>
      </c>
      <c r="BM343" s="16">
        <f t="shared" si="62"/>
        <v>100</v>
      </c>
      <c r="BN343" s="21">
        <f t="shared" si="63"/>
        <v>2.1800000000000002</v>
      </c>
      <c r="BO343" s="21">
        <f t="shared" si="64"/>
        <v>0.74</v>
      </c>
      <c r="BP343" s="21">
        <f t="shared" si="65"/>
        <v>1.48</v>
      </c>
      <c r="BQ343" s="14">
        <f t="shared" si="66"/>
        <v>4.4000000000000004</v>
      </c>
      <c r="BR343" s="22" t="str">
        <f>IF(OR(AND(X343="Mourões", BQ343&gt;=6.5),AND(X343="Postes", BQ343&gt;=9.6),AND(X343="Dormentes", BQ343&gt;=9.6),AND(X343="Estacas", BQ343&gt;=6.5),AND(X343="Cruzetas", BQ343&gt;=6.5),AND(X343="Outros - Solo", BQ343&gt;=6.5),AND(X343="Outros - Suspenso",BQ343&gt;=4),AND(X343="Deck",BQ343&gt;=4)),'Listas suspensas'!$C$21,'Listas suspensas'!$C$22)</f>
        <v>Os resultados da análise química apresentaram uma retenção do produto inferior ao padrão mínimo exigido pela norma ABNT NBR 16143</v>
      </c>
    </row>
    <row r="344" spans="2:70" x14ac:dyDescent="0.25">
      <c r="B344" s="8" t="s">
        <v>895</v>
      </c>
      <c r="C344" s="8" t="s">
        <v>71</v>
      </c>
      <c r="F344" s="11">
        <v>45909</v>
      </c>
      <c r="G344" s="11">
        <v>45912</v>
      </c>
      <c r="H344" s="11">
        <v>45919</v>
      </c>
      <c r="I344" s="8" t="s">
        <v>896</v>
      </c>
      <c r="J344" s="8" t="s">
        <v>897</v>
      </c>
      <c r="K344" s="8" t="s">
        <v>619</v>
      </c>
      <c r="L344" s="8" t="s">
        <v>15</v>
      </c>
      <c r="M344" s="30" t="s">
        <v>898</v>
      </c>
      <c r="N344" s="8" t="s">
        <v>75</v>
      </c>
      <c r="O344" s="8" t="s">
        <v>94</v>
      </c>
      <c r="P344" s="28" t="s">
        <v>471</v>
      </c>
      <c r="Q344" s="16" t="s">
        <v>899</v>
      </c>
      <c r="X344" s="8" t="s">
        <v>473</v>
      </c>
      <c r="Y344" s="34">
        <f>IF(X344='Listas suspensas'!$A$21,'Listas suspensas'!$B$23,IF(X344='Listas suspensas'!$A$22,'Listas suspensas'!$B$23,IF(X344='Listas suspensas'!$A$23,'Listas suspensas'!$B$22,IF(X344='Listas suspensas'!$A$26,'Listas suspensas'!$B$22,IF(X344='Listas suspensas'!$A$32,'Listas suspensas'!$B$22,IF(X344='Listas suspensas'!$A$33,'Listas suspensas'!$B$21,IF(X344='Listas suspensas'!$A$24,'Listas suspensas'!$B$22,IF(X344='Listas suspensas'!$A$30,'Listas suspensas'!$B$21,""))))))))</f>
        <v>4</v>
      </c>
      <c r="Z344" s="8" t="s">
        <v>80</v>
      </c>
      <c r="AA344" s="8">
        <v>2</v>
      </c>
      <c r="AB344" s="8" t="str">
        <f>IF(AA344='Listas suspensas'!$A$2,'Listas suspensas'!$B$2,IF(AA344='Listas suspensas'!$A$3,'Listas suspensas'!$B$3,IF(AA344='Listas suspensas'!$A$4,'Listas suspensas'!$B$4,IF(AA344='Listas suspensas'!$A$5,'Listas suspensas'!$B$5,IF(AA344='Listas suspensas'!$A$6,'Listas suspensas'!$B$6,"")))))</f>
        <v>Profunda e irregular</v>
      </c>
      <c r="AC344" s="8" t="str">
        <f>IF(AA344='Listas suspensas'!$A$2,'Listas suspensas'!$C$2,IF(AA344='Listas suspensas'!$A$3,'Listas suspensas'!$C$3,IF(AA344='Listas suspensas'!$A$4,'Listas suspensas'!$C$4,IF(AA344='Listas suspensas'!$A$5,'Listas suspensas'!$C$5,IF(AA344='Listas suspensas'!$A$6,'Listas suspensas'!$C$6,"")))))</f>
        <v>Indica a penetração profunda, mas desuniforme em toda a extensão do alburno.</v>
      </c>
      <c r="BD344" s="13">
        <v>0.39500000000000002</v>
      </c>
      <c r="BE344" s="18">
        <f t="shared" si="67"/>
        <v>395</v>
      </c>
      <c r="BF344" s="8">
        <v>0.53</v>
      </c>
      <c r="BG344" s="8">
        <v>0.214</v>
      </c>
      <c r="BH344" s="8">
        <v>0.43</v>
      </c>
      <c r="BI344" s="13">
        <f t="shared" si="68"/>
        <v>1.1739999999999999</v>
      </c>
      <c r="BJ344" s="14">
        <v>45.1</v>
      </c>
      <c r="BK344" s="14">
        <v>18.3</v>
      </c>
      <c r="BL344" s="14">
        <v>36.6</v>
      </c>
      <c r="BM344" s="16">
        <f t="shared" si="62"/>
        <v>100</v>
      </c>
      <c r="BN344" s="21">
        <f t="shared" si="63"/>
        <v>2.09</v>
      </c>
      <c r="BO344" s="21">
        <f t="shared" si="64"/>
        <v>0.85</v>
      </c>
      <c r="BP344" s="21">
        <f t="shared" si="65"/>
        <v>1.7</v>
      </c>
      <c r="BQ344" s="14">
        <f t="shared" si="66"/>
        <v>4.6399999999999997</v>
      </c>
      <c r="BR344" s="22" t="str">
        <f>IF(OR(AND(X344="Mourões", BQ344&gt;=6.5),AND(X344="Postes", BQ344&gt;=9.6),AND(X344="Dormentes", BQ344&gt;=9.6),AND(X344="Estacas", BQ344&gt;=6.5),AND(X344="Cruzetas", BQ344&gt;=6.5),AND(X344="Outros - Solo", BQ344&gt;=6.5),AND(X344="Outros - Suspenso",BQ344&gt;=4),AND(X344="Deck",BQ344&gt;=4)),'Listas suspensas'!$C$21,'Listas suspensas'!$C$22)</f>
        <v>Os resultados da análise química apresentaram uma retenção do produto de acordo com o padrão mínimo exigido pela norma ABNT NBR 16143</v>
      </c>
    </row>
    <row r="345" spans="2:70" x14ac:dyDescent="0.25">
      <c r="B345" s="8" t="s">
        <v>900</v>
      </c>
      <c r="C345" s="8" t="s">
        <v>71</v>
      </c>
      <c r="F345" s="11">
        <v>45909</v>
      </c>
      <c r="G345" s="11">
        <v>45912</v>
      </c>
      <c r="H345" s="11">
        <v>45919</v>
      </c>
      <c r="I345" s="8" t="s">
        <v>896</v>
      </c>
      <c r="J345" s="8" t="s">
        <v>897</v>
      </c>
      <c r="K345" s="8" t="s">
        <v>619</v>
      </c>
      <c r="L345" s="8" t="s">
        <v>15</v>
      </c>
      <c r="M345" s="30" t="s">
        <v>898</v>
      </c>
      <c r="N345" s="8" t="s">
        <v>75</v>
      </c>
      <c r="O345" s="8" t="s">
        <v>94</v>
      </c>
      <c r="P345" s="28" t="s">
        <v>471</v>
      </c>
      <c r="Q345" s="16" t="s">
        <v>901</v>
      </c>
      <c r="X345" s="8" t="s">
        <v>473</v>
      </c>
      <c r="Y345" s="34">
        <f>IF(X345='Listas suspensas'!$A$21,'Listas suspensas'!$B$23,IF(X345='Listas suspensas'!$A$22,'Listas suspensas'!$B$23,IF(X345='Listas suspensas'!$A$23,'Listas suspensas'!$B$22,IF(X345='Listas suspensas'!$A$26,'Listas suspensas'!$B$22,IF(X345='Listas suspensas'!$A$32,'Listas suspensas'!$B$22,IF(X345='Listas suspensas'!$A$33,'Listas suspensas'!$B$21,IF(X345='Listas suspensas'!$A$24,'Listas suspensas'!$B$22,IF(X345='Listas suspensas'!$A$30,'Listas suspensas'!$B$21,""))))))))</f>
        <v>4</v>
      </c>
      <c r="Z345" s="8" t="s">
        <v>80</v>
      </c>
      <c r="AA345" s="8">
        <v>2</v>
      </c>
      <c r="AB345" s="8" t="str">
        <f>IF(AA345='Listas suspensas'!$A$2,'Listas suspensas'!$B$2,IF(AA345='Listas suspensas'!$A$3,'Listas suspensas'!$B$3,IF(AA345='Listas suspensas'!$A$4,'Listas suspensas'!$B$4,IF(AA345='Listas suspensas'!$A$5,'Listas suspensas'!$B$5,IF(AA345='Listas suspensas'!$A$6,'Listas suspensas'!$B$6,"")))))</f>
        <v>Profunda e irregular</v>
      </c>
      <c r="AC345" s="8" t="str">
        <f>IF(AA345='Listas suspensas'!$A$2,'Listas suspensas'!$C$2,IF(AA345='Listas suspensas'!$A$3,'Listas suspensas'!$C$3,IF(AA345='Listas suspensas'!$A$4,'Listas suspensas'!$C$4,IF(AA345='Listas suspensas'!$A$5,'Listas suspensas'!$C$5,IF(AA345='Listas suspensas'!$A$6,'Listas suspensas'!$C$6,"")))))</f>
        <v>Indica a penetração profunda, mas desuniforme em toda a extensão do alburno.</v>
      </c>
      <c r="BD345" s="13">
        <v>0.43</v>
      </c>
      <c r="BE345" s="18">
        <f t="shared" si="67"/>
        <v>430</v>
      </c>
      <c r="BF345" s="8">
        <v>0.52600000000000002</v>
      </c>
      <c r="BG345" s="8">
        <v>0.16900000000000001</v>
      </c>
      <c r="BH345" s="8">
        <v>0.29599999999999999</v>
      </c>
      <c r="BI345" s="13">
        <f t="shared" si="68"/>
        <v>0.9910000000000001</v>
      </c>
      <c r="BJ345" s="14">
        <v>53.1</v>
      </c>
      <c r="BK345" s="14">
        <v>17</v>
      </c>
      <c r="BL345" s="14">
        <v>29.9</v>
      </c>
      <c r="BM345" s="16">
        <f t="shared" si="62"/>
        <v>100</v>
      </c>
      <c r="BN345" s="21">
        <f t="shared" si="63"/>
        <v>2.2599999999999998</v>
      </c>
      <c r="BO345" s="21">
        <f t="shared" si="64"/>
        <v>0.73</v>
      </c>
      <c r="BP345" s="21">
        <f t="shared" si="65"/>
        <v>1.27</v>
      </c>
      <c r="BQ345" s="14">
        <f t="shared" si="66"/>
        <v>4.26</v>
      </c>
      <c r="BR345" s="22" t="str">
        <f>IF(OR(AND(X345="Mourões", BQ345&gt;=6.5),AND(X345="Postes", BQ345&gt;=9.6),AND(X345="Dormentes", BQ345&gt;=9.6),AND(X345="Estacas", BQ345&gt;=6.5),AND(X345="Cruzetas", BQ345&gt;=6.5),AND(X345="Outros - Solo", BQ345&gt;=6.5),AND(X345="Outros - Suspenso",BQ345&gt;=4),AND(X345="Deck",BQ345&gt;=4)),'Listas suspensas'!$C$21,'Listas suspensas'!$C$22)</f>
        <v>Os resultados da análise química apresentaram uma retenção do produto de acordo com o padrão mínimo exigido pela norma ABNT NBR 16143</v>
      </c>
    </row>
    <row r="346" spans="2:70" x14ac:dyDescent="0.25">
      <c r="B346" s="8" t="s">
        <v>902</v>
      </c>
      <c r="C346" s="8" t="s">
        <v>71</v>
      </c>
      <c r="F346" s="11">
        <v>45909</v>
      </c>
      <c r="G346" s="11">
        <v>45912</v>
      </c>
      <c r="H346" s="11">
        <v>45919</v>
      </c>
      <c r="I346" s="8" t="s">
        <v>896</v>
      </c>
      <c r="J346" s="8" t="s">
        <v>897</v>
      </c>
      <c r="K346" s="8" t="s">
        <v>619</v>
      </c>
      <c r="L346" s="8" t="s">
        <v>15</v>
      </c>
      <c r="M346" s="30" t="s">
        <v>898</v>
      </c>
      <c r="N346" s="8" t="s">
        <v>75</v>
      </c>
      <c r="O346" s="8" t="s">
        <v>94</v>
      </c>
      <c r="P346" s="28" t="s">
        <v>471</v>
      </c>
      <c r="Q346" s="16" t="s">
        <v>903</v>
      </c>
      <c r="X346" s="8" t="s">
        <v>473</v>
      </c>
      <c r="Y346" s="34">
        <f>IF(X346='Listas suspensas'!$A$21,'Listas suspensas'!$B$23,IF(X346='Listas suspensas'!$A$22,'Listas suspensas'!$B$23,IF(X346='Listas suspensas'!$A$23,'Listas suspensas'!$B$22,IF(X346='Listas suspensas'!$A$26,'Listas suspensas'!$B$22,IF(X346='Listas suspensas'!$A$32,'Listas suspensas'!$B$22,IF(X346='Listas suspensas'!$A$33,'Listas suspensas'!$B$21,IF(X346='Listas suspensas'!$A$24,'Listas suspensas'!$B$22,IF(X346='Listas suspensas'!$A$30,'Listas suspensas'!$B$21,""))))))))</f>
        <v>4</v>
      </c>
      <c r="Z346" s="8" t="s">
        <v>80</v>
      </c>
      <c r="AA346" s="8">
        <v>2</v>
      </c>
      <c r="AB346" s="8" t="str">
        <f>IF(AA346='Listas suspensas'!$A$2,'Listas suspensas'!$B$2,IF(AA346='Listas suspensas'!$A$3,'Listas suspensas'!$B$3,IF(AA346='Listas suspensas'!$A$4,'Listas suspensas'!$B$4,IF(AA346='Listas suspensas'!$A$5,'Listas suspensas'!$B$5,IF(AA346='Listas suspensas'!$A$6,'Listas suspensas'!$B$6,"")))))</f>
        <v>Profunda e irregular</v>
      </c>
      <c r="AC346" s="8" t="str">
        <f>IF(AA346='Listas suspensas'!$A$2,'Listas suspensas'!$C$2,IF(AA346='Listas suspensas'!$A$3,'Listas suspensas'!$C$3,IF(AA346='Listas suspensas'!$A$4,'Listas suspensas'!$C$4,IF(AA346='Listas suspensas'!$A$5,'Listas suspensas'!$C$5,IF(AA346='Listas suspensas'!$A$6,'Listas suspensas'!$C$6,"")))))</f>
        <v>Indica a penetração profunda, mas desuniforme em toda a extensão do alburno.</v>
      </c>
      <c r="BD346" s="13">
        <v>0.41499999999999998</v>
      </c>
      <c r="BE346" s="18">
        <f t="shared" si="67"/>
        <v>415</v>
      </c>
      <c r="BF346" s="8">
        <v>0.51600000000000001</v>
      </c>
      <c r="BG346" s="8">
        <v>0.20699999999999999</v>
      </c>
      <c r="BH346" s="8">
        <v>0.40699999999999997</v>
      </c>
      <c r="BI346" s="13">
        <f t="shared" si="68"/>
        <v>1.1299999999999999</v>
      </c>
      <c r="BJ346" s="14">
        <v>45.6</v>
      </c>
      <c r="BK346" s="14">
        <v>18.3</v>
      </c>
      <c r="BL346" s="14">
        <v>36.1</v>
      </c>
      <c r="BM346" s="16">
        <f t="shared" si="62"/>
        <v>100</v>
      </c>
      <c r="BN346" s="21">
        <f t="shared" si="63"/>
        <v>2.14</v>
      </c>
      <c r="BO346" s="21">
        <f t="shared" si="64"/>
        <v>0.86</v>
      </c>
      <c r="BP346" s="21">
        <f t="shared" si="65"/>
        <v>1.69</v>
      </c>
      <c r="BQ346" s="14">
        <f t="shared" si="66"/>
        <v>4.6900000000000004</v>
      </c>
      <c r="BR346" s="22" t="str">
        <f>IF(OR(AND(X346="Mourões", BQ346&gt;=6.5),AND(X346="Postes", BQ346&gt;=9.6),AND(X346="Dormentes", BQ346&gt;=9.6),AND(X346="Estacas", BQ346&gt;=6.5),AND(X346="Cruzetas", BQ346&gt;=6.5),AND(X346="Outros - Solo", BQ346&gt;=6.5),AND(X346="Outros - Suspenso",BQ346&gt;=4),AND(X346="Deck",BQ346&gt;=4)),'Listas suspensas'!$C$21,'Listas suspensas'!$C$22)</f>
        <v>Os resultados da análise química apresentaram uma retenção do produto de acordo com o padrão mínimo exigido pela norma ABNT NBR 16143</v>
      </c>
    </row>
    <row r="347" spans="2:70" x14ac:dyDescent="0.25">
      <c r="B347" s="8" t="s">
        <v>904</v>
      </c>
      <c r="C347" s="8" t="s">
        <v>71</v>
      </c>
      <c r="F347" s="11">
        <v>45909</v>
      </c>
      <c r="G347" s="11">
        <v>45912</v>
      </c>
      <c r="H347" s="11">
        <v>45919</v>
      </c>
      <c r="I347" s="8" t="s">
        <v>896</v>
      </c>
      <c r="J347" s="8" t="s">
        <v>897</v>
      </c>
      <c r="K347" s="8" t="s">
        <v>619</v>
      </c>
      <c r="L347" s="8" t="s">
        <v>15</v>
      </c>
      <c r="M347" s="30" t="s">
        <v>898</v>
      </c>
      <c r="N347" s="8" t="s">
        <v>75</v>
      </c>
      <c r="O347" s="8" t="s">
        <v>94</v>
      </c>
      <c r="P347" s="28" t="s">
        <v>471</v>
      </c>
      <c r="Q347" s="16" t="s">
        <v>905</v>
      </c>
      <c r="X347" s="8" t="s">
        <v>473</v>
      </c>
      <c r="Y347" s="34">
        <f>IF(X347='Listas suspensas'!$A$21,'Listas suspensas'!$B$23,IF(X347='Listas suspensas'!$A$22,'Listas suspensas'!$B$23,IF(X347='Listas suspensas'!$A$23,'Listas suspensas'!$B$22,IF(X347='Listas suspensas'!$A$26,'Listas suspensas'!$B$22,IF(X347='Listas suspensas'!$A$32,'Listas suspensas'!$B$22,IF(X347='Listas suspensas'!$A$33,'Listas suspensas'!$B$21,IF(X347='Listas suspensas'!$A$24,'Listas suspensas'!$B$22,IF(X347='Listas suspensas'!$A$30,'Listas suspensas'!$B$21,""))))))))</f>
        <v>4</v>
      </c>
      <c r="Z347" s="8" t="s">
        <v>80</v>
      </c>
      <c r="AA347" s="8">
        <v>2</v>
      </c>
      <c r="AB347" s="8" t="str">
        <f>IF(AA347='Listas suspensas'!$A$2,'Listas suspensas'!$B$2,IF(AA347='Listas suspensas'!$A$3,'Listas suspensas'!$B$3,IF(AA347='Listas suspensas'!$A$4,'Listas suspensas'!$B$4,IF(AA347='Listas suspensas'!$A$5,'Listas suspensas'!$B$5,IF(AA347='Listas suspensas'!$A$6,'Listas suspensas'!$B$6,"")))))</f>
        <v>Profunda e irregular</v>
      </c>
      <c r="AC347" s="8" t="str">
        <f>IF(AA347='Listas suspensas'!$A$2,'Listas suspensas'!$C$2,IF(AA347='Listas suspensas'!$A$3,'Listas suspensas'!$C$3,IF(AA347='Listas suspensas'!$A$4,'Listas suspensas'!$C$4,IF(AA347='Listas suspensas'!$A$5,'Listas suspensas'!$C$5,IF(AA347='Listas suspensas'!$A$6,'Listas suspensas'!$C$6,"")))))</f>
        <v>Indica a penetração profunda, mas desuniforme em toda a extensão do alburno.</v>
      </c>
      <c r="BD347" s="13">
        <v>0.64300000000000002</v>
      </c>
      <c r="BE347" s="18">
        <f t="shared" si="67"/>
        <v>643</v>
      </c>
      <c r="BF347" s="8">
        <v>0.40600000000000003</v>
      </c>
      <c r="BG347" s="8">
        <v>0.17399999999999999</v>
      </c>
      <c r="BH347" s="8">
        <v>0.33700000000000002</v>
      </c>
      <c r="BI347" s="13">
        <f t="shared" si="68"/>
        <v>0.91700000000000004</v>
      </c>
      <c r="BJ347" s="14">
        <v>44.3</v>
      </c>
      <c r="BK347" s="14">
        <v>19</v>
      </c>
      <c r="BL347" s="14">
        <v>36.700000000000003</v>
      </c>
      <c r="BM347" s="16">
        <f t="shared" si="62"/>
        <v>100</v>
      </c>
      <c r="BN347" s="21">
        <f t="shared" si="63"/>
        <v>2.61</v>
      </c>
      <c r="BO347" s="21">
        <f t="shared" si="64"/>
        <v>1.1200000000000001</v>
      </c>
      <c r="BP347" s="21">
        <f t="shared" si="65"/>
        <v>2.17</v>
      </c>
      <c r="BQ347" s="14">
        <f t="shared" si="66"/>
        <v>5.9</v>
      </c>
      <c r="BR347" s="22" t="str">
        <f>IF(OR(AND(X347="Mourões", BQ347&gt;=6.5),AND(X347="Postes", BQ347&gt;=9.6),AND(X347="Dormentes", BQ347&gt;=9.6),AND(X347="Estacas", BQ347&gt;=6.5),AND(X347="Cruzetas", BQ347&gt;=6.5),AND(X347="Outros - Solo", BQ347&gt;=6.5),AND(X347="Outros - Suspenso",BQ347&gt;=4),AND(X347="Deck",BQ347&gt;=4)),'Listas suspensas'!$C$21,'Listas suspensas'!$C$22)</f>
        <v>Os resultados da análise química apresentaram uma retenção do produto de acordo com o padrão mínimo exigido pela norma ABNT NBR 16143</v>
      </c>
    </row>
    <row r="348" spans="2:70" x14ac:dyDescent="0.25">
      <c r="B348" s="8" t="s">
        <v>906</v>
      </c>
      <c r="C348" s="8" t="s">
        <v>71</v>
      </c>
      <c r="F348" s="11">
        <v>45909</v>
      </c>
      <c r="G348" s="11">
        <v>45912</v>
      </c>
      <c r="H348" s="11">
        <v>45919</v>
      </c>
      <c r="I348" s="8" t="s">
        <v>896</v>
      </c>
      <c r="J348" s="8" t="s">
        <v>897</v>
      </c>
      <c r="K348" s="8" t="s">
        <v>619</v>
      </c>
      <c r="L348" s="8" t="s">
        <v>15</v>
      </c>
      <c r="M348" s="30" t="s">
        <v>898</v>
      </c>
      <c r="N348" s="8" t="s">
        <v>75</v>
      </c>
      <c r="O348" s="8" t="s">
        <v>94</v>
      </c>
      <c r="P348" s="28" t="s">
        <v>471</v>
      </c>
      <c r="Q348" s="16" t="s">
        <v>907</v>
      </c>
      <c r="X348" s="8" t="s">
        <v>473</v>
      </c>
      <c r="Y348" s="34">
        <f>IF(X348='Listas suspensas'!$A$21,'Listas suspensas'!$B$23,IF(X348='Listas suspensas'!$A$22,'Listas suspensas'!$B$23,IF(X348='Listas suspensas'!$A$23,'Listas suspensas'!$B$22,IF(X348='Listas suspensas'!$A$26,'Listas suspensas'!$B$22,IF(X348='Listas suspensas'!$A$32,'Listas suspensas'!$B$22,IF(X348='Listas suspensas'!$A$33,'Listas suspensas'!$B$21,IF(X348='Listas suspensas'!$A$24,'Listas suspensas'!$B$22,IF(X348='Listas suspensas'!$A$30,'Listas suspensas'!$B$21,""))))))))</f>
        <v>4</v>
      </c>
      <c r="Z348" s="8" t="s">
        <v>80</v>
      </c>
      <c r="AA348" s="8">
        <v>2</v>
      </c>
      <c r="AB348" s="8" t="str">
        <f>IF(AA348='Listas suspensas'!$A$2,'Listas suspensas'!$B$2,IF(AA348='Listas suspensas'!$A$3,'Listas suspensas'!$B$3,IF(AA348='Listas suspensas'!$A$4,'Listas suspensas'!$B$4,IF(AA348='Listas suspensas'!$A$5,'Listas suspensas'!$B$5,IF(AA348='Listas suspensas'!$A$6,'Listas suspensas'!$B$6,"")))))</f>
        <v>Profunda e irregular</v>
      </c>
      <c r="AC348" s="8" t="str">
        <f>IF(AA348='Listas suspensas'!$A$2,'Listas suspensas'!$C$2,IF(AA348='Listas suspensas'!$A$3,'Listas suspensas'!$C$3,IF(AA348='Listas suspensas'!$A$4,'Listas suspensas'!$C$4,IF(AA348='Listas suspensas'!$A$5,'Listas suspensas'!$C$5,IF(AA348='Listas suspensas'!$A$6,'Listas suspensas'!$C$6,"")))))</f>
        <v>Indica a penetração profunda, mas desuniforme em toda a extensão do alburno.</v>
      </c>
      <c r="BD348" s="13">
        <v>0.501</v>
      </c>
      <c r="BE348" s="18">
        <f t="shared" si="67"/>
        <v>501</v>
      </c>
      <c r="BF348" s="8">
        <v>0.379</v>
      </c>
      <c r="BG348" s="8">
        <v>0.17899999999999999</v>
      </c>
      <c r="BH348" s="8">
        <v>0.32300000000000001</v>
      </c>
      <c r="BI348" s="13">
        <f t="shared" si="68"/>
        <v>0.88100000000000001</v>
      </c>
      <c r="BJ348" s="14">
        <v>43</v>
      </c>
      <c r="BK348" s="14">
        <v>20.3</v>
      </c>
      <c r="BL348" s="14">
        <v>36.700000000000003</v>
      </c>
      <c r="BM348" s="16">
        <f t="shared" si="62"/>
        <v>100</v>
      </c>
      <c r="BN348" s="21">
        <f t="shared" si="63"/>
        <v>1.9</v>
      </c>
      <c r="BO348" s="21">
        <f t="shared" si="64"/>
        <v>0.9</v>
      </c>
      <c r="BP348" s="21">
        <f t="shared" si="65"/>
        <v>1.62</v>
      </c>
      <c r="BQ348" s="14">
        <f t="shared" si="66"/>
        <v>4.42</v>
      </c>
      <c r="BR348" s="22" t="str">
        <f>IF(OR(AND(X348="Mourões", BQ348&gt;=6.5),AND(X348="Postes", BQ348&gt;=9.6),AND(X348="Dormentes", BQ348&gt;=9.6),AND(X348="Estacas", BQ348&gt;=6.5),AND(X348="Cruzetas", BQ348&gt;=6.5),AND(X348="Outros - Solo", BQ348&gt;=6.5),AND(X348="Outros - Suspenso",BQ348&gt;=4),AND(X348="Deck",BQ348&gt;=4)),'Listas suspensas'!$C$21,'Listas suspensas'!$C$22)</f>
        <v>Os resultados da análise química apresentaram uma retenção do produto de acordo com o padrão mínimo exigido pela norma ABNT NBR 16143</v>
      </c>
    </row>
    <row r="349" spans="2:70" x14ac:dyDescent="0.25">
      <c r="B349" s="8" t="s">
        <v>908</v>
      </c>
      <c r="C349" s="8" t="s">
        <v>71</v>
      </c>
      <c r="F349" s="11">
        <v>45909</v>
      </c>
      <c r="G349" s="11">
        <v>45912</v>
      </c>
      <c r="H349" s="11">
        <v>45919</v>
      </c>
      <c r="I349" s="8" t="s">
        <v>896</v>
      </c>
      <c r="J349" s="8" t="s">
        <v>897</v>
      </c>
      <c r="K349" s="8" t="s">
        <v>619</v>
      </c>
      <c r="L349" s="8" t="s">
        <v>15</v>
      </c>
      <c r="M349" s="30" t="s">
        <v>898</v>
      </c>
      <c r="N349" s="8" t="s">
        <v>75</v>
      </c>
      <c r="O349" s="8" t="s">
        <v>94</v>
      </c>
      <c r="P349" s="28" t="s">
        <v>471</v>
      </c>
      <c r="Q349" s="16" t="s">
        <v>909</v>
      </c>
      <c r="X349" s="8" t="s">
        <v>473</v>
      </c>
      <c r="Y349" s="34">
        <f>IF(X349='Listas suspensas'!$A$21,'Listas suspensas'!$B$23,IF(X349='Listas suspensas'!$A$22,'Listas suspensas'!$B$23,IF(X349='Listas suspensas'!$A$23,'Listas suspensas'!$B$22,IF(X349='Listas suspensas'!$A$26,'Listas suspensas'!$B$22,IF(X349='Listas suspensas'!$A$32,'Listas suspensas'!$B$22,IF(X349='Listas suspensas'!$A$33,'Listas suspensas'!$B$21,IF(X349='Listas suspensas'!$A$24,'Listas suspensas'!$B$22,IF(X349='Listas suspensas'!$A$30,'Listas suspensas'!$B$21,""))))))))</f>
        <v>4</v>
      </c>
      <c r="Z349" s="8" t="s">
        <v>80</v>
      </c>
      <c r="AA349" s="8">
        <v>2</v>
      </c>
      <c r="AB349" s="8" t="str">
        <f>IF(AA349='Listas suspensas'!$A$2,'Listas suspensas'!$B$2,IF(AA349='Listas suspensas'!$A$3,'Listas suspensas'!$B$3,IF(AA349='Listas suspensas'!$A$4,'Listas suspensas'!$B$4,IF(AA349='Listas suspensas'!$A$5,'Listas suspensas'!$B$5,IF(AA349='Listas suspensas'!$A$6,'Listas suspensas'!$B$6,"")))))</f>
        <v>Profunda e irregular</v>
      </c>
      <c r="AC349" s="8" t="str">
        <f>IF(AA349='Listas suspensas'!$A$2,'Listas suspensas'!$C$2,IF(AA349='Listas suspensas'!$A$3,'Listas suspensas'!$C$3,IF(AA349='Listas suspensas'!$A$4,'Listas suspensas'!$C$4,IF(AA349='Listas suspensas'!$A$5,'Listas suspensas'!$C$5,IF(AA349='Listas suspensas'!$A$6,'Listas suspensas'!$C$6,"")))))</f>
        <v>Indica a penetração profunda, mas desuniforme em toda a extensão do alburno.</v>
      </c>
      <c r="BD349" s="13">
        <v>0.33500000000000002</v>
      </c>
      <c r="BE349" s="18">
        <f t="shared" si="67"/>
        <v>335</v>
      </c>
      <c r="BF349" s="8">
        <v>0.56799999999999995</v>
      </c>
      <c r="BG349" s="8">
        <v>0.51600000000000001</v>
      </c>
      <c r="BH349" s="8">
        <v>0.44800000000000001</v>
      </c>
      <c r="BI349" s="13">
        <f t="shared" si="68"/>
        <v>1.532</v>
      </c>
      <c r="BJ349" s="14">
        <v>46.1</v>
      </c>
      <c r="BK349" s="14">
        <v>17.5</v>
      </c>
      <c r="BL349" s="14">
        <v>36.4</v>
      </c>
      <c r="BM349" s="16">
        <f t="shared" si="62"/>
        <v>100</v>
      </c>
      <c r="BN349" s="21">
        <f t="shared" si="63"/>
        <v>1.9</v>
      </c>
      <c r="BO349" s="21">
        <f t="shared" si="64"/>
        <v>1.73</v>
      </c>
      <c r="BP349" s="21">
        <f t="shared" si="65"/>
        <v>1.5</v>
      </c>
      <c r="BQ349" s="14">
        <f t="shared" si="66"/>
        <v>5.13</v>
      </c>
      <c r="BR349" s="22" t="str">
        <f>IF(OR(AND(X349="Mourões", BQ349&gt;=6.5),AND(X349="Postes", BQ349&gt;=9.6),AND(X349="Dormentes", BQ349&gt;=9.6),AND(X349="Estacas", BQ349&gt;=6.5),AND(X349="Cruzetas", BQ349&gt;=6.5),AND(X349="Outros - Solo", BQ349&gt;=6.5),AND(X349="Outros - Suspenso",BQ349&gt;=4),AND(X349="Deck",BQ349&gt;=4)),'Listas suspensas'!$C$21,'Listas suspensas'!$C$22)</f>
        <v>Os resultados da análise química apresentaram uma retenção do produto de acordo com o padrão mínimo exigido pela norma ABNT NBR 16143</v>
      </c>
    </row>
    <row r="350" spans="2:70" x14ac:dyDescent="0.25">
      <c r="B350" s="8" t="s">
        <v>910</v>
      </c>
      <c r="C350" s="8" t="s">
        <v>71</v>
      </c>
      <c r="F350" s="11">
        <v>45909</v>
      </c>
      <c r="G350" s="11">
        <v>45912</v>
      </c>
      <c r="H350" s="11">
        <v>45919</v>
      </c>
      <c r="I350" s="8" t="s">
        <v>896</v>
      </c>
      <c r="J350" s="8" t="s">
        <v>897</v>
      </c>
      <c r="K350" s="8" t="s">
        <v>619</v>
      </c>
      <c r="L350" s="8" t="s">
        <v>15</v>
      </c>
      <c r="M350" s="30" t="s">
        <v>898</v>
      </c>
      <c r="N350" s="8" t="s">
        <v>75</v>
      </c>
      <c r="O350" s="8" t="s">
        <v>94</v>
      </c>
      <c r="P350" s="28" t="s">
        <v>471</v>
      </c>
      <c r="Q350" s="16" t="s">
        <v>911</v>
      </c>
      <c r="X350" s="8" t="s">
        <v>473</v>
      </c>
      <c r="Y350" s="34">
        <f>IF(X350='Listas suspensas'!$A$21,'Listas suspensas'!$B$23,IF(X350='Listas suspensas'!$A$22,'Listas suspensas'!$B$23,IF(X350='Listas suspensas'!$A$23,'Listas suspensas'!$B$22,IF(X350='Listas suspensas'!$A$26,'Listas suspensas'!$B$22,IF(X350='Listas suspensas'!$A$32,'Listas suspensas'!$B$22,IF(X350='Listas suspensas'!$A$33,'Listas suspensas'!$B$21,IF(X350='Listas suspensas'!$A$24,'Listas suspensas'!$B$22,IF(X350='Listas suspensas'!$A$30,'Listas suspensas'!$B$21,""))))))))</f>
        <v>4</v>
      </c>
      <c r="Z350" s="8" t="s">
        <v>80</v>
      </c>
      <c r="AA350" s="8">
        <v>2</v>
      </c>
      <c r="AB350" s="8" t="str">
        <f>IF(AA350='Listas suspensas'!$A$2,'Listas suspensas'!$B$2,IF(AA350='Listas suspensas'!$A$3,'Listas suspensas'!$B$3,IF(AA350='Listas suspensas'!$A$4,'Listas suspensas'!$B$4,IF(AA350='Listas suspensas'!$A$5,'Listas suspensas'!$B$5,IF(AA350='Listas suspensas'!$A$6,'Listas suspensas'!$B$6,"")))))</f>
        <v>Profunda e irregular</v>
      </c>
      <c r="AC350" s="8" t="str">
        <f>IF(AA350='Listas suspensas'!$A$2,'Listas suspensas'!$C$2,IF(AA350='Listas suspensas'!$A$3,'Listas suspensas'!$C$3,IF(AA350='Listas suspensas'!$A$4,'Listas suspensas'!$C$4,IF(AA350='Listas suspensas'!$A$5,'Listas suspensas'!$C$5,IF(AA350='Listas suspensas'!$A$6,'Listas suspensas'!$C$6,"")))))</f>
        <v>Indica a penetração profunda, mas desuniforme em toda a extensão do alburno.</v>
      </c>
      <c r="BD350" s="13">
        <v>0.372</v>
      </c>
      <c r="BE350" s="18">
        <f t="shared" si="67"/>
        <v>372</v>
      </c>
      <c r="BF350" s="8">
        <v>0.61899999999999999</v>
      </c>
      <c r="BG350" s="8">
        <v>0.21099999999999999</v>
      </c>
      <c r="BH350" s="8">
        <v>0.45500000000000002</v>
      </c>
      <c r="BI350" s="13">
        <f t="shared" si="68"/>
        <v>1.2849999999999999</v>
      </c>
      <c r="BJ350" s="14">
        <v>48.2</v>
      </c>
      <c r="BK350" s="14">
        <v>16.399999999999999</v>
      </c>
      <c r="BL350" s="14">
        <v>35.4</v>
      </c>
      <c r="BM350" s="16">
        <f t="shared" si="62"/>
        <v>100</v>
      </c>
      <c r="BN350" s="21">
        <f t="shared" si="63"/>
        <v>2.2999999999999998</v>
      </c>
      <c r="BO350" s="21">
        <f t="shared" si="64"/>
        <v>0.78</v>
      </c>
      <c r="BP350" s="21">
        <f t="shared" si="65"/>
        <v>1.69</v>
      </c>
      <c r="BQ350" s="14">
        <f t="shared" si="66"/>
        <v>4.7699999999999996</v>
      </c>
      <c r="BR350" s="22" t="str">
        <f>IF(OR(AND(X350="Mourões", BQ350&gt;=6.5),AND(X350="Postes", BQ350&gt;=9.6),AND(X350="Dormentes", BQ350&gt;=9.6),AND(X350="Estacas", BQ350&gt;=6.5),AND(X350="Cruzetas", BQ350&gt;=6.5),AND(X350="Outros - Solo", BQ350&gt;=6.5),AND(X350="Outros - Suspenso",BQ350&gt;=4),AND(X350="Deck",BQ350&gt;=4)),'Listas suspensas'!$C$21,'Listas suspensas'!$C$22)</f>
        <v>Os resultados da análise química apresentaram uma retenção do produto de acordo com o padrão mínimo exigido pela norma ABNT NBR 16143</v>
      </c>
    </row>
    <row r="351" spans="2:70" x14ac:dyDescent="0.25">
      <c r="B351" s="8" t="s">
        <v>912</v>
      </c>
      <c r="C351" s="8" t="s">
        <v>71</v>
      </c>
      <c r="F351" s="11">
        <v>45909</v>
      </c>
      <c r="G351" s="11">
        <v>45912</v>
      </c>
      <c r="H351" s="11">
        <v>45919</v>
      </c>
      <c r="I351" s="8" t="s">
        <v>896</v>
      </c>
      <c r="J351" s="8" t="s">
        <v>897</v>
      </c>
      <c r="K351" s="8" t="s">
        <v>619</v>
      </c>
      <c r="L351" s="8" t="s">
        <v>15</v>
      </c>
      <c r="M351" s="30" t="s">
        <v>898</v>
      </c>
      <c r="N351" s="8" t="s">
        <v>75</v>
      </c>
      <c r="O351" s="8" t="s">
        <v>94</v>
      </c>
      <c r="P351" s="28" t="s">
        <v>471</v>
      </c>
      <c r="Q351" s="16" t="s">
        <v>913</v>
      </c>
      <c r="X351" s="8" t="s">
        <v>473</v>
      </c>
      <c r="Y351" s="34">
        <f>IF(X351='Listas suspensas'!$A$21,'Listas suspensas'!$B$23,IF(X351='Listas suspensas'!$A$22,'Listas suspensas'!$B$23,IF(X351='Listas suspensas'!$A$23,'Listas suspensas'!$B$22,IF(X351='Listas suspensas'!$A$26,'Listas suspensas'!$B$22,IF(X351='Listas suspensas'!$A$32,'Listas suspensas'!$B$22,IF(X351='Listas suspensas'!$A$33,'Listas suspensas'!$B$21,IF(X351='Listas suspensas'!$A$24,'Listas suspensas'!$B$22,IF(X351='Listas suspensas'!$A$30,'Listas suspensas'!$B$21,""))))))))</f>
        <v>4</v>
      </c>
      <c r="Z351" s="8" t="s">
        <v>80</v>
      </c>
      <c r="AA351" s="8">
        <v>2</v>
      </c>
      <c r="AB351" s="8" t="str">
        <f>IF(AA351='Listas suspensas'!$A$2,'Listas suspensas'!$B$2,IF(AA351='Listas suspensas'!$A$3,'Listas suspensas'!$B$3,IF(AA351='Listas suspensas'!$A$4,'Listas suspensas'!$B$4,IF(AA351='Listas suspensas'!$A$5,'Listas suspensas'!$B$5,IF(AA351='Listas suspensas'!$A$6,'Listas suspensas'!$B$6,"")))))</f>
        <v>Profunda e irregular</v>
      </c>
      <c r="AC351" s="8" t="str">
        <f>IF(AA351='Listas suspensas'!$A$2,'Listas suspensas'!$C$2,IF(AA351='Listas suspensas'!$A$3,'Listas suspensas'!$C$3,IF(AA351='Listas suspensas'!$A$4,'Listas suspensas'!$C$4,IF(AA351='Listas suspensas'!$A$5,'Listas suspensas'!$C$5,IF(AA351='Listas suspensas'!$A$6,'Listas suspensas'!$C$6,"")))))</f>
        <v>Indica a penetração profunda, mas desuniforme em toda a extensão do alburno.</v>
      </c>
      <c r="BD351" s="13">
        <v>0.42299999999999999</v>
      </c>
      <c r="BE351" s="18">
        <f t="shared" si="67"/>
        <v>423</v>
      </c>
      <c r="BF351" s="8">
        <v>0.625</v>
      </c>
      <c r="BG351" s="8">
        <v>0.19900000000000001</v>
      </c>
      <c r="BH351" s="8">
        <v>0.41599999999999998</v>
      </c>
      <c r="BI351" s="13">
        <f t="shared" si="68"/>
        <v>1.24</v>
      </c>
      <c r="BJ351" s="14">
        <v>50.4</v>
      </c>
      <c r="BK351" s="14">
        <v>16</v>
      </c>
      <c r="BL351" s="14">
        <v>33.6</v>
      </c>
      <c r="BM351" s="16">
        <f t="shared" si="62"/>
        <v>100</v>
      </c>
      <c r="BN351" s="21">
        <f t="shared" si="63"/>
        <v>2.64</v>
      </c>
      <c r="BO351" s="21">
        <f t="shared" si="64"/>
        <v>0.84</v>
      </c>
      <c r="BP351" s="21">
        <f t="shared" si="65"/>
        <v>1.76</v>
      </c>
      <c r="BQ351" s="14">
        <f t="shared" si="66"/>
        <v>5.24</v>
      </c>
      <c r="BR351" s="22" t="str">
        <f>IF(OR(AND(X351="Mourões", BQ351&gt;=6.5),AND(X351="Postes", BQ351&gt;=9.6),AND(X351="Dormentes", BQ351&gt;=9.6),AND(X351="Estacas", BQ351&gt;=6.5),AND(X351="Cruzetas", BQ351&gt;=6.5),AND(X351="Outros - Solo", BQ351&gt;=6.5),AND(X351="Outros - Suspenso",BQ351&gt;=4),AND(X351="Deck",BQ351&gt;=4)),'Listas suspensas'!$C$21,'Listas suspensas'!$C$22)</f>
        <v>Os resultados da análise química apresentaram uma retenção do produto de acordo com o padrão mínimo exigido pela norma ABNT NBR 16143</v>
      </c>
    </row>
    <row r="352" spans="2:70" x14ac:dyDescent="0.25">
      <c r="B352" s="8" t="s">
        <v>914</v>
      </c>
      <c r="C352" s="8" t="s">
        <v>71</v>
      </c>
      <c r="F352" s="11">
        <v>45909</v>
      </c>
      <c r="G352" s="11">
        <v>45912</v>
      </c>
      <c r="H352" s="11">
        <v>45919</v>
      </c>
      <c r="I352" s="8" t="s">
        <v>896</v>
      </c>
      <c r="J352" s="8" t="s">
        <v>897</v>
      </c>
      <c r="K352" s="8" t="s">
        <v>619</v>
      </c>
      <c r="L352" s="8" t="s">
        <v>15</v>
      </c>
      <c r="M352" s="30" t="s">
        <v>898</v>
      </c>
      <c r="N352" s="8" t="s">
        <v>75</v>
      </c>
      <c r="O352" s="8" t="s">
        <v>94</v>
      </c>
      <c r="P352" s="28" t="s">
        <v>471</v>
      </c>
      <c r="Q352" s="16" t="s">
        <v>915</v>
      </c>
      <c r="X352" s="8" t="s">
        <v>473</v>
      </c>
      <c r="Y352" s="34">
        <f>IF(X352='Listas suspensas'!$A$21,'Listas suspensas'!$B$23,IF(X352='Listas suspensas'!$A$22,'Listas suspensas'!$B$23,IF(X352='Listas suspensas'!$A$23,'Listas suspensas'!$B$22,IF(X352='Listas suspensas'!$A$26,'Listas suspensas'!$B$22,IF(X352='Listas suspensas'!$A$32,'Listas suspensas'!$B$22,IF(X352='Listas suspensas'!$A$33,'Listas suspensas'!$B$21,IF(X352='Listas suspensas'!$A$24,'Listas suspensas'!$B$22,IF(X352='Listas suspensas'!$A$30,'Listas suspensas'!$B$21,""))))))))</f>
        <v>4</v>
      </c>
      <c r="Z352" s="8" t="s">
        <v>80</v>
      </c>
      <c r="AA352" s="8">
        <v>2</v>
      </c>
      <c r="AB352" s="8" t="str">
        <f>IF(AA352='Listas suspensas'!$A$2,'Listas suspensas'!$B$2,IF(AA352='Listas suspensas'!$A$3,'Listas suspensas'!$B$3,IF(AA352='Listas suspensas'!$A$4,'Listas suspensas'!$B$4,IF(AA352='Listas suspensas'!$A$5,'Listas suspensas'!$B$5,IF(AA352='Listas suspensas'!$A$6,'Listas suspensas'!$B$6,"")))))</f>
        <v>Profunda e irregular</v>
      </c>
      <c r="AC352" s="8" t="str">
        <f>IF(AA352='Listas suspensas'!$A$2,'Listas suspensas'!$C$2,IF(AA352='Listas suspensas'!$A$3,'Listas suspensas'!$C$3,IF(AA352='Listas suspensas'!$A$4,'Listas suspensas'!$C$4,IF(AA352='Listas suspensas'!$A$5,'Listas suspensas'!$C$5,IF(AA352='Listas suspensas'!$A$6,'Listas suspensas'!$C$6,"")))))</f>
        <v>Indica a penetração profunda, mas desuniforme em toda a extensão do alburno.</v>
      </c>
      <c r="BD352" s="13">
        <v>0.45600000000000002</v>
      </c>
      <c r="BE352" s="18">
        <f t="shared" si="67"/>
        <v>456</v>
      </c>
      <c r="BF352" s="8">
        <v>0.56799999999999995</v>
      </c>
      <c r="BG352" s="8">
        <v>0.19</v>
      </c>
      <c r="BH352" s="8">
        <v>0.378</v>
      </c>
      <c r="BI352" s="13">
        <f t="shared" si="68"/>
        <v>1.1360000000000001</v>
      </c>
      <c r="BJ352" s="14">
        <v>50</v>
      </c>
      <c r="BK352" s="14">
        <v>16.7</v>
      </c>
      <c r="BL352" s="14">
        <v>33.299999999999997</v>
      </c>
      <c r="BM352" s="16">
        <f t="shared" si="62"/>
        <v>100</v>
      </c>
      <c r="BN352" s="21">
        <f t="shared" si="63"/>
        <v>2.59</v>
      </c>
      <c r="BO352" s="21">
        <f t="shared" si="64"/>
        <v>0.87</v>
      </c>
      <c r="BP352" s="21">
        <f t="shared" si="65"/>
        <v>1.72</v>
      </c>
      <c r="BQ352" s="14">
        <f t="shared" si="66"/>
        <v>5.18</v>
      </c>
      <c r="BR352" s="22" t="str">
        <f>IF(OR(AND(X352="Mourões", BQ352&gt;=6.5),AND(X352="Postes", BQ352&gt;=9.6),AND(X352="Dormentes", BQ352&gt;=9.6),AND(X352="Estacas", BQ352&gt;=6.5),AND(X352="Cruzetas", BQ352&gt;=6.5),AND(X352="Outros - Solo", BQ352&gt;=6.5),AND(X352="Outros - Suspenso",BQ352&gt;=4),AND(X352="Deck",BQ352&gt;=4)),'Listas suspensas'!$C$21,'Listas suspensas'!$C$22)</f>
        <v>Os resultados da análise química apresentaram uma retenção do produto de acordo com o padrão mínimo exigido pela norma ABNT NBR 16143</v>
      </c>
    </row>
    <row r="353" spans="2:70" x14ac:dyDescent="0.25">
      <c r="B353" s="8" t="s">
        <v>916</v>
      </c>
      <c r="C353" s="8" t="s">
        <v>71</v>
      </c>
      <c r="F353" s="11">
        <v>45909</v>
      </c>
      <c r="G353" s="11">
        <v>45912</v>
      </c>
      <c r="H353" s="11">
        <v>45919</v>
      </c>
      <c r="I353" s="8" t="s">
        <v>917</v>
      </c>
      <c r="J353" s="8" t="s">
        <v>504</v>
      </c>
      <c r="K353" s="8" t="s">
        <v>92</v>
      </c>
      <c r="L353" s="8" t="s">
        <v>15</v>
      </c>
      <c r="M353" s="30" t="s">
        <v>891</v>
      </c>
      <c r="N353" s="8" t="s">
        <v>75</v>
      </c>
      <c r="O353" s="8" t="s">
        <v>76</v>
      </c>
      <c r="P353" s="28" t="s">
        <v>77</v>
      </c>
      <c r="Q353" s="16" t="s">
        <v>918</v>
      </c>
      <c r="X353" s="8" t="s">
        <v>79</v>
      </c>
      <c r="Y353" s="34">
        <f>IF(X353='Listas suspensas'!$A$21,'Listas suspensas'!$B$23,IF(X353='Listas suspensas'!$A$22,'Listas suspensas'!$B$23,IF(X353='Listas suspensas'!$A$23,'Listas suspensas'!$B$22,IF(X353='Listas suspensas'!$A$26,'Listas suspensas'!$B$22,IF(X353='Listas suspensas'!$A$32,'Listas suspensas'!$B$22,IF(X353='Listas suspensas'!$A$33,'Listas suspensas'!$B$21,IF(X353='Listas suspensas'!$A$24,'Listas suspensas'!$B$22,IF(X353='Listas suspensas'!$A$30,'Listas suspensas'!$B$21,""))))))))</f>
        <v>6.5</v>
      </c>
      <c r="Z353" s="8" t="s">
        <v>80</v>
      </c>
      <c r="AA353" s="8">
        <v>2</v>
      </c>
      <c r="AB353" s="8" t="str">
        <f>IF(AA353='Listas suspensas'!$A$2,'Listas suspensas'!$B$2,IF(AA353='Listas suspensas'!$A$3,'Listas suspensas'!$B$3,IF(AA353='Listas suspensas'!$A$4,'Listas suspensas'!$B$4,IF(AA353='Listas suspensas'!$A$5,'Listas suspensas'!$B$5,IF(AA353='Listas suspensas'!$A$6,'Listas suspensas'!$B$6,"")))))</f>
        <v>Profunda e irregular</v>
      </c>
      <c r="AC353" s="8" t="str">
        <f>IF(AA353='Listas suspensas'!$A$2,'Listas suspensas'!$C$2,IF(AA353='Listas suspensas'!$A$3,'Listas suspensas'!$C$3,IF(AA353='Listas suspensas'!$A$4,'Listas suspensas'!$C$4,IF(AA353='Listas suspensas'!$A$5,'Listas suspensas'!$C$5,IF(AA353='Listas suspensas'!$A$6,'Listas suspensas'!$C$6,"")))))</f>
        <v>Indica a penetração profunda, mas desuniforme em toda a extensão do alburno.</v>
      </c>
      <c r="BD353" s="13">
        <v>0.70399999999999996</v>
      </c>
      <c r="BE353" s="18">
        <f t="shared" si="67"/>
        <v>704</v>
      </c>
      <c r="BF353" s="8">
        <v>0.20100000000000001</v>
      </c>
      <c r="BG353" s="8">
        <v>7.6999999999999999E-2</v>
      </c>
      <c r="BH353" s="8">
        <v>0.129</v>
      </c>
      <c r="BI353" s="13">
        <f t="shared" si="68"/>
        <v>0.40700000000000003</v>
      </c>
      <c r="BJ353" s="14">
        <v>49.3</v>
      </c>
      <c r="BK353" s="14">
        <v>19</v>
      </c>
      <c r="BL353" s="14">
        <v>31.7</v>
      </c>
      <c r="BM353" s="16">
        <f t="shared" si="62"/>
        <v>100</v>
      </c>
      <c r="BN353" s="21">
        <f t="shared" si="63"/>
        <v>1.42</v>
      </c>
      <c r="BO353" s="21">
        <f t="shared" si="64"/>
        <v>0.54</v>
      </c>
      <c r="BP353" s="21">
        <f t="shared" si="65"/>
        <v>0.91</v>
      </c>
      <c r="BQ353" s="14">
        <f t="shared" si="66"/>
        <v>2.87</v>
      </c>
      <c r="BR353" s="22" t="str">
        <f>IF(OR(AND(X353="Mourões", BQ353&gt;=6.5),AND(X353="Postes", BQ353&gt;=9.6),AND(X353="Dormentes", BQ353&gt;=9.6),AND(X353="Estacas", BQ353&gt;=6.5),AND(X353="Cruzetas", BQ353&gt;=6.5),AND(X353="Outros - Solo", BQ353&gt;=6.5),AND(X353="Outros - Suspenso",BQ353&gt;=4),AND(X353="Deck",BQ353&gt;=4)),'Listas suspensas'!$C$21,'Listas suspensas'!$C$22)</f>
        <v>Os resultados da análise química apresentaram uma retenção do produto inferior ao padrão mínimo exigido pela norma ABNT NBR 16143</v>
      </c>
    </row>
    <row r="354" spans="2:70" x14ac:dyDescent="0.25">
      <c r="B354" s="8" t="s">
        <v>919</v>
      </c>
      <c r="C354" s="8" t="s">
        <v>71</v>
      </c>
      <c r="F354" s="11">
        <v>45909</v>
      </c>
      <c r="G354" s="11">
        <v>45912</v>
      </c>
      <c r="H354" s="11">
        <v>45919</v>
      </c>
      <c r="I354" s="8" t="s">
        <v>917</v>
      </c>
      <c r="J354" s="8" t="s">
        <v>504</v>
      </c>
      <c r="K354" s="8" t="s">
        <v>92</v>
      </c>
      <c r="L354" s="8" t="s">
        <v>15</v>
      </c>
      <c r="M354" s="30" t="s">
        <v>891</v>
      </c>
      <c r="N354" s="8" t="s">
        <v>75</v>
      </c>
      <c r="O354" s="8" t="s">
        <v>76</v>
      </c>
      <c r="P354" s="28" t="s">
        <v>77</v>
      </c>
      <c r="Q354" s="16" t="s">
        <v>920</v>
      </c>
      <c r="X354" s="8" t="s">
        <v>79</v>
      </c>
      <c r="Y354" s="34">
        <f>IF(X354='Listas suspensas'!$A$21,'Listas suspensas'!$B$23,IF(X354='Listas suspensas'!$A$22,'Listas suspensas'!$B$23,IF(X354='Listas suspensas'!$A$23,'Listas suspensas'!$B$22,IF(X354='Listas suspensas'!$A$26,'Listas suspensas'!$B$22,IF(X354='Listas suspensas'!$A$32,'Listas suspensas'!$B$22,IF(X354='Listas suspensas'!$A$33,'Listas suspensas'!$B$21,IF(X354='Listas suspensas'!$A$24,'Listas suspensas'!$B$22,IF(X354='Listas suspensas'!$A$30,'Listas suspensas'!$B$21,""))))))))</f>
        <v>6.5</v>
      </c>
      <c r="Z354" s="8" t="s">
        <v>80</v>
      </c>
      <c r="AA354" s="8">
        <v>1</v>
      </c>
      <c r="AB354" s="8" t="str">
        <f>IF(AA354='Listas suspensas'!$A$2,'Listas suspensas'!$B$2,IF(AA354='Listas suspensas'!$A$3,'Listas suspensas'!$B$3,IF(AA354='Listas suspensas'!$A$4,'Listas suspensas'!$B$4,IF(AA354='Listas suspensas'!$A$5,'Listas suspensas'!$B$5,IF(AA354='Listas suspensas'!$A$6,'Listas suspensas'!$B$6,"")))))</f>
        <v>Profunda e regular</v>
      </c>
      <c r="AC354" s="8" t="str">
        <f>IF(AA354='Listas suspensas'!$A$2,'Listas suspensas'!$C$2,IF(AA354='Listas suspensas'!$A$3,'Listas suspensas'!$C$3,IF(AA354='Listas suspensas'!$A$4,'Listas suspensas'!$C$4,IF(AA354='Listas suspensas'!$A$5,'Listas suspensas'!$C$5,IF(AA354='Listas suspensas'!$A$6,'Listas suspensas'!$C$6,"")))))</f>
        <v>Indica a penetração profunda e uniforme em toda a extensão do alburno.</v>
      </c>
      <c r="BD354" s="13">
        <v>0.64900000000000002</v>
      </c>
      <c r="BE354" s="18">
        <f t="shared" si="67"/>
        <v>649</v>
      </c>
      <c r="BF354" s="8">
        <v>0.22</v>
      </c>
      <c r="BG354" s="8">
        <v>0.09</v>
      </c>
      <c r="BH354" s="8">
        <v>0.13500000000000001</v>
      </c>
      <c r="BI354" s="13">
        <f t="shared" si="68"/>
        <v>0.44500000000000001</v>
      </c>
      <c r="BJ354" s="14">
        <v>49.5</v>
      </c>
      <c r="BK354" s="14">
        <v>20.100000000000001</v>
      </c>
      <c r="BL354" s="14">
        <v>30.4</v>
      </c>
      <c r="BM354" s="16">
        <f t="shared" si="62"/>
        <v>100</v>
      </c>
      <c r="BN354" s="21">
        <f t="shared" si="63"/>
        <v>1.43</v>
      </c>
      <c r="BO354" s="21">
        <f t="shared" si="64"/>
        <v>0.57999999999999996</v>
      </c>
      <c r="BP354" s="21">
        <f t="shared" si="65"/>
        <v>0.88</v>
      </c>
      <c r="BQ354" s="14">
        <f t="shared" si="66"/>
        <v>2.89</v>
      </c>
      <c r="BR354" s="22" t="str">
        <f>IF(OR(AND(X354="Mourões", BQ354&gt;=6.5),AND(X354="Postes", BQ354&gt;=9.6),AND(X354="Dormentes", BQ354&gt;=9.6),AND(X354="Estacas", BQ354&gt;=6.5),AND(X354="Cruzetas", BQ354&gt;=6.5),AND(X354="Outros - Solo", BQ354&gt;=6.5),AND(X354="Outros - Suspenso",BQ354&gt;=4),AND(X354="Deck",BQ354&gt;=4)),'Listas suspensas'!$C$21,'Listas suspensas'!$C$22)</f>
        <v>Os resultados da análise química apresentaram uma retenção do produto inferior ao padrão mínimo exigido pela norma ABNT NBR 16143</v>
      </c>
    </row>
    <row r="355" spans="2:70" x14ac:dyDescent="0.25">
      <c r="B355" s="8" t="s">
        <v>921</v>
      </c>
      <c r="C355" s="8" t="s">
        <v>71</v>
      </c>
      <c r="F355" s="11">
        <v>45909</v>
      </c>
      <c r="G355" s="11">
        <v>45912</v>
      </c>
      <c r="H355" s="11">
        <v>45923</v>
      </c>
      <c r="I355" s="8" t="s">
        <v>917</v>
      </c>
      <c r="J355" s="8" t="s">
        <v>504</v>
      </c>
      <c r="K355" s="8" t="s">
        <v>92</v>
      </c>
      <c r="L355" s="8" t="s">
        <v>15</v>
      </c>
      <c r="M355" s="30" t="s">
        <v>891</v>
      </c>
      <c r="N355" s="8" t="s">
        <v>75</v>
      </c>
      <c r="O355" s="8" t="s">
        <v>76</v>
      </c>
      <c r="P355" s="28" t="s">
        <v>77</v>
      </c>
      <c r="Q355" s="16" t="s">
        <v>922</v>
      </c>
      <c r="X355" s="8" t="s">
        <v>79</v>
      </c>
      <c r="Y355" s="34">
        <f>IF(X355='Listas suspensas'!$A$21,'Listas suspensas'!$B$23,IF(X355='Listas suspensas'!$A$22,'Listas suspensas'!$B$23,IF(X355='Listas suspensas'!$A$23,'Listas suspensas'!$B$22,IF(X355='Listas suspensas'!$A$26,'Listas suspensas'!$B$22,IF(X355='Listas suspensas'!$A$32,'Listas suspensas'!$B$22,IF(X355='Listas suspensas'!$A$33,'Listas suspensas'!$B$21,IF(X355='Listas suspensas'!$A$24,'Listas suspensas'!$B$22,IF(X355='Listas suspensas'!$A$30,'Listas suspensas'!$B$21,""))))))))</f>
        <v>6.5</v>
      </c>
      <c r="Z355" s="8" t="s">
        <v>80</v>
      </c>
      <c r="AA355" s="8">
        <v>1</v>
      </c>
      <c r="AB355" s="8" t="str">
        <f>IF(AA355='Listas suspensas'!$A$2,'Listas suspensas'!$B$2,IF(AA355='Listas suspensas'!$A$3,'Listas suspensas'!$B$3,IF(AA355='Listas suspensas'!$A$4,'Listas suspensas'!$B$4,IF(AA355='Listas suspensas'!$A$5,'Listas suspensas'!$B$5,IF(AA355='Listas suspensas'!$A$6,'Listas suspensas'!$B$6,"")))))</f>
        <v>Profunda e regular</v>
      </c>
      <c r="AC355" s="8" t="str">
        <f>IF(AA355='Listas suspensas'!$A$2,'Listas suspensas'!$C$2,IF(AA355='Listas suspensas'!$A$3,'Listas suspensas'!$C$3,IF(AA355='Listas suspensas'!$A$4,'Listas suspensas'!$C$4,IF(AA355='Listas suspensas'!$A$5,'Listas suspensas'!$C$5,IF(AA355='Listas suspensas'!$A$6,'Listas suspensas'!$C$6,"")))))</f>
        <v>Indica a penetração profunda e uniforme em toda a extensão do alburno.</v>
      </c>
      <c r="BD355" s="13">
        <v>0.66500000000000004</v>
      </c>
      <c r="BE355" s="18">
        <f t="shared" si="67"/>
        <v>665</v>
      </c>
      <c r="BF355" s="8">
        <v>0.20799999999999999</v>
      </c>
      <c r="BG355" s="8">
        <v>8.4000000000000005E-2</v>
      </c>
      <c r="BH355" s="8">
        <v>0.13400000000000001</v>
      </c>
      <c r="BI355" s="13">
        <f t="shared" si="68"/>
        <v>0.42599999999999999</v>
      </c>
      <c r="BJ355" s="14">
        <v>48.8</v>
      </c>
      <c r="BK355" s="14">
        <v>19.8</v>
      </c>
      <c r="BL355" s="14">
        <v>31.4</v>
      </c>
      <c r="BM355" s="16">
        <f t="shared" si="62"/>
        <v>100</v>
      </c>
      <c r="BN355" s="21">
        <f t="shared" si="63"/>
        <v>1.38</v>
      </c>
      <c r="BO355" s="21">
        <f t="shared" si="64"/>
        <v>0.56000000000000005</v>
      </c>
      <c r="BP355" s="21">
        <f t="shared" si="65"/>
        <v>0.89</v>
      </c>
      <c r="BQ355" s="14">
        <f t="shared" si="66"/>
        <v>2.83</v>
      </c>
      <c r="BR355" s="22" t="str">
        <f>IF(OR(AND(X355="Mourões", BQ355&gt;=6.5),AND(X355="Postes", BQ355&gt;=9.6),AND(X355="Dormentes", BQ355&gt;=9.6),AND(X355="Estacas", BQ355&gt;=6.5),AND(X355="Cruzetas", BQ355&gt;=6.5),AND(X355="Outros - Solo", BQ355&gt;=6.5),AND(X355="Outros - Suspenso",BQ355&gt;=4),AND(X355="Deck",BQ355&gt;=4)),'Listas suspensas'!$C$21,'Listas suspensas'!$C$22)</f>
        <v>Os resultados da análise química apresentaram uma retenção do produto inferior ao padrão mínimo exigido pela norma ABNT NBR 16143</v>
      </c>
    </row>
    <row r="356" spans="2:70" x14ac:dyDescent="0.25">
      <c r="B356" s="8" t="s">
        <v>923</v>
      </c>
      <c r="C356" s="8" t="s">
        <v>71</v>
      </c>
      <c r="F356" s="11">
        <v>45909</v>
      </c>
      <c r="G356" s="11">
        <v>45912</v>
      </c>
      <c r="H356" s="11">
        <v>45923</v>
      </c>
      <c r="I356" s="8" t="s">
        <v>917</v>
      </c>
      <c r="J356" s="8" t="s">
        <v>504</v>
      </c>
      <c r="K356" s="8" t="s">
        <v>92</v>
      </c>
      <c r="L356" s="8" t="s">
        <v>15</v>
      </c>
      <c r="M356" s="30" t="s">
        <v>891</v>
      </c>
      <c r="N356" s="8" t="s">
        <v>75</v>
      </c>
      <c r="O356" s="8" t="s">
        <v>76</v>
      </c>
      <c r="P356" s="28" t="s">
        <v>77</v>
      </c>
      <c r="Q356" s="16" t="s">
        <v>924</v>
      </c>
      <c r="X356" s="8" t="s">
        <v>79</v>
      </c>
      <c r="Y356" s="34">
        <f>IF(X356='Listas suspensas'!$A$21,'Listas suspensas'!$B$23,IF(X356='Listas suspensas'!$A$22,'Listas suspensas'!$B$23,IF(X356='Listas suspensas'!$A$23,'Listas suspensas'!$B$22,IF(X356='Listas suspensas'!$A$26,'Listas suspensas'!$B$22,IF(X356='Listas suspensas'!$A$32,'Listas suspensas'!$B$22,IF(X356='Listas suspensas'!$A$33,'Listas suspensas'!$B$21,IF(X356='Listas suspensas'!$A$24,'Listas suspensas'!$B$22,IF(X356='Listas suspensas'!$A$30,'Listas suspensas'!$B$21,""))))))))</f>
        <v>6.5</v>
      </c>
      <c r="Z356" s="8" t="s">
        <v>80</v>
      </c>
      <c r="AA356" s="8">
        <v>1</v>
      </c>
      <c r="AB356" s="8" t="str">
        <f>IF(AA356='Listas suspensas'!$A$2,'Listas suspensas'!$B$2,IF(AA356='Listas suspensas'!$A$3,'Listas suspensas'!$B$3,IF(AA356='Listas suspensas'!$A$4,'Listas suspensas'!$B$4,IF(AA356='Listas suspensas'!$A$5,'Listas suspensas'!$B$5,IF(AA356='Listas suspensas'!$A$6,'Listas suspensas'!$B$6,"")))))</f>
        <v>Profunda e regular</v>
      </c>
      <c r="AC356" s="8" t="str">
        <f>IF(AA356='Listas suspensas'!$A$2,'Listas suspensas'!$C$2,IF(AA356='Listas suspensas'!$A$3,'Listas suspensas'!$C$3,IF(AA356='Listas suspensas'!$A$4,'Listas suspensas'!$C$4,IF(AA356='Listas suspensas'!$A$5,'Listas suspensas'!$C$5,IF(AA356='Listas suspensas'!$A$6,'Listas suspensas'!$C$6,"")))))</f>
        <v>Indica a penetração profunda e uniforme em toda a extensão do alburno.</v>
      </c>
      <c r="BD356" s="13">
        <v>0.57199999999999995</v>
      </c>
      <c r="BE356" s="18">
        <f t="shared" si="67"/>
        <v>572</v>
      </c>
      <c r="BF356" s="8">
        <v>0.14299999999999999</v>
      </c>
      <c r="BG356" s="8">
        <v>4.2000000000000003E-2</v>
      </c>
      <c r="BH356" s="8">
        <v>3.9E-2</v>
      </c>
      <c r="BI356" s="13">
        <f t="shared" si="68"/>
        <v>0.224</v>
      </c>
      <c r="BJ356" s="14">
        <v>63.7</v>
      </c>
      <c r="BK356" s="14">
        <v>18.8</v>
      </c>
      <c r="BL356" s="14">
        <v>17.5</v>
      </c>
      <c r="BM356" s="16">
        <f t="shared" si="62"/>
        <v>100</v>
      </c>
      <c r="BN356" s="21">
        <f t="shared" si="63"/>
        <v>0.82</v>
      </c>
      <c r="BO356" s="21">
        <f t="shared" si="64"/>
        <v>0.24</v>
      </c>
      <c r="BP356" s="21">
        <f t="shared" si="65"/>
        <v>0.22</v>
      </c>
      <c r="BQ356" s="14">
        <f t="shared" si="66"/>
        <v>1.28</v>
      </c>
      <c r="BR356" s="22" t="str">
        <f>IF(OR(AND(X356="Mourões", BQ356&gt;=6.5),AND(X356="Postes", BQ356&gt;=9.6),AND(X356="Dormentes", BQ356&gt;=9.6),AND(X356="Estacas", BQ356&gt;=6.5),AND(X356="Cruzetas", BQ356&gt;=6.5),AND(X356="Outros - Solo", BQ356&gt;=6.5),AND(X356="Outros - Suspenso",BQ356&gt;=4),AND(X356="Deck",BQ356&gt;=4)),'Listas suspensas'!$C$21,'Listas suspensas'!$C$22)</f>
        <v>Os resultados da análise química apresentaram uma retenção do produto inferior ao padrão mínimo exigido pela norma ABNT NBR 16143</v>
      </c>
    </row>
    <row r="357" spans="2:70" x14ac:dyDescent="0.25">
      <c r="B357" s="8" t="s">
        <v>925</v>
      </c>
      <c r="C357" s="8" t="s">
        <v>71</v>
      </c>
      <c r="F357" s="11">
        <v>45909</v>
      </c>
      <c r="G357" s="11">
        <v>45912</v>
      </c>
      <c r="H357" s="11">
        <v>45923</v>
      </c>
      <c r="I357" s="8" t="s">
        <v>926</v>
      </c>
      <c r="J357" s="8" t="s">
        <v>927</v>
      </c>
      <c r="K357" s="8" t="s">
        <v>144</v>
      </c>
      <c r="L357" s="8" t="s">
        <v>15</v>
      </c>
      <c r="N357" s="8" t="s">
        <v>75</v>
      </c>
      <c r="O357" s="8" t="s">
        <v>76</v>
      </c>
      <c r="P357" s="28" t="s">
        <v>77</v>
      </c>
      <c r="Q357" s="16" t="s">
        <v>928</v>
      </c>
      <c r="X357" s="8" t="s">
        <v>101</v>
      </c>
      <c r="Y357" s="34">
        <f>IF(X357='Listas suspensas'!$A$21,'Listas suspensas'!$B$23,IF(X357='Listas suspensas'!$A$22,'Listas suspensas'!$B$23,IF(X357='Listas suspensas'!$A$23,'Listas suspensas'!$B$22,IF(X357='Listas suspensas'!$A$26,'Listas suspensas'!$B$22,IF(X357='Listas suspensas'!$A$32,'Listas suspensas'!$B$22,IF(X357='Listas suspensas'!$A$33,'Listas suspensas'!$B$21,IF(X357='Listas suspensas'!$A$24,'Listas suspensas'!$B$22,IF(X357='Listas suspensas'!$A$30,'Listas suspensas'!$B$21,""))))))))</f>
        <v>6.5</v>
      </c>
      <c r="Z357" s="8" t="s">
        <v>80</v>
      </c>
      <c r="AA357" s="8">
        <v>1</v>
      </c>
      <c r="AB357" s="8" t="str">
        <f>IF(AA357='Listas suspensas'!$A$2,'Listas suspensas'!$B$2,IF(AA357='Listas suspensas'!$A$3,'Listas suspensas'!$B$3,IF(AA357='Listas suspensas'!$A$4,'Listas suspensas'!$B$4,IF(AA357='Listas suspensas'!$A$5,'Listas suspensas'!$B$5,IF(AA357='Listas suspensas'!$A$6,'Listas suspensas'!$B$6,"")))))</f>
        <v>Profunda e regular</v>
      </c>
      <c r="AC357" s="8" t="str">
        <f>IF(AA357='Listas suspensas'!$A$2,'Listas suspensas'!$C$2,IF(AA357='Listas suspensas'!$A$3,'Listas suspensas'!$C$3,IF(AA357='Listas suspensas'!$A$4,'Listas suspensas'!$C$4,IF(AA357='Listas suspensas'!$A$5,'Listas suspensas'!$C$5,IF(AA357='Listas suspensas'!$A$6,'Listas suspensas'!$C$6,"")))))</f>
        <v>Indica a penetração profunda e uniforme em toda a extensão do alburno.</v>
      </c>
      <c r="BD357" s="13">
        <v>0.42699999999999999</v>
      </c>
      <c r="BE357" s="18">
        <f t="shared" si="67"/>
        <v>427</v>
      </c>
      <c r="BF357" s="8">
        <v>0.41199999999999998</v>
      </c>
      <c r="BG357" s="8">
        <v>0.185</v>
      </c>
      <c r="BH357" s="8">
        <v>0.33</v>
      </c>
      <c r="BI357" s="13">
        <f t="shared" si="68"/>
        <v>0.92700000000000005</v>
      </c>
      <c r="BJ357" s="14">
        <v>44.4</v>
      </c>
      <c r="BK357" s="14">
        <v>20</v>
      </c>
      <c r="BL357" s="14">
        <v>35.6</v>
      </c>
      <c r="BM357" s="16">
        <f t="shared" si="62"/>
        <v>100</v>
      </c>
      <c r="BN357" s="21">
        <f t="shared" si="63"/>
        <v>1.76</v>
      </c>
      <c r="BO357" s="21">
        <f t="shared" si="64"/>
        <v>0.79</v>
      </c>
      <c r="BP357" s="21">
        <f t="shared" si="65"/>
        <v>1.41</v>
      </c>
      <c r="BQ357" s="14">
        <f t="shared" si="66"/>
        <v>3.96</v>
      </c>
      <c r="BR357" s="22" t="str">
        <f>IF(OR(AND(X357="Mourões", BQ357&gt;=6.5),AND(X357="Postes", BQ357&gt;=9.6),AND(X357="Dormentes", BQ357&gt;=9.6),AND(X357="Estacas", BQ357&gt;=6.5),AND(X357="Cruzetas", BQ357&gt;=6.5),AND(X357="Outros - Solo", BQ357&gt;=6.5),AND(X357="Outros - Suspenso",BQ357&gt;=4),AND(X357="Deck",BQ357&gt;=4)),'Listas suspensas'!$C$21,'Listas suspensas'!$C$22)</f>
        <v>Os resultados da análise química apresentaram uma retenção do produto inferior ao padrão mínimo exigido pela norma ABNT NBR 16143</v>
      </c>
    </row>
    <row r="358" spans="2:70" x14ac:dyDescent="0.25">
      <c r="B358" s="8" t="s">
        <v>929</v>
      </c>
      <c r="C358" s="8" t="s">
        <v>71</v>
      </c>
      <c r="F358" s="11">
        <v>45909</v>
      </c>
      <c r="G358" s="11">
        <v>45912</v>
      </c>
      <c r="H358" s="11">
        <v>45919</v>
      </c>
      <c r="I358" s="8" t="s">
        <v>926</v>
      </c>
      <c r="J358" s="8" t="s">
        <v>927</v>
      </c>
      <c r="K358" s="8" t="s">
        <v>144</v>
      </c>
      <c r="L358" s="8" t="s">
        <v>15</v>
      </c>
      <c r="N358" s="8" t="s">
        <v>75</v>
      </c>
      <c r="O358" s="8" t="s">
        <v>104</v>
      </c>
      <c r="P358" s="28" t="s">
        <v>471</v>
      </c>
      <c r="Q358" s="16" t="s">
        <v>930</v>
      </c>
      <c r="X358" s="8" t="s">
        <v>473</v>
      </c>
      <c r="Y358" s="34">
        <f>IF(X358='Listas suspensas'!$A$21,'Listas suspensas'!$B$23,IF(X358='Listas suspensas'!$A$22,'Listas suspensas'!$B$23,IF(X358='Listas suspensas'!$A$23,'Listas suspensas'!$B$22,IF(X358='Listas suspensas'!$A$26,'Listas suspensas'!$B$22,IF(X358='Listas suspensas'!$A$32,'Listas suspensas'!$B$22,IF(X358='Listas suspensas'!$A$33,'Listas suspensas'!$B$21,IF(X358='Listas suspensas'!$A$24,'Listas suspensas'!$B$22,IF(X358='Listas suspensas'!$A$30,'Listas suspensas'!$B$21,""))))))))</f>
        <v>4</v>
      </c>
      <c r="Z358" s="8" t="s">
        <v>80</v>
      </c>
      <c r="AA358" s="8">
        <v>1</v>
      </c>
      <c r="AB358" s="8" t="str">
        <f>IF(AA358='Listas suspensas'!$A$2,'Listas suspensas'!$B$2,IF(AA358='Listas suspensas'!$A$3,'Listas suspensas'!$B$3,IF(AA358='Listas suspensas'!$A$4,'Listas suspensas'!$B$4,IF(AA358='Listas suspensas'!$A$5,'Listas suspensas'!$B$5,IF(AA358='Listas suspensas'!$A$6,'Listas suspensas'!$B$6,"")))))</f>
        <v>Profunda e regular</v>
      </c>
      <c r="AC358" s="8" t="str">
        <f>IF(AA358='Listas suspensas'!$A$2,'Listas suspensas'!$C$2,IF(AA358='Listas suspensas'!$A$3,'Listas suspensas'!$C$3,IF(AA358='Listas suspensas'!$A$4,'Listas suspensas'!$C$4,IF(AA358='Listas suspensas'!$A$5,'Listas suspensas'!$C$5,IF(AA358='Listas suspensas'!$A$6,'Listas suspensas'!$C$6,"")))))</f>
        <v>Indica a penetração profunda e uniforme em toda a extensão do alburno.</v>
      </c>
      <c r="BD358" s="13">
        <v>0.49299999999999999</v>
      </c>
      <c r="BE358" s="18">
        <f t="shared" si="67"/>
        <v>493</v>
      </c>
      <c r="BF358" s="8">
        <v>0.60099999999999998</v>
      </c>
      <c r="BG358" s="8">
        <v>0.23899999999999999</v>
      </c>
      <c r="BH358" s="8">
        <v>0.40300000000000002</v>
      </c>
      <c r="BI358" s="13">
        <f t="shared" si="68"/>
        <v>1.2429999999999999</v>
      </c>
      <c r="BJ358" s="14">
        <v>48.4</v>
      </c>
      <c r="BK358" s="14">
        <v>19.3</v>
      </c>
      <c r="BL358" s="14">
        <v>32.299999999999997</v>
      </c>
      <c r="BM358" s="16">
        <f t="shared" si="62"/>
        <v>100</v>
      </c>
      <c r="BN358" s="21">
        <f t="shared" si="63"/>
        <v>2.96</v>
      </c>
      <c r="BO358" s="21">
        <f t="shared" si="64"/>
        <v>1.18</v>
      </c>
      <c r="BP358" s="21">
        <f t="shared" si="65"/>
        <v>1.99</v>
      </c>
      <c r="BQ358" s="14">
        <f t="shared" si="66"/>
        <v>6.13</v>
      </c>
      <c r="BR358" s="22" t="str">
        <f>IF(OR(AND(X358="Mourões", BQ358&gt;=6.5),AND(X358="Postes", BQ358&gt;=9.6),AND(X358="Dormentes", BQ358&gt;=9.6),AND(X358="Estacas", BQ358&gt;=6.5),AND(X358="Cruzetas", BQ358&gt;=6.5),AND(X358="Outros - Solo", BQ358&gt;=6.5),AND(X358="Outros - Suspenso",BQ358&gt;=4),AND(X358="Deck",BQ358&gt;=4)),'Listas suspensas'!$C$21,'Listas suspensas'!$C$22)</f>
        <v>Os resultados da análise química apresentaram uma retenção do produto de acordo com o padrão mínimo exigido pela norma ABNT NBR 16143</v>
      </c>
    </row>
    <row r="359" spans="2:70" x14ac:dyDescent="0.25">
      <c r="B359" s="8" t="s">
        <v>931</v>
      </c>
      <c r="C359" s="8" t="s">
        <v>71</v>
      </c>
      <c r="F359" s="11">
        <v>45909</v>
      </c>
      <c r="G359" s="11">
        <v>45912</v>
      </c>
      <c r="H359" s="11">
        <v>45923</v>
      </c>
      <c r="I359" s="8" t="s">
        <v>926</v>
      </c>
      <c r="J359" s="8" t="s">
        <v>927</v>
      </c>
      <c r="K359" s="8" t="s">
        <v>144</v>
      </c>
      <c r="L359" s="8" t="s">
        <v>15</v>
      </c>
      <c r="N359" s="8" t="s">
        <v>75</v>
      </c>
      <c r="O359" s="8" t="s">
        <v>76</v>
      </c>
      <c r="P359" s="28" t="s">
        <v>146</v>
      </c>
      <c r="Q359" s="16" t="s">
        <v>932</v>
      </c>
      <c r="X359" s="8" t="s">
        <v>101</v>
      </c>
      <c r="Y359" s="34">
        <f>IF(X359='Listas suspensas'!$A$21,'Listas suspensas'!$B$23,IF(X359='Listas suspensas'!$A$22,'Listas suspensas'!$B$23,IF(X359='Listas suspensas'!$A$23,'Listas suspensas'!$B$22,IF(X359='Listas suspensas'!$A$26,'Listas suspensas'!$B$22,IF(X359='Listas suspensas'!$A$32,'Listas suspensas'!$B$22,IF(X359='Listas suspensas'!$A$33,'Listas suspensas'!$B$21,IF(X359='Listas suspensas'!$A$24,'Listas suspensas'!$B$22,IF(X359='Listas suspensas'!$A$30,'Listas suspensas'!$B$21,""))))))))</f>
        <v>6.5</v>
      </c>
      <c r="Z359" s="8" t="s">
        <v>80</v>
      </c>
      <c r="AA359" s="8">
        <v>1</v>
      </c>
      <c r="AB359" s="8" t="str">
        <f>IF(AA359='Listas suspensas'!$A$2,'Listas suspensas'!$B$2,IF(AA359='Listas suspensas'!$A$3,'Listas suspensas'!$B$3,IF(AA359='Listas suspensas'!$A$4,'Listas suspensas'!$B$4,IF(AA359='Listas suspensas'!$A$5,'Listas suspensas'!$B$5,IF(AA359='Listas suspensas'!$A$6,'Listas suspensas'!$B$6,"")))))</f>
        <v>Profunda e regular</v>
      </c>
      <c r="AC359" s="8" t="str">
        <f>IF(AA359='Listas suspensas'!$A$2,'Listas suspensas'!$C$2,IF(AA359='Listas suspensas'!$A$3,'Listas suspensas'!$C$3,IF(AA359='Listas suspensas'!$A$4,'Listas suspensas'!$C$4,IF(AA359='Listas suspensas'!$A$5,'Listas suspensas'!$C$5,IF(AA359='Listas suspensas'!$A$6,'Listas suspensas'!$C$6,"")))))</f>
        <v>Indica a penetração profunda e uniforme em toda a extensão do alburno.</v>
      </c>
      <c r="BD359" s="13">
        <v>0.41599999999999998</v>
      </c>
      <c r="BE359" s="18">
        <f t="shared" si="67"/>
        <v>416</v>
      </c>
      <c r="BF359" s="8">
        <v>0.35299999999999998</v>
      </c>
      <c r="BG359" s="8">
        <v>0.14199999999999999</v>
      </c>
      <c r="BH359" s="8">
        <v>0.23899999999999999</v>
      </c>
      <c r="BI359" s="13">
        <f t="shared" si="68"/>
        <v>0.73399999999999999</v>
      </c>
      <c r="BJ359" s="14">
        <v>48</v>
      </c>
      <c r="BK359" s="14">
        <v>19.399999999999999</v>
      </c>
      <c r="BL359" s="14">
        <v>32.6</v>
      </c>
      <c r="BM359" s="16">
        <f t="shared" si="62"/>
        <v>100</v>
      </c>
      <c r="BN359" s="21">
        <f t="shared" si="63"/>
        <v>1.47</v>
      </c>
      <c r="BO359" s="21">
        <f t="shared" si="64"/>
        <v>0.59</v>
      </c>
      <c r="BP359" s="21">
        <f t="shared" si="65"/>
        <v>0.99</v>
      </c>
      <c r="BQ359" s="14">
        <f t="shared" si="66"/>
        <v>3.05</v>
      </c>
      <c r="BR359" s="22" t="str">
        <f>IF(OR(AND(X359="Mourões", BQ359&gt;=6.5),AND(X359="Postes", BQ359&gt;=9.6),AND(X359="Dormentes", BQ359&gt;=9.6),AND(X359="Estacas", BQ359&gt;=6.5),AND(X359="Cruzetas", BQ359&gt;=6.5),AND(X359="Outros - Solo", BQ359&gt;=6.5),AND(X359="Outros - Suspenso",BQ359&gt;=4),AND(X359="Deck",BQ359&gt;=4)),'Listas suspensas'!$C$21,'Listas suspensas'!$C$22)</f>
        <v>Os resultados da análise química apresentaram uma retenção do produto inferior ao padrão mínimo exigido pela norma ABNT NBR 16143</v>
      </c>
    </row>
    <row r="360" spans="2:70" x14ac:dyDescent="0.25">
      <c r="B360" s="8" t="s">
        <v>933</v>
      </c>
      <c r="C360" s="8" t="s">
        <v>71</v>
      </c>
      <c r="F360" s="11">
        <v>45909</v>
      </c>
      <c r="G360" s="11">
        <v>45912</v>
      </c>
      <c r="H360" s="11">
        <v>45919</v>
      </c>
      <c r="I360" s="8" t="s">
        <v>696</v>
      </c>
      <c r="J360" s="8" t="s">
        <v>697</v>
      </c>
      <c r="K360" s="8" t="s">
        <v>202</v>
      </c>
      <c r="L360" s="8" t="s">
        <v>15</v>
      </c>
      <c r="N360" s="8" t="s">
        <v>75</v>
      </c>
      <c r="O360" s="8" t="s">
        <v>104</v>
      </c>
      <c r="P360" s="28" t="s">
        <v>146</v>
      </c>
      <c r="Q360" s="16" t="s">
        <v>934</v>
      </c>
      <c r="X360" s="8" t="s">
        <v>699</v>
      </c>
      <c r="Y360" s="34">
        <f>IF(X360='Listas suspensas'!$A$21,'Listas suspensas'!$B$23,IF(X360='Listas suspensas'!$A$22,'Listas suspensas'!$B$23,IF(X360='Listas suspensas'!$A$23,'Listas suspensas'!$B$22,IF(X360='Listas suspensas'!$A$26,'Listas suspensas'!$B$22,IF(X360='Listas suspensas'!$A$32,'Listas suspensas'!$B$22,IF(X360='Listas suspensas'!$A$33,'Listas suspensas'!$B$21,IF(X360='Listas suspensas'!$A$24,'Listas suspensas'!$B$22,IF(X360='Listas suspensas'!$A$30,'Listas suspensas'!$B$21,""))))))))</f>
        <v>4</v>
      </c>
      <c r="Z360" s="8" t="s">
        <v>80</v>
      </c>
      <c r="AA360" s="8">
        <v>1</v>
      </c>
      <c r="AB360" s="8" t="str">
        <f>IF(AA360='Listas suspensas'!$A$2,'Listas suspensas'!$B$2,IF(AA360='Listas suspensas'!$A$3,'Listas suspensas'!$B$3,IF(AA360='Listas suspensas'!$A$4,'Listas suspensas'!$B$4,IF(AA360='Listas suspensas'!$A$5,'Listas suspensas'!$B$5,IF(AA360='Listas suspensas'!$A$6,'Listas suspensas'!$B$6,"")))))</f>
        <v>Profunda e regular</v>
      </c>
      <c r="AC360" s="8" t="str">
        <f>IF(AA360='Listas suspensas'!$A$2,'Listas suspensas'!$C$2,IF(AA360='Listas suspensas'!$A$3,'Listas suspensas'!$C$3,IF(AA360='Listas suspensas'!$A$4,'Listas suspensas'!$C$4,IF(AA360='Listas suspensas'!$A$5,'Listas suspensas'!$C$5,IF(AA360='Listas suspensas'!$A$6,'Listas suspensas'!$C$6,"")))))</f>
        <v>Indica a penetração profunda e uniforme em toda a extensão do alburno.</v>
      </c>
      <c r="BD360" s="13">
        <v>0.42199999999999999</v>
      </c>
      <c r="BE360" s="18">
        <f t="shared" si="67"/>
        <v>422</v>
      </c>
      <c r="BF360" s="8">
        <v>0.72399999999999998</v>
      </c>
      <c r="BG360" s="8">
        <v>0.182</v>
      </c>
      <c r="BH360" s="8">
        <v>0.378</v>
      </c>
      <c r="BI360" s="13">
        <f t="shared" si="68"/>
        <v>1.2839999999999998</v>
      </c>
      <c r="BJ360" s="14">
        <v>56.4</v>
      </c>
      <c r="BK360" s="14">
        <v>14.2</v>
      </c>
      <c r="BL360" s="14">
        <v>29.4</v>
      </c>
      <c r="BM360" s="16">
        <f t="shared" ref="BM360:BM423" si="69">ROUND(SUM(BJ360:BL360),2)</f>
        <v>100</v>
      </c>
      <c r="BN360" s="21">
        <f t="shared" ref="BN360:BN423" si="70">ROUND((BF360/100)*BE360,2)</f>
        <v>3.06</v>
      </c>
      <c r="BO360" s="21">
        <f t="shared" ref="BO360:BO423" si="71">ROUND((BG360/100)*BE360,2)</f>
        <v>0.77</v>
      </c>
      <c r="BP360" s="21">
        <f t="shared" ref="BP360:BP423" si="72">ROUND((BH360/100)*BE360,2)</f>
        <v>1.6</v>
      </c>
      <c r="BQ360" s="14">
        <f t="shared" ref="BQ360:BQ423" si="73">ROUND(SUM(BN360:BP360),2)</f>
        <v>5.43</v>
      </c>
      <c r="BR360" s="22" t="str">
        <f>IF(OR(AND(X360="Mourões", BQ360&gt;=6.5),AND(X360="Postes", BQ360&gt;=9.6),AND(X360="Dormentes", BQ360&gt;=9.6),AND(X360="Estacas", BQ360&gt;=6.5),AND(X360="Cruzetas", BQ360&gt;=6.5),AND(X360="Outros - Solo", BQ360&gt;=6.5),AND(X360="Outros - Suspenso",BQ360&gt;=4),AND(X360="Deck",BQ360&gt;=4)),'Listas suspensas'!$C$21,'Listas suspensas'!$C$22)</f>
        <v>Os resultados da análise química apresentaram uma retenção do produto de acordo com o padrão mínimo exigido pela norma ABNT NBR 16143</v>
      </c>
    </row>
    <row r="361" spans="2:70" x14ac:dyDescent="0.25">
      <c r="B361" s="8" t="s">
        <v>935</v>
      </c>
      <c r="C361" s="8" t="s">
        <v>71</v>
      </c>
      <c r="F361" s="11">
        <v>45909</v>
      </c>
      <c r="G361" s="11">
        <v>45912</v>
      </c>
      <c r="H361" s="11">
        <v>45919</v>
      </c>
      <c r="I361" s="8" t="s">
        <v>936</v>
      </c>
      <c r="J361" s="8" t="s">
        <v>143</v>
      </c>
      <c r="K361" s="8" t="s">
        <v>144</v>
      </c>
      <c r="L361" s="8" t="s">
        <v>15</v>
      </c>
      <c r="M361" s="30" t="s">
        <v>937</v>
      </c>
      <c r="N361" s="8" t="s">
        <v>75</v>
      </c>
      <c r="O361" s="8" t="s">
        <v>545</v>
      </c>
      <c r="P361" s="28" t="s">
        <v>146</v>
      </c>
      <c r="Q361" s="16" t="s">
        <v>938</v>
      </c>
      <c r="X361" s="8" t="s">
        <v>79</v>
      </c>
      <c r="Y361" s="34">
        <f>IF(X361='Listas suspensas'!$A$21,'Listas suspensas'!$B$23,IF(X361='Listas suspensas'!$A$22,'Listas suspensas'!$B$23,IF(X361='Listas suspensas'!$A$23,'Listas suspensas'!$B$22,IF(X361='Listas suspensas'!$A$26,'Listas suspensas'!$B$22,IF(X361='Listas suspensas'!$A$32,'Listas suspensas'!$B$22,IF(X361='Listas suspensas'!$A$33,'Listas suspensas'!$B$21,IF(X361='Listas suspensas'!$A$24,'Listas suspensas'!$B$22,IF(X361='Listas suspensas'!$A$30,'Listas suspensas'!$B$21,""))))))))</f>
        <v>6.5</v>
      </c>
      <c r="Z361" s="8" t="s">
        <v>80</v>
      </c>
      <c r="AA361" s="8">
        <v>2</v>
      </c>
      <c r="AB361" s="8" t="str">
        <f>IF(AA361='Listas suspensas'!$A$2,'Listas suspensas'!$B$2,IF(AA361='Listas suspensas'!$A$3,'Listas suspensas'!$B$3,IF(AA361='Listas suspensas'!$A$4,'Listas suspensas'!$B$4,IF(AA361='Listas suspensas'!$A$5,'Listas suspensas'!$B$5,IF(AA361='Listas suspensas'!$A$6,'Listas suspensas'!$B$6,"")))))</f>
        <v>Profunda e irregular</v>
      </c>
      <c r="AC361" s="8" t="str">
        <f>IF(AA361='Listas suspensas'!$A$2,'Listas suspensas'!$C$2,IF(AA361='Listas suspensas'!$A$3,'Listas suspensas'!$C$3,IF(AA361='Listas suspensas'!$A$4,'Listas suspensas'!$C$4,IF(AA361='Listas suspensas'!$A$5,'Listas suspensas'!$C$5,IF(AA361='Listas suspensas'!$A$6,'Listas suspensas'!$C$6,"")))))</f>
        <v>Indica a penetração profunda, mas desuniforme em toda a extensão do alburno.</v>
      </c>
      <c r="BD361" s="13">
        <v>0.80400000000000005</v>
      </c>
      <c r="BE361" s="18">
        <f t="shared" si="67"/>
        <v>804</v>
      </c>
      <c r="BF361" s="8">
        <v>0.57099999999999995</v>
      </c>
      <c r="BG361" s="8">
        <v>0.13700000000000001</v>
      </c>
      <c r="BH361" s="8">
        <v>0.315</v>
      </c>
      <c r="BI361" s="13">
        <f t="shared" si="68"/>
        <v>1.0229999999999999</v>
      </c>
      <c r="BJ361" s="14">
        <v>55.8</v>
      </c>
      <c r="BK361" s="14">
        <v>13.4</v>
      </c>
      <c r="BL361" s="14">
        <v>30.8</v>
      </c>
      <c r="BM361" s="16">
        <f t="shared" si="69"/>
        <v>100</v>
      </c>
      <c r="BN361" s="21">
        <f t="shared" si="70"/>
        <v>4.59</v>
      </c>
      <c r="BO361" s="21">
        <f t="shared" si="71"/>
        <v>1.1000000000000001</v>
      </c>
      <c r="BP361" s="21">
        <f t="shared" si="72"/>
        <v>2.5299999999999998</v>
      </c>
      <c r="BQ361" s="14">
        <f t="shared" si="73"/>
        <v>8.2200000000000006</v>
      </c>
      <c r="BR361" s="22" t="str">
        <f>IF(OR(AND(X361="Mourões", BQ361&gt;=6.5),AND(X361="Postes", BQ361&gt;=9.6),AND(X361="Dormentes", BQ361&gt;=9.6),AND(X361="Estacas", BQ361&gt;=6.5),AND(X361="Cruzetas", BQ361&gt;=6.5),AND(X361="Outros - Solo", BQ361&gt;=6.5),AND(X361="Outros - Suspenso",BQ361&gt;=4),AND(X361="Deck",BQ361&gt;=4)),'Listas suspensas'!$C$21,'Listas suspensas'!$C$22)</f>
        <v>Os resultados da análise química apresentaram uma retenção do produto de acordo com o padrão mínimo exigido pela norma ABNT NBR 16143</v>
      </c>
    </row>
    <row r="362" spans="2:70" x14ac:dyDescent="0.25">
      <c r="B362" s="8" t="s">
        <v>939</v>
      </c>
      <c r="C362" s="8" t="s">
        <v>71</v>
      </c>
      <c r="F362" s="11">
        <v>45909</v>
      </c>
      <c r="G362" s="11">
        <v>45912</v>
      </c>
      <c r="H362" s="11">
        <v>45919</v>
      </c>
      <c r="I362" s="8" t="s">
        <v>936</v>
      </c>
      <c r="J362" s="8" t="s">
        <v>143</v>
      </c>
      <c r="K362" s="8" t="s">
        <v>144</v>
      </c>
      <c r="L362" s="8" t="s">
        <v>15</v>
      </c>
      <c r="M362" s="30" t="s">
        <v>937</v>
      </c>
      <c r="N362" s="8" t="s">
        <v>75</v>
      </c>
      <c r="O362" s="8" t="s">
        <v>545</v>
      </c>
      <c r="P362" s="28" t="s">
        <v>146</v>
      </c>
      <c r="Q362" s="16" t="s">
        <v>940</v>
      </c>
      <c r="X362" s="8" t="s">
        <v>79</v>
      </c>
      <c r="Y362" s="34">
        <f>IF(X362='Listas suspensas'!$A$21,'Listas suspensas'!$B$23,IF(X362='Listas suspensas'!$A$22,'Listas suspensas'!$B$23,IF(X362='Listas suspensas'!$A$23,'Listas suspensas'!$B$22,IF(X362='Listas suspensas'!$A$26,'Listas suspensas'!$B$22,IF(X362='Listas suspensas'!$A$32,'Listas suspensas'!$B$22,IF(X362='Listas suspensas'!$A$33,'Listas suspensas'!$B$21,IF(X362='Listas suspensas'!$A$24,'Listas suspensas'!$B$22,IF(X362='Listas suspensas'!$A$30,'Listas suspensas'!$B$21,""))))))))</f>
        <v>6.5</v>
      </c>
      <c r="Z362" s="8" t="s">
        <v>80</v>
      </c>
      <c r="AA362" s="8">
        <v>2</v>
      </c>
      <c r="AB362" s="8" t="str">
        <f>IF(AA362='Listas suspensas'!$A$2,'Listas suspensas'!$B$2,IF(AA362='Listas suspensas'!$A$3,'Listas suspensas'!$B$3,IF(AA362='Listas suspensas'!$A$4,'Listas suspensas'!$B$4,IF(AA362='Listas suspensas'!$A$5,'Listas suspensas'!$B$5,IF(AA362='Listas suspensas'!$A$6,'Listas suspensas'!$B$6,"")))))</f>
        <v>Profunda e irregular</v>
      </c>
      <c r="AC362" s="8" t="str">
        <f>IF(AA362='Listas suspensas'!$A$2,'Listas suspensas'!$C$2,IF(AA362='Listas suspensas'!$A$3,'Listas suspensas'!$C$3,IF(AA362='Listas suspensas'!$A$4,'Listas suspensas'!$C$4,IF(AA362='Listas suspensas'!$A$5,'Listas suspensas'!$C$5,IF(AA362='Listas suspensas'!$A$6,'Listas suspensas'!$C$6,"")))))</f>
        <v>Indica a penetração profunda, mas desuniforme em toda a extensão do alburno.</v>
      </c>
      <c r="BD362" s="13">
        <v>0.63</v>
      </c>
      <c r="BE362" s="18">
        <f t="shared" si="67"/>
        <v>630</v>
      </c>
      <c r="BF362" s="8">
        <v>0.752</v>
      </c>
      <c r="BG362" s="8">
        <v>0.21199999999999999</v>
      </c>
      <c r="BH362" s="8">
        <v>0.44800000000000001</v>
      </c>
      <c r="BI362" s="13">
        <f t="shared" si="68"/>
        <v>1.4119999999999999</v>
      </c>
      <c r="BJ362" s="14">
        <v>53.2</v>
      </c>
      <c r="BK362" s="14">
        <v>15</v>
      </c>
      <c r="BL362" s="14">
        <v>31.8</v>
      </c>
      <c r="BM362" s="16">
        <f t="shared" si="69"/>
        <v>100</v>
      </c>
      <c r="BN362" s="21">
        <f t="shared" si="70"/>
        <v>4.74</v>
      </c>
      <c r="BO362" s="21">
        <f t="shared" si="71"/>
        <v>1.34</v>
      </c>
      <c r="BP362" s="21">
        <f t="shared" si="72"/>
        <v>2.82</v>
      </c>
      <c r="BQ362" s="14">
        <f t="shared" si="73"/>
        <v>8.9</v>
      </c>
      <c r="BR362" s="22" t="str">
        <f>IF(OR(AND(X362="Mourões", BQ362&gt;=6.5),AND(X362="Postes", BQ362&gt;=9.6),AND(X362="Dormentes", BQ362&gt;=9.6),AND(X362="Estacas", BQ362&gt;=6.5),AND(X362="Cruzetas", BQ362&gt;=6.5),AND(X362="Outros - Solo", BQ362&gt;=6.5),AND(X362="Outros - Suspenso",BQ362&gt;=4),AND(X362="Deck",BQ362&gt;=4)),'Listas suspensas'!$C$21,'Listas suspensas'!$C$22)</f>
        <v>Os resultados da análise química apresentaram uma retenção do produto de acordo com o padrão mínimo exigido pela norma ABNT NBR 16143</v>
      </c>
    </row>
    <row r="363" spans="2:70" x14ac:dyDescent="0.25">
      <c r="B363" s="8" t="s">
        <v>941</v>
      </c>
      <c r="C363" s="8" t="s">
        <v>71</v>
      </c>
      <c r="F363" s="11">
        <v>45909</v>
      </c>
      <c r="G363" s="11">
        <v>45912</v>
      </c>
      <c r="H363" s="11">
        <v>45919</v>
      </c>
      <c r="I363" s="8" t="s">
        <v>936</v>
      </c>
      <c r="J363" s="8" t="s">
        <v>143</v>
      </c>
      <c r="K363" s="8" t="s">
        <v>144</v>
      </c>
      <c r="L363" s="8" t="s">
        <v>15</v>
      </c>
      <c r="M363" s="30" t="s">
        <v>937</v>
      </c>
      <c r="N363" s="8" t="s">
        <v>75</v>
      </c>
      <c r="O363" s="8" t="s">
        <v>545</v>
      </c>
      <c r="P363" s="28" t="s">
        <v>146</v>
      </c>
      <c r="Q363" s="16" t="s">
        <v>942</v>
      </c>
      <c r="X363" s="8" t="s">
        <v>79</v>
      </c>
      <c r="Y363" s="34">
        <f>IF(X363='Listas suspensas'!$A$21,'Listas suspensas'!$B$23,IF(X363='Listas suspensas'!$A$22,'Listas suspensas'!$B$23,IF(X363='Listas suspensas'!$A$23,'Listas suspensas'!$B$22,IF(X363='Listas suspensas'!$A$26,'Listas suspensas'!$B$22,IF(X363='Listas suspensas'!$A$32,'Listas suspensas'!$B$22,IF(X363='Listas suspensas'!$A$33,'Listas suspensas'!$B$21,IF(X363='Listas suspensas'!$A$24,'Listas suspensas'!$B$22,IF(X363='Listas suspensas'!$A$30,'Listas suspensas'!$B$21,""))))))))</f>
        <v>6.5</v>
      </c>
      <c r="Z363" s="8" t="s">
        <v>80</v>
      </c>
      <c r="AA363" s="8">
        <v>2</v>
      </c>
      <c r="AB363" s="8" t="str">
        <f>IF(AA363='Listas suspensas'!$A$2,'Listas suspensas'!$B$2,IF(AA363='Listas suspensas'!$A$3,'Listas suspensas'!$B$3,IF(AA363='Listas suspensas'!$A$4,'Listas suspensas'!$B$4,IF(AA363='Listas suspensas'!$A$5,'Listas suspensas'!$B$5,IF(AA363='Listas suspensas'!$A$6,'Listas suspensas'!$B$6,"")))))</f>
        <v>Profunda e irregular</v>
      </c>
      <c r="AC363" s="8" t="str">
        <f>IF(AA363='Listas suspensas'!$A$2,'Listas suspensas'!$C$2,IF(AA363='Listas suspensas'!$A$3,'Listas suspensas'!$C$3,IF(AA363='Listas suspensas'!$A$4,'Listas suspensas'!$C$4,IF(AA363='Listas suspensas'!$A$5,'Listas suspensas'!$C$5,IF(AA363='Listas suspensas'!$A$6,'Listas suspensas'!$C$6,"")))))</f>
        <v>Indica a penetração profunda, mas desuniforme em toda a extensão do alburno.</v>
      </c>
      <c r="BD363" s="13">
        <v>0.73299999999999998</v>
      </c>
      <c r="BE363" s="18">
        <f t="shared" si="67"/>
        <v>733</v>
      </c>
      <c r="BF363" s="8">
        <v>0.69799999999999995</v>
      </c>
      <c r="BG363" s="8">
        <v>0.186</v>
      </c>
      <c r="BH363" s="8">
        <v>0.48099999999999998</v>
      </c>
      <c r="BI363" s="13">
        <f t="shared" si="68"/>
        <v>1.3649999999999998</v>
      </c>
      <c r="BJ363" s="14">
        <v>51.1</v>
      </c>
      <c r="BK363" s="14">
        <v>13.6</v>
      </c>
      <c r="BL363" s="14">
        <v>35.299999999999997</v>
      </c>
      <c r="BM363" s="16">
        <f t="shared" si="69"/>
        <v>100</v>
      </c>
      <c r="BN363" s="21">
        <f t="shared" si="70"/>
        <v>5.12</v>
      </c>
      <c r="BO363" s="21">
        <f t="shared" si="71"/>
        <v>1.36</v>
      </c>
      <c r="BP363" s="21">
        <f t="shared" si="72"/>
        <v>3.53</v>
      </c>
      <c r="BQ363" s="14">
        <f t="shared" si="73"/>
        <v>10.01</v>
      </c>
      <c r="BR363" s="22" t="str">
        <f>IF(OR(AND(X363="Mourões", BQ363&gt;=6.5),AND(X363="Postes", BQ363&gt;=9.6),AND(X363="Dormentes", BQ363&gt;=9.6),AND(X363="Estacas", BQ363&gt;=6.5),AND(X363="Cruzetas", BQ363&gt;=6.5),AND(X363="Outros - Solo", BQ363&gt;=6.5),AND(X363="Outros - Suspenso",BQ363&gt;=4),AND(X363="Deck",BQ363&gt;=4)),'Listas suspensas'!$C$21,'Listas suspensas'!$C$22)</f>
        <v>Os resultados da análise química apresentaram uma retenção do produto de acordo com o padrão mínimo exigido pela norma ABNT NBR 16143</v>
      </c>
    </row>
    <row r="364" spans="2:70" x14ac:dyDescent="0.25">
      <c r="B364" s="8" t="s">
        <v>943</v>
      </c>
      <c r="C364" s="8" t="s">
        <v>71</v>
      </c>
      <c r="F364" s="11">
        <v>45909</v>
      </c>
      <c r="G364" s="11">
        <v>45912</v>
      </c>
      <c r="H364" s="11">
        <v>45919</v>
      </c>
      <c r="I364" s="8" t="s">
        <v>936</v>
      </c>
      <c r="J364" s="8" t="s">
        <v>143</v>
      </c>
      <c r="K364" s="8" t="s">
        <v>144</v>
      </c>
      <c r="L364" s="8" t="s">
        <v>15</v>
      </c>
      <c r="M364" s="30" t="s">
        <v>937</v>
      </c>
      <c r="N364" s="8" t="s">
        <v>75</v>
      </c>
      <c r="O364" s="8" t="s">
        <v>545</v>
      </c>
      <c r="P364" s="28" t="s">
        <v>146</v>
      </c>
      <c r="Q364" s="16" t="s">
        <v>944</v>
      </c>
      <c r="X364" s="8" t="s">
        <v>79</v>
      </c>
      <c r="Y364" s="34">
        <f>IF(X364='Listas suspensas'!$A$21,'Listas suspensas'!$B$23,IF(X364='Listas suspensas'!$A$22,'Listas suspensas'!$B$23,IF(X364='Listas suspensas'!$A$23,'Listas suspensas'!$B$22,IF(X364='Listas suspensas'!$A$26,'Listas suspensas'!$B$22,IF(X364='Listas suspensas'!$A$32,'Listas suspensas'!$B$22,IF(X364='Listas suspensas'!$A$33,'Listas suspensas'!$B$21,IF(X364='Listas suspensas'!$A$24,'Listas suspensas'!$B$22,IF(X364='Listas suspensas'!$A$30,'Listas suspensas'!$B$21,""))))))))</f>
        <v>6.5</v>
      </c>
      <c r="Z364" s="8" t="s">
        <v>80</v>
      </c>
      <c r="AA364" s="8">
        <v>2</v>
      </c>
      <c r="AB364" s="8" t="str">
        <f>IF(AA364='Listas suspensas'!$A$2,'Listas suspensas'!$B$2,IF(AA364='Listas suspensas'!$A$3,'Listas suspensas'!$B$3,IF(AA364='Listas suspensas'!$A$4,'Listas suspensas'!$B$4,IF(AA364='Listas suspensas'!$A$5,'Listas suspensas'!$B$5,IF(AA364='Listas suspensas'!$A$6,'Listas suspensas'!$B$6,"")))))</f>
        <v>Profunda e irregular</v>
      </c>
      <c r="AC364" s="8" t="str">
        <f>IF(AA364='Listas suspensas'!$A$2,'Listas suspensas'!$C$2,IF(AA364='Listas suspensas'!$A$3,'Listas suspensas'!$C$3,IF(AA364='Listas suspensas'!$A$4,'Listas suspensas'!$C$4,IF(AA364='Listas suspensas'!$A$5,'Listas suspensas'!$C$5,IF(AA364='Listas suspensas'!$A$6,'Listas suspensas'!$C$6,"")))))</f>
        <v>Indica a penetração profunda, mas desuniforme em toda a extensão do alburno.</v>
      </c>
      <c r="BD364" s="13">
        <v>0.80100000000000005</v>
      </c>
      <c r="BE364" s="18">
        <f t="shared" si="67"/>
        <v>801</v>
      </c>
      <c r="BF364" s="8">
        <v>0.57499999999999996</v>
      </c>
      <c r="BG364" s="8">
        <v>0.19</v>
      </c>
      <c r="BH364" s="8">
        <v>0.40500000000000003</v>
      </c>
      <c r="BI364" s="13">
        <f t="shared" si="68"/>
        <v>1.17</v>
      </c>
      <c r="BJ364" s="14">
        <v>49.2</v>
      </c>
      <c r="BK364" s="14">
        <v>16.2</v>
      </c>
      <c r="BL364" s="14">
        <v>34.6</v>
      </c>
      <c r="BM364" s="16">
        <f t="shared" si="69"/>
        <v>100</v>
      </c>
      <c r="BN364" s="21">
        <f t="shared" si="70"/>
        <v>4.6100000000000003</v>
      </c>
      <c r="BO364" s="21">
        <f t="shared" si="71"/>
        <v>1.52</v>
      </c>
      <c r="BP364" s="21">
        <f t="shared" si="72"/>
        <v>3.24</v>
      </c>
      <c r="BQ364" s="14">
        <f t="shared" si="73"/>
        <v>9.3699999999999992</v>
      </c>
      <c r="BR364" s="22" t="str">
        <f>IF(OR(AND(X364="Mourões", BQ364&gt;=6.5),AND(X364="Postes", BQ364&gt;=9.6),AND(X364="Dormentes", BQ364&gt;=9.6),AND(X364="Estacas", BQ364&gt;=6.5),AND(X364="Cruzetas", BQ364&gt;=6.5),AND(X364="Outros - Solo", BQ364&gt;=6.5),AND(X364="Outros - Suspenso",BQ364&gt;=4),AND(X364="Deck",BQ364&gt;=4)),'Listas suspensas'!$C$21,'Listas suspensas'!$C$22)</f>
        <v>Os resultados da análise química apresentaram uma retenção do produto de acordo com o padrão mínimo exigido pela norma ABNT NBR 16143</v>
      </c>
    </row>
    <row r="365" spans="2:70" x14ac:dyDescent="0.25">
      <c r="B365" s="8" t="s">
        <v>945</v>
      </c>
      <c r="C365" s="8" t="s">
        <v>71</v>
      </c>
      <c r="F365" s="11">
        <v>45916</v>
      </c>
      <c r="G365" s="11">
        <v>45916</v>
      </c>
      <c r="H365" s="11">
        <v>45923</v>
      </c>
      <c r="I365" s="8" t="s">
        <v>241</v>
      </c>
      <c r="J365" s="8" t="s">
        <v>242</v>
      </c>
      <c r="K365" s="8" t="s">
        <v>243</v>
      </c>
      <c r="L365" s="8" t="s">
        <v>15</v>
      </c>
      <c r="M365" s="30" t="s">
        <v>361</v>
      </c>
      <c r="N365" s="8" t="s">
        <v>75</v>
      </c>
      <c r="O365" s="8" t="s">
        <v>94</v>
      </c>
      <c r="P365" s="28" t="s">
        <v>77</v>
      </c>
      <c r="Q365" s="16" t="s">
        <v>946</v>
      </c>
      <c r="X365" s="8" t="s">
        <v>180</v>
      </c>
      <c r="Y365" s="34">
        <f>IF(X365='Listas suspensas'!$A$21,'Listas suspensas'!$B$23,IF(X365='Listas suspensas'!$A$22,'Listas suspensas'!$B$23,IF(X365='Listas suspensas'!$A$23,'Listas suspensas'!$B$22,IF(X365='Listas suspensas'!$A$26,'Listas suspensas'!$B$22,IF(X365='Listas suspensas'!$A$32,'Listas suspensas'!$B$22,IF(X365='Listas suspensas'!$A$33,'Listas suspensas'!$B$21,IF(X365='Listas suspensas'!$A$24,'Listas suspensas'!$B$22,IF(X365='Listas suspensas'!$A$25,'Listas suspensas'!$B$21,IF(X365='Listas suspensas'!$A$30,'Listas suspensas'!$B$21,"")))))))))</f>
        <v>6.5</v>
      </c>
      <c r="Z365" s="8" t="s">
        <v>80</v>
      </c>
      <c r="AA365" s="8">
        <v>2</v>
      </c>
      <c r="AB365" s="8" t="str">
        <f>IF(AA365='Listas suspensas'!$A$2,'Listas suspensas'!$B$2,IF(AA365='Listas suspensas'!$A$3,'Listas suspensas'!$B$3,IF(AA365='Listas suspensas'!$A$4,'Listas suspensas'!$B$4,IF(AA365='Listas suspensas'!$A$5,'Listas suspensas'!$B$5,IF(AA365='Listas suspensas'!$A$6,'Listas suspensas'!$B$6,"")))))</f>
        <v>Profunda e irregular</v>
      </c>
      <c r="AC365" s="8" t="str">
        <f>IF(AA365='Listas suspensas'!$A$2,'Listas suspensas'!$C$2,IF(AA365='Listas suspensas'!$A$3,'Listas suspensas'!$C$3,IF(AA365='Listas suspensas'!$A$4,'Listas suspensas'!$C$4,IF(AA365='Listas suspensas'!$A$5,'Listas suspensas'!$C$5,IF(AA365='Listas suspensas'!$A$6,'Listas suspensas'!$C$6,"")))))</f>
        <v>Indica a penetração profunda, mas desuniforme em toda a extensão do alburno.</v>
      </c>
      <c r="BD365" s="13">
        <v>0.84599999999999997</v>
      </c>
      <c r="BE365" s="18">
        <f t="shared" si="67"/>
        <v>846</v>
      </c>
      <c r="BF365" s="8">
        <v>0.28000000000000003</v>
      </c>
      <c r="BG365" s="8">
        <v>0.13100000000000001</v>
      </c>
      <c r="BH365" s="8">
        <v>0.222</v>
      </c>
      <c r="BI365" s="13">
        <f t="shared" si="68"/>
        <v>0.63300000000000001</v>
      </c>
      <c r="BJ365" s="14">
        <v>44.3</v>
      </c>
      <c r="BK365" s="14">
        <v>20.7</v>
      </c>
      <c r="BL365" s="14">
        <v>35</v>
      </c>
      <c r="BM365" s="16">
        <f t="shared" si="69"/>
        <v>100</v>
      </c>
      <c r="BN365" s="21">
        <f t="shared" si="70"/>
        <v>2.37</v>
      </c>
      <c r="BO365" s="21">
        <f t="shared" si="71"/>
        <v>1.1100000000000001</v>
      </c>
      <c r="BP365" s="21">
        <f t="shared" si="72"/>
        <v>1.88</v>
      </c>
      <c r="BQ365" s="14">
        <f t="shared" si="73"/>
        <v>5.36</v>
      </c>
      <c r="BR365" s="22" t="str">
        <f>IF(OR(AND(X365="Mourões", BQ365&gt;=6.5),AND(X365="Postes", BQ365&gt;=9.6),AND(X365="Dormentes", BQ365&gt;=9.6),AND(X365="Estacas", BQ365&gt;=6.5),AND(X365="Cruzetas", BQ365&gt;=6.5),AND(X365="Outros - Solo", BQ365&gt;=6.5),AND(X365="Outros - Suspenso",BQ365&gt;=4),AND(X365="Deck",BQ365&gt;=4)),'Listas suspensas'!$C$21,'Listas suspensas'!$C$22)</f>
        <v>Os resultados da análise química apresentaram uma retenção do produto inferior ao padrão mínimo exigido pela norma ABNT NBR 16143</v>
      </c>
    </row>
    <row r="366" spans="2:70" x14ac:dyDescent="0.25">
      <c r="B366" s="8" t="s">
        <v>947</v>
      </c>
      <c r="C366" s="8" t="s">
        <v>71</v>
      </c>
      <c r="F366" s="11">
        <v>45916</v>
      </c>
      <c r="G366" s="11">
        <v>45916</v>
      </c>
      <c r="H366" s="11">
        <v>45923</v>
      </c>
      <c r="I366" s="8" t="s">
        <v>241</v>
      </c>
      <c r="J366" s="8" t="s">
        <v>242</v>
      </c>
      <c r="K366" s="8" t="s">
        <v>243</v>
      </c>
      <c r="L366" s="8" t="s">
        <v>15</v>
      </c>
      <c r="M366" s="30" t="s">
        <v>361</v>
      </c>
      <c r="N366" s="8" t="s">
        <v>75</v>
      </c>
      <c r="O366" s="8" t="s">
        <v>94</v>
      </c>
      <c r="P366" s="28" t="s">
        <v>77</v>
      </c>
      <c r="Q366" s="16" t="s">
        <v>948</v>
      </c>
      <c r="X366" s="8" t="s">
        <v>180</v>
      </c>
      <c r="Y366" s="34">
        <f>IF(X366='Listas suspensas'!$A$21,'Listas suspensas'!$B$23,IF(X366='Listas suspensas'!$A$22,'Listas suspensas'!$B$23,IF(X366='Listas suspensas'!$A$23,'Listas suspensas'!$B$22,IF(X366='Listas suspensas'!$A$26,'Listas suspensas'!$B$22,IF(X366='Listas suspensas'!$A$32,'Listas suspensas'!$B$22,IF(X366='Listas suspensas'!$A$33,'Listas suspensas'!$B$21,IF(X366='Listas suspensas'!$A$24,'Listas suspensas'!$B$22,IF(X366='Listas suspensas'!$A$25,'Listas suspensas'!$B$21,IF(X366='Listas suspensas'!$A$30,'Listas suspensas'!$B$21,"")))))))))</f>
        <v>6.5</v>
      </c>
      <c r="Z366" s="8" t="s">
        <v>80</v>
      </c>
      <c r="AA366" s="8">
        <v>3</v>
      </c>
      <c r="AB366" s="8" t="str">
        <f>IF(AA366='Listas suspensas'!$A$2,'Listas suspensas'!$B$2,IF(AA366='Listas suspensas'!$A$3,'Listas suspensas'!$B$3,IF(AA366='Listas suspensas'!$A$4,'Listas suspensas'!$B$4,IF(AA366='Listas suspensas'!$A$5,'Listas suspensas'!$B$5,IF(AA366='Listas suspensas'!$A$6,'Listas suspensas'!$B$6,"")))))</f>
        <v xml:space="preserve"> Parcial e regular</v>
      </c>
      <c r="AC366" s="8" t="str">
        <f>IF(AA366='Listas suspensas'!$A$2,'Listas suspensas'!$C$2,IF(AA366='Listas suspensas'!$A$3,'Listas suspensas'!$C$3,IF(AA366='Listas suspensas'!$A$4,'Listas suspensas'!$C$4,IF(AA366='Listas suspensas'!$A$5,'Listas suspensas'!$C$5,IF(AA366='Listas suspensas'!$A$6,'Listas suspensas'!$C$6,"")))))</f>
        <v>Indica a penetração uniforme, mas não total pela extensão do alburno.</v>
      </c>
      <c r="BD366" s="13">
        <v>0.84099999999999997</v>
      </c>
      <c r="BE366" s="18">
        <f t="shared" si="67"/>
        <v>841</v>
      </c>
      <c r="BF366" s="8">
        <v>0.27200000000000002</v>
      </c>
      <c r="BG366" s="8">
        <v>0.13100000000000001</v>
      </c>
      <c r="BH366" s="8">
        <v>0.26100000000000001</v>
      </c>
      <c r="BI366" s="13">
        <f t="shared" si="68"/>
        <v>0.66400000000000003</v>
      </c>
      <c r="BJ366" s="14">
        <v>41</v>
      </c>
      <c r="BK366" s="14">
        <v>19.7</v>
      </c>
      <c r="BL366" s="14">
        <v>39.299999999999997</v>
      </c>
      <c r="BM366" s="16">
        <f t="shared" si="69"/>
        <v>100</v>
      </c>
      <c r="BN366" s="21">
        <f t="shared" si="70"/>
        <v>2.29</v>
      </c>
      <c r="BO366" s="21">
        <f t="shared" si="71"/>
        <v>1.1000000000000001</v>
      </c>
      <c r="BP366" s="21">
        <f t="shared" si="72"/>
        <v>2.2000000000000002</v>
      </c>
      <c r="BQ366" s="14">
        <f t="shared" si="73"/>
        <v>5.59</v>
      </c>
      <c r="BR366" s="22" t="str">
        <f>IF(OR(AND(X366="Mourões", BQ366&gt;=6.5),AND(X366="Postes", BQ366&gt;=9.6),AND(X366="Dormentes", BQ366&gt;=9.6),AND(X366="Estacas", BQ366&gt;=6.5),AND(X366="Cruzetas", BQ366&gt;=6.5),AND(X366="Outros - Solo", BQ366&gt;=6.5),AND(X366="Outros - Suspenso",BQ366&gt;=4),AND(X366="Deck",BQ366&gt;=4)),'Listas suspensas'!$C$21,'Listas suspensas'!$C$22)</f>
        <v>Os resultados da análise química apresentaram uma retenção do produto inferior ao padrão mínimo exigido pela norma ABNT NBR 16143</v>
      </c>
    </row>
    <row r="367" spans="2:70" x14ac:dyDescent="0.25">
      <c r="B367" s="8" t="s">
        <v>949</v>
      </c>
      <c r="C367" s="8" t="s">
        <v>71</v>
      </c>
      <c r="F367" s="11">
        <v>45916</v>
      </c>
      <c r="G367" s="11">
        <v>45916</v>
      </c>
      <c r="H367" s="11">
        <v>45923</v>
      </c>
      <c r="I367" s="8" t="s">
        <v>241</v>
      </c>
      <c r="J367" s="8" t="s">
        <v>242</v>
      </c>
      <c r="K367" s="8" t="s">
        <v>243</v>
      </c>
      <c r="L367" s="8" t="s">
        <v>15</v>
      </c>
      <c r="M367" s="30" t="s">
        <v>361</v>
      </c>
      <c r="N367" s="8" t="s">
        <v>75</v>
      </c>
      <c r="O367" s="8" t="s">
        <v>94</v>
      </c>
      <c r="P367" s="28" t="s">
        <v>77</v>
      </c>
      <c r="Q367" s="16" t="s">
        <v>950</v>
      </c>
      <c r="X367" s="8" t="s">
        <v>180</v>
      </c>
      <c r="Y367" s="34">
        <f>IF(X367='Listas suspensas'!$A$21,'Listas suspensas'!$B$23,IF(X367='Listas suspensas'!$A$22,'Listas suspensas'!$B$23,IF(X367='Listas suspensas'!$A$23,'Listas suspensas'!$B$22,IF(X367='Listas suspensas'!$A$26,'Listas suspensas'!$B$22,IF(X367='Listas suspensas'!$A$32,'Listas suspensas'!$B$22,IF(X367='Listas suspensas'!$A$33,'Listas suspensas'!$B$21,IF(X367='Listas suspensas'!$A$24,'Listas suspensas'!$B$22,IF(X367='Listas suspensas'!$A$25,'Listas suspensas'!$B$21,IF(X367='Listas suspensas'!$A$30,'Listas suspensas'!$B$21,"")))))))))</f>
        <v>6.5</v>
      </c>
      <c r="Z367" s="8" t="s">
        <v>80</v>
      </c>
      <c r="AA367" s="8">
        <v>4</v>
      </c>
      <c r="AB367" s="8" t="str">
        <f>IF(AA367='Listas suspensas'!$A$2,'Listas suspensas'!$B$2,IF(AA367='Listas suspensas'!$A$3,'Listas suspensas'!$B$3,IF(AA367='Listas suspensas'!$A$4,'Listas suspensas'!$B$4,IF(AA367='Listas suspensas'!$A$5,'Listas suspensas'!$B$5,IF(AA367='Listas suspensas'!$A$6,'Listas suspensas'!$B$6,"")))))</f>
        <v>Parcial e irregular</v>
      </c>
      <c r="AC367" s="8" t="str">
        <f>IF(AA367='Listas suspensas'!$A$2,'Listas suspensas'!$C$2,IF(AA367='Listas suspensas'!$A$3,'Listas suspensas'!$C$3,IF(AA367='Listas suspensas'!$A$4,'Listas suspensas'!$C$4,IF(AA367='Listas suspensas'!$A$5,'Listas suspensas'!$C$5,IF(AA367='Listas suspensas'!$A$6,'Listas suspensas'!$C$6,"")))))</f>
        <v>Indica a penetração desuniforme e não total pela extensão do alburno.</v>
      </c>
      <c r="BD367" s="13">
        <v>0.86399999999999999</v>
      </c>
      <c r="BE367" s="18">
        <f t="shared" si="67"/>
        <v>864</v>
      </c>
      <c r="BF367" s="8">
        <v>0.20799999999999999</v>
      </c>
      <c r="BG367" s="8">
        <v>7.6999999999999999E-2</v>
      </c>
      <c r="BH367" s="8">
        <v>0.17100000000000001</v>
      </c>
      <c r="BI367" s="13">
        <f t="shared" si="68"/>
        <v>0.45599999999999996</v>
      </c>
      <c r="BJ367" s="14">
        <v>45.7</v>
      </c>
      <c r="BK367" s="14">
        <v>16.899999999999999</v>
      </c>
      <c r="BL367" s="14">
        <v>37.4</v>
      </c>
      <c r="BM367" s="16">
        <f t="shared" si="69"/>
        <v>100</v>
      </c>
      <c r="BN367" s="21">
        <f t="shared" si="70"/>
        <v>1.8</v>
      </c>
      <c r="BO367" s="21">
        <f t="shared" si="71"/>
        <v>0.67</v>
      </c>
      <c r="BP367" s="21">
        <f t="shared" si="72"/>
        <v>1.48</v>
      </c>
      <c r="BQ367" s="14">
        <f t="shared" si="73"/>
        <v>3.95</v>
      </c>
      <c r="BR367" s="22" t="str">
        <f>IF(OR(AND(X367="Mourões", BQ367&gt;=6.5),AND(X367="Postes", BQ367&gt;=9.6),AND(X367="Dormentes", BQ367&gt;=9.6),AND(X367="Estacas", BQ367&gt;=6.5),AND(X367="Cruzetas", BQ367&gt;=6.5),AND(X367="Outros - Solo", BQ367&gt;=6.5),AND(X367="Outros - Suspenso",BQ367&gt;=4),AND(X367="Deck",BQ367&gt;=4)),'Listas suspensas'!$C$21,'Listas suspensas'!$C$22)</f>
        <v>Os resultados da análise química apresentaram uma retenção do produto inferior ao padrão mínimo exigido pela norma ABNT NBR 16143</v>
      </c>
    </row>
    <row r="368" spans="2:70" x14ac:dyDescent="0.25">
      <c r="B368" s="8" t="s">
        <v>951</v>
      </c>
      <c r="C368" s="8" t="s">
        <v>71</v>
      </c>
      <c r="F368" s="11">
        <v>45916</v>
      </c>
      <c r="G368" s="11">
        <v>45916</v>
      </c>
      <c r="H368" s="11">
        <v>45923</v>
      </c>
      <c r="I368" s="8" t="s">
        <v>241</v>
      </c>
      <c r="J368" s="8" t="s">
        <v>242</v>
      </c>
      <c r="K368" s="8" t="s">
        <v>243</v>
      </c>
      <c r="L368" s="8" t="s">
        <v>15</v>
      </c>
      <c r="M368" s="30" t="s">
        <v>361</v>
      </c>
      <c r="N368" s="8" t="s">
        <v>75</v>
      </c>
      <c r="O368" s="8" t="s">
        <v>94</v>
      </c>
      <c r="P368" s="28" t="s">
        <v>77</v>
      </c>
      <c r="Q368" s="16" t="s">
        <v>952</v>
      </c>
      <c r="X368" s="8" t="s">
        <v>180</v>
      </c>
      <c r="Y368" s="34">
        <f>IF(X368='Listas suspensas'!$A$21,'Listas suspensas'!$B$23,IF(X368='Listas suspensas'!$A$22,'Listas suspensas'!$B$23,IF(X368='Listas suspensas'!$A$23,'Listas suspensas'!$B$22,IF(X368='Listas suspensas'!$A$26,'Listas suspensas'!$B$22,IF(X368='Listas suspensas'!$A$32,'Listas suspensas'!$B$22,IF(X368='Listas suspensas'!$A$33,'Listas suspensas'!$B$21,IF(X368='Listas suspensas'!$A$24,'Listas suspensas'!$B$22,IF(X368='Listas suspensas'!$A$25,'Listas suspensas'!$B$21,IF(X368='Listas suspensas'!$A$30,'Listas suspensas'!$B$21,"")))))))))</f>
        <v>6.5</v>
      </c>
      <c r="Z368" s="8" t="s">
        <v>80</v>
      </c>
      <c r="AA368" s="8">
        <v>4</v>
      </c>
      <c r="AB368" s="8" t="str">
        <f>IF(AA368='Listas suspensas'!$A$2,'Listas suspensas'!$B$2,IF(AA368='Listas suspensas'!$A$3,'Listas suspensas'!$B$3,IF(AA368='Listas suspensas'!$A$4,'Listas suspensas'!$B$4,IF(AA368='Listas suspensas'!$A$5,'Listas suspensas'!$B$5,IF(AA368='Listas suspensas'!$A$6,'Listas suspensas'!$B$6,"")))))</f>
        <v>Parcial e irregular</v>
      </c>
      <c r="AC368" s="8" t="str">
        <f>IF(AA368='Listas suspensas'!$A$2,'Listas suspensas'!$C$2,IF(AA368='Listas suspensas'!$A$3,'Listas suspensas'!$C$3,IF(AA368='Listas suspensas'!$A$4,'Listas suspensas'!$C$4,IF(AA368='Listas suspensas'!$A$5,'Listas suspensas'!$C$5,IF(AA368='Listas suspensas'!$A$6,'Listas suspensas'!$C$6,"")))))</f>
        <v>Indica a penetração desuniforme e não total pela extensão do alburno.</v>
      </c>
      <c r="BD368" s="13">
        <v>0.879</v>
      </c>
      <c r="BE368" s="18">
        <f t="shared" si="67"/>
        <v>879</v>
      </c>
      <c r="BF368" s="8">
        <v>0.20300000000000001</v>
      </c>
      <c r="BG368" s="8">
        <v>0.08</v>
      </c>
      <c r="BH368" s="8">
        <v>0.17599999999999999</v>
      </c>
      <c r="BI368" s="13">
        <f t="shared" si="68"/>
        <v>0.45900000000000002</v>
      </c>
      <c r="BJ368" s="14">
        <v>44.1</v>
      </c>
      <c r="BK368" s="14">
        <v>17.5</v>
      </c>
      <c r="BL368" s="14">
        <v>38.4</v>
      </c>
      <c r="BM368" s="16">
        <f t="shared" si="69"/>
        <v>100</v>
      </c>
      <c r="BN368" s="21">
        <f t="shared" si="70"/>
        <v>1.78</v>
      </c>
      <c r="BO368" s="21">
        <f t="shared" si="71"/>
        <v>0.7</v>
      </c>
      <c r="BP368" s="21">
        <f t="shared" si="72"/>
        <v>1.55</v>
      </c>
      <c r="BQ368" s="14">
        <f t="shared" si="73"/>
        <v>4.03</v>
      </c>
      <c r="BR368" s="22" t="str">
        <f>IF(OR(AND(X368="Mourões", BQ368&gt;=6.5),AND(X368="Postes", BQ368&gt;=9.6),AND(X368="Dormentes", BQ368&gt;=9.6),AND(X368="Estacas", BQ368&gt;=6.5),AND(X368="Cruzetas", BQ368&gt;=6.5),AND(X368="Outros - Solo", BQ368&gt;=6.5),AND(X368="Outros - Suspenso",BQ368&gt;=4),AND(X368="Deck",BQ368&gt;=4)),'Listas suspensas'!$C$21,'Listas suspensas'!$C$22)</f>
        <v>Os resultados da análise química apresentaram uma retenção do produto inferior ao padrão mínimo exigido pela norma ABNT NBR 16143</v>
      </c>
    </row>
    <row r="369" spans="2:70" x14ac:dyDescent="0.25">
      <c r="B369" s="8" t="s">
        <v>953</v>
      </c>
      <c r="C369" s="8" t="s">
        <v>71</v>
      </c>
      <c r="F369" s="11">
        <v>45916</v>
      </c>
      <c r="G369" s="11">
        <v>45916</v>
      </c>
      <c r="H369" s="11">
        <v>45923</v>
      </c>
      <c r="I369" s="8" t="s">
        <v>241</v>
      </c>
      <c r="J369" s="8" t="s">
        <v>242</v>
      </c>
      <c r="K369" s="8" t="s">
        <v>243</v>
      </c>
      <c r="L369" s="8" t="s">
        <v>15</v>
      </c>
      <c r="M369" s="30" t="s">
        <v>361</v>
      </c>
      <c r="N369" s="8" t="s">
        <v>75</v>
      </c>
      <c r="O369" s="8" t="s">
        <v>94</v>
      </c>
      <c r="P369" s="28" t="s">
        <v>77</v>
      </c>
      <c r="Q369" s="16" t="s">
        <v>954</v>
      </c>
      <c r="X369" s="8" t="s">
        <v>180</v>
      </c>
      <c r="Y369" s="34">
        <f>IF(X369='Listas suspensas'!$A$21,'Listas suspensas'!$B$23,IF(X369='Listas suspensas'!$A$22,'Listas suspensas'!$B$23,IF(X369='Listas suspensas'!$A$23,'Listas suspensas'!$B$22,IF(X369='Listas suspensas'!$A$26,'Listas suspensas'!$B$22,IF(X369='Listas suspensas'!$A$32,'Listas suspensas'!$B$22,IF(X369='Listas suspensas'!$A$33,'Listas suspensas'!$B$21,IF(X369='Listas suspensas'!$A$24,'Listas suspensas'!$B$22,IF(X369='Listas suspensas'!$A$25,'Listas suspensas'!$B$21,IF(X369='Listas suspensas'!$A$30,'Listas suspensas'!$B$21,"")))))))))</f>
        <v>6.5</v>
      </c>
      <c r="Z369" s="8" t="s">
        <v>80</v>
      </c>
      <c r="AA369" s="8">
        <v>3</v>
      </c>
      <c r="AB369" s="8" t="str">
        <f>IF(AA369='Listas suspensas'!$A$2,'Listas suspensas'!$B$2,IF(AA369='Listas suspensas'!$A$3,'Listas suspensas'!$B$3,IF(AA369='Listas suspensas'!$A$4,'Listas suspensas'!$B$4,IF(AA369='Listas suspensas'!$A$5,'Listas suspensas'!$B$5,IF(AA369='Listas suspensas'!$A$6,'Listas suspensas'!$B$6,"")))))</f>
        <v xml:space="preserve"> Parcial e regular</v>
      </c>
      <c r="AC369" s="8" t="str">
        <f>IF(AA369='Listas suspensas'!$A$2,'Listas suspensas'!$C$2,IF(AA369='Listas suspensas'!$A$3,'Listas suspensas'!$C$3,IF(AA369='Listas suspensas'!$A$4,'Listas suspensas'!$C$4,IF(AA369='Listas suspensas'!$A$5,'Listas suspensas'!$C$5,IF(AA369='Listas suspensas'!$A$6,'Listas suspensas'!$C$6,"")))))</f>
        <v>Indica a penetração uniforme, mas não total pela extensão do alburno.</v>
      </c>
      <c r="BD369" s="13">
        <v>0.86699999999999999</v>
      </c>
      <c r="BE369" s="18">
        <f t="shared" si="67"/>
        <v>867</v>
      </c>
      <c r="BF369" s="8">
        <v>0.33100000000000002</v>
      </c>
      <c r="BG369" s="8">
        <v>0.155</v>
      </c>
      <c r="BH369" s="8">
        <v>0.31</v>
      </c>
      <c r="BI369" s="13">
        <f t="shared" si="68"/>
        <v>0.79600000000000004</v>
      </c>
      <c r="BJ369" s="14">
        <v>41.6</v>
      </c>
      <c r="BK369" s="14">
        <v>19.5</v>
      </c>
      <c r="BL369" s="14">
        <v>38.9</v>
      </c>
      <c r="BM369" s="16">
        <f t="shared" si="69"/>
        <v>100</v>
      </c>
      <c r="BN369" s="21">
        <f t="shared" si="70"/>
        <v>2.87</v>
      </c>
      <c r="BO369" s="21">
        <f t="shared" si="71"/>
        <v>1.34</v>
      </c>
      <c r="BP369" s="21">
        <f t="shared" si="72"/>
        <v>2.69</v>
      </c>
      <c r="BQ369" s="14">
        <f t="shared" si="73"/>
        <v>6.9</v>
      </c>
      <c r="BR369" s="22" t="str">
        <f>IF(OR(AND(X369="Mourões", BQ369&gt;=6.5),AND(X369="Postes", BQ369&gt;=9.6),AND(X369="Dormentes", BQ369&gt;=9.6),AND(X369="Estacas", BQ369&gt;=6.5),AND(X369="Cruzetas", BQ369&gt;=6.5),AND(X369="Outros - Solo", BQ369&gt;=6.5),AND(X369="Outros - Suspenso",BQ369&gt;=4),AND(X369="Deck",BQ369&gt;=4)),'Listas suspensas'!$C$21,'Listas suspensas'!$C$22)</f>
        <v>Os resultados da análise química apresentaram uma retenção do produto inferior ao padrão mínimo exigido pela norma ABNT NBR 16143</v>
      </c>
    </row>
    <row r="370" spans="2:70" x14ac:dyDescent="0.25">
      <c r="B370" s="8" t="s">
        <v>955</v>
      </c>
      <c r="C370" s="8" t="s">
        <v>71</v>
      </c>
      <c r="F370" s="11">
        <v>45924</v>
      </c>
      <c r="G370" s="11">
        <v>45925</v>
      </c>
      <c r="H370" s="11">
        <v>45933</v>
      </c>
      <c r="I370" s="8" t="s">
        <v>611</v>
      </c>
      <c r="J370" s="8" t="s">
        <v>612</v>
      </c>
      <c r="K370" s="8" t="s">
        <v>613</v>
      </c>
      <c r="L370" s="8" t="s">
        <v>15</v>
      </c>
      <c r="M370" s="30" t="s">
        <v>783</v>
      </c>
      <c r="N370" s="8" t="s">
        <v>75</v>
      </c>
      <c r="O370" s="8" t="s">
        <v>76</v>
      </c>
      <c r="P370" s="28" t="s">
        <v>146</v>
      </c>
      <c r="Q370" s="16" t="s">
        <v>956</v>
      </c>
      <c r="X370" s="8" t="s">
        <v>79</v>
      </c>
      <c r="Y370" s="34">
        <f>IF(X370='Listas suspensas'!$A$21,'Listas suspensas'!$B$23,IF(X370='Listas suspensas'!$A$22,'Listas suspensas'!$B$23,IF(X370='Listas suspensas'!$A$23,'Listas suspensas'!$B$22,IF(X370='Listas suspensas'!$A$26,'Listas suspensas'!$B$22,IF(X370='Listas suspensas'!$A$32,'Listas suspensas'!$B$22,IF(X370='Listas suspensas'!$A$33,'Listas suspensas'!$B$21,IF(X370='Listas suspensas'!$A$24,'Listas suspensas'!$B$22,IF(X370='Listas suspensas'!$A$25,'Listas suspensas'!$B$21,IF(X370='Listas suspensas'!$A$30,'Listas suspensas'!$B$21,"")))))))))</f>
        <v>6.5</v>
      </c>
      <c r="Z370" s="8" t="s">
        <v>80</v>
      </c>
      <c r="AA370" s="8">
        <v>4</v>
      </c>
      <c r="AB370" s="8" t="str">
        <f>IF(AA370='Listas suspensas'!$A$2,'Listas suspensas'!$B$2,IF(AA370='Listas suspensas'!$A$3,'Listas suspensas'!$B$3,IF(AA370='Listas suspensas'!$A$4,'Listas suspensas'!$B$4,IF(AA370='Listas suspensas'!$A$5,'Listas suspensas'!$B$5,IF(AA370='Listas suspensas'!$A$6,'Listas suspensas'!$B$6,"")))))</f>
        <v>Parcial e irregular</v>
      </c>
      <c r="AC370" s="8" t="str">
        <f>IF(AA370='Listas suspensas'!$A$2,'Listas suspensas'!$C$2,IF(AA370='Listas suspensas'!$A$3,'Listas suspensas'!$C$3,IF(AA370='Listas suspensas'!$A$4,'Listas suspensas'!$C$4,IF(AA370='Listas suspensas'!$A$5,'Listas suspensas'!$C$5,IF(AA370='Listas suspensas'!$A$6,'Listas suspensas'!$C$6,"")))))</f>
        <v>Indica a penetração desuniforme e não total pela extensão do alburno.</v>
      </c>
      <c r="BD370" s="13">
        <v>0.54600000000000004</v>
      </c>
      <c r="BE370" s="18">
        <f t="shared" si="67"/>
        <v>546</v>
      </c>
      <c r="BF370" s="8">
        <v>0.14299999999999999</v>
      </c>
      <c r="BG370" s="8">
        <v>5.8000000000000003E-2</v>
      </c>
      <c r="BH370" s="8">
        <v>8.2000000000000003E-2</v>
      </c>
      <c r="BI370" s="13">
        <f t="shared" si="68"/>
        <v>0.28299999999999997</v>
      </c>
      <c r="BJ370" s="14">
        <v>50.6</v>
      </c>
      <c r="BK370" s="14">
        <v>20.399999999999999</v>
      </c>
      <c r="BL370" s="14">
        <v>29</v>
      </c>
      <c r="BM370" s="16">
        <f t="shared" si="69"/>
        <v>100</v>
      </c>
      <c r="BN370" s="21">
        <f t="shared" si="70"/>
        <v>0.78</v>
      </c>
      <c r="BO370" s="21">
        <f t="shared" si="71"/>
        <v>0.32</v>
      </c>
      <c r="BP370" s="21">
        <f t="shared" si="72"/>
        <v>0.45</v>
      </c>
      <c r="BQ370" s="14">
        <f t="shared" si="73"/>
        <v>1.55</v>
      </c>
      <c r="BR370" s="22" t="str">
        <f>IF(OR(AND(X370="Mourões", BQ370&gt;=6.5),AND(X370="Postes", BQ370&gt;=9.6),AND(X370="Dormentes", BQ370&gt;=9.6),AND(X370="Estacas - Solo", BQ370&gt;=6.5),AND(X370="Estacas - Suspenso", BQ370&gt;=4),AND(X370="Cruzetas", BQ370&gt;=6.5),AND(X370="Outros - Solo", BQ370&gt;=6.5),AND(X370="Outros - Suspenso",BQ370&gt;=4),AND(X370="Deck",BQ370&gt;=4)),'Listas suspensas'!$C$21,'Listas suspensas'!$C$22)</f>
        <v>Os resultados da análise química apresentaram uma retenção do produto inferior ao padrão mínimo exigido pela norma ABNT NBR 16143</v>
      </c>
    </row>
    <row r="371" spans="2:70" x14ac:dyDescent="0.25">
      <c r="B371" s="8" t="s">
        <v>957</v>
      </c>
      <c r="C371" s="8" t="s">
        <v>71</v>
      </c>
      <c r="F371" s="11">
        <v>45924</v>
      </c>
      <c r="G371" s="11">
        <v>45925</v>
      </c>
      <c r="H371" s="11">
        <v>45933</v>
      </c>
      <c r="I371" s="8" t="s">
        <v>611</v>
      </c>
      <c r="J371" s="8" t="s">
        <v>612</v>
      </c>
      <c r="K371" s="8" t="s">
        <v>613</v>
      </c>
      <c r="L371" s="8" t="s">
        <v>15</v>
      </c>
      <c r="M371" s="30" t="s">
        <v>783</v>
      </c>
      <c r="N371" s="8" t="s">
        <v>75</v>
      </c>
      <c r="O371" s="8" t="s">
        <v>76</v>
      </c>
      <c r="P371" s="28" t="s">
        <v>146</v>
      </c>
      <c r="Q371" s="16" t="s">
        <v>958</v>
      </c>
      <c r="X371" s="8" t="s">
        <v>79</v>
      </c>
      <c r="Y371" s="34">
        <f>IF(X371='Listas suspensas'!$A$21,'Listas suspensas'!$B$23,IF(X371='Listas suspensas'!$A$22,'Listas suspensas'!$B$23,IF(X371='Listas suspensas'!$A$23,'Listas suspensas'!$B$22,IF(X371='Listas suspensas'!$A$26,'Listas suspensas'!$B$22,IF(X371='Listas suspensas'!$A$32,'Listas suspensas'!$B$22,IF(X371='Listas suspensas'!$A$33,'Listas suspensas'!$B$21,IF(X371='Listas suspensas'!$A$24,'Listas suspensas'!$B$22,IF(X371='Listas suspensas'!$A$25,'Listas suspensas'!$B$21,IF(X371='Listas suspensas'!$A$30,'Listas suspensas'!$B$21,"")))))))))</f>
        <v>6.5</v>
      </c>
      <c r="Z371" s="8" t="s">
        <v>80</v>
      </c>
      <c r="AA371" s="8">
        <v>4</v>
      </c>
      <c r="AB371" s="8" t="str">
        <f>IF(AA371='Listas suspensas'!$A$2,'Listas suspensas'!$B$2,IF(AA371='Listas suspensas'!$A$3,'Listas suspensas'!$B$3,IF(AA371='Listas suspensas'!$A$4,'Listas suspensas'!$B$4,IF(AA371='Listas suspensas'!$A$5,'Listas suspensas'!$B$5,IF(AA371='Listas suspensas'!$A$6,'Listas suspensas'!$B$6,"")))))</f>
        <v>Parcial e irregular</v>
      </c>
      <c r="AC371" s="8" t="str">
        <f>IF(AA371='Listas suspensas'!$A$2,'Listas suspensas'!$C$2,IF(AA371='Listas suspensas'!$A$3,'Listas suspensas'!$C$3,IF(AA371='Listas suspensas'!$A$4,'Listas suspensas'!$C$4,IF(AA371='Listas suspensas'!$A$5,'Listas suspensas'!$C$5,IF(AA371='Listas suspensas'!$A$6,'Listas suspensas'!$C$6,"")))))</f>
        <v>Indica a penetração desuniforme e não total pela extensão do alburno.</v>
      </c>
      <c r="BD371" s="13">
        <v>0.50900000000000001</v>
      </c>
      <c r="BE371" s="18">
        <f t="shared" si="67"/>
        <v>509</v>
      </c>
      <c r="BF371" s="8">
        <v>0.20300000000000001</v>
      </c>
      <c r="BG371" s="8">
        <v>9.0999999999999998E-2</v>
      </c>
      <c r="BH371" s="8">
        <v>0.13500000000000001</v>
      </c>
      <c r="BI371" s="13">
        <f t="shared" si="68"/>
        <v>0.42900000000000005</v>
      </c>
      <c r="BJ371" s="14">
        <v>47.3</v>
      </c>
      <c r="BK371" s="14">
        <v>21.2</v>
      </c>
      <c r="BL371" s="14">
        <v>31.5</v>
      </c>
      <c r="BM371" s="16">
        <f t="shared" si="69"/>
        <v>100</v>
      </c>
      <c r="BN371" s="21">
        <f t="shared" si="70"/>
        <v>1.03</v>
      </c>
      <c r="BO371" s="21">
        <f t="shared" si="71"/>
        <v>0.46</v>
      </c>
      <c r="BP371" s="21">
        <f t="shared" si="72"/>
        <v>0.69</v>
      </c>
      <c r="BQ371" s="14">
        <f t="shared" si="73"/>
        <v>2.1800000000000002</v>
      </c>
      <c r="BR371" s="22" t="str">
        <f>IF(OR(AND(X371="Mourões", BQ371&gt;=6.5),AND(X371="Postes", BQ371&gt;=9.6),AND(X371="Dormentes", BQ371&gt;=9.6),AND(X371="Estacas - Solo", BQ371&gt;=6.5),AND(X371="Estacas - Suspenso", BQ371&gt;=4),AND(X371="Cruzetas", BQ371&gt;=6.5),AND(X371="Outros - Solo", BQ371&gt;=6.5),AND(X371="Outros - Suspenso",BQ371&gt;=4),AND(X371="Deck",BQ371&gt;=4)),'Listas suspensas'!$C$21,'Listas suspensas'!$C$22)</f>
        <v>Os resultados da análise química apresentaram uma retenção do produto inferior ao padrão mínimo exigido pela norma ABNT NBR 16143</v>
      </c>
    </row>
    <row r="372" spans="2:70" x14ac:dyDescent="0.25">
      <c r="B372" s="8" t="s">
        <v>959</v>
      </c>
      <c r="C372" s="8" t="s">
        <v>71</v>
      </c>
      <c r="F372" s="11">
        <v>45924</v>
      </c>
      <c r="G372" s="11">
        <v>45925</v>
      </c>
      <c r="H372" s="11">
        <v>45933</v>
      </c>
      <c r="I372" s="8" t="s">
        <v>960</v>
      </c>
      <c r="J372" s="8" t="s">
        <v>809</v>
      </c>
      <c r="K372" s="8" t="s">
        <v>144</v>
      </c>
      <c r="L372" s="8" t="s">
        <v>15</v>
      </c>
      <c r="N372" s="8" t="s">
        <v>75</v>
      </c>
      <c r="O372" s="8" t="s">
        <v>94</v>
      </c>
      <c r="P372" s="28" t="s">
        <v>146</v>
      </c>
      <c r="Q372" s="16" t="s">
        <v>961</v>
      </c>
      <c r="X372" s="8" t="s">
        <v>98</v>
      </c>
      <c r="Y372" s="34">
        <f>IF(X372='Listas suspensas'!$A$21,'Listas suspensas'!$B$23,IF(X372='Listas suspensas'!$A$22,'Listas suspensas'!$B$23,IF(X372='Listas suspensas'!$A$23,'Listas suspensas'!$B$22,IF(X372='Listas suspensas'!$A$26,'Listas suspensas'!$B$22,IF(X372='Listas suspensas'!$A$32,'Listas suspensas'!$B$22,IF(X372='Listas suspensas'!$A$33,'Listas suspensas'!$B$21,IF(X372='Listas suspensas'!$A$24,'Listas suspensas'!$B$22,IF(X372='Listas suspensas'!$A$25,'Listas suspensas'!$B$21,IF(X372='Listas suspensas'!$A$30,'Listas suspensas'!$B$21,"")))))))))</f>
        <v>9.6</v>
      </c>
      <c r="Z372" s="8" t="s">
        <v>80</v>
      </c>
      <c r="AA372" s="8">
        <v>1</v>
      </c>
      <c r="AB372" s="8" t="str">
        <f>IF(AA372='Listas suspensas'!$A$2,'Listas suspensas'!$B$2,IF(AA372='Listas suspensas'!$A$3,'Listas suspensas'!$B$3,IF(AA372='Listas suspensas'!$A$4,'Listas suspensas'!$B$4,IF(AA372='Listas suspensas'!$A$5,'Listas suspensas'!$B$5,IF(AA372='Listas suspensas'!$A$6,'Listas suspensas'!$B$6,"")))))</f>
        <v>Profunda e regular</v>
      </c>
      <c r="AC372" s="8" t="str">
        <f>IF(AA372='Listas suspensas'!$A$2,'Listas suspensas'!$C$2,IF(AA372='Listas suspensas'!$A$3,'Listas suspensas'!$C$3,IF(AA372='Listas suspensas'!$A$4,'Listas suspensas'!$C$4,IF(AA372='Listas suspensas'!$A$5,'Listas suspensas'!$C$5,IF(AA372='Listas suspensas'!$A$6,'Listas suspensas'!$C$6,"")))))</f>
        <v>Indica a penetração profunda e uniforme em toda a extensão do alburno.</v>
      </c>
      <c r="BD372" s="13">
        <v>0.56100000000000005</v>
      </c>
      <c r="BE372" s="18">
        <f t="shared" si="67"/>
        <v>561</v>
      </c>
      <c r="BF372" s="8">
        <v>1.577</v>
      </c>
      <c r="BG372" s="8">
        <v>0.38900000000000001</v>
      </c>
      <c r="BH372" s="8">
        <v>0.78</v>
      </c>
      <c r="BI372" s="13">
        <f t="shared" si="68"/>
        <v>2.746</v>
      </c>
      <c r="BJ372" s="14">
        <v>57.4</v>
      </c>
      <c r="BK372" s="14">
        <v>14.2</v>
      </c>
      <c r="BL372" s="14">
        <v>28.4</v>
      </c>
      <c r="BM372" s="16">
        <f t="shared" si="69"/>
        <v>100</v>
      </c>
      <c r="BN372" s="21">
        <f t="shared" si="70"/>
        <v>8.85</v>
      </c>
      <c r="BO372" s="21">
        <f t="shared" si="71"/>
        <v>2.1800000000000002</v>
      </c>
      <c r="BP372" s="21">
        <f t="shared" si="72"/>
        <v>4.38</v>
      </c>
      <c r="BQ372" s="14">
        <f t="shared" si="73"/>
        <v>15.41</v>
      </c>
      <c r="BR372" s="22" t="str">
        <f>IF(OR(AND(X372="Mourões", BQ372&gt;=6.5),AND(X372="Postes", BQ372&gt;=9.6),AND(X372="Dormentes", BQ372&gt;=9.6),AND(X372="Estacas - Solo", BQ372&gt;=6.5),AND(X372="Estacas - Suspenso", BQ372&gt;=4),AND(X372="Cruzetas", BQ372&gt;=6.5),AND(X372="Outros - Solo", BQ372&gt;=6.5),AND(X372="Outros - Suspenso",BQ372&gt;=4),AND(X372="Deck",BQ372&gt;=4)),'Listas suspensas'!$C$21,'Listas suspensas'!$C$22)</f>
        <v>Os resultados da análise química apresentaram uma retenção do produto de acordo com o padrão mínimo exigido pela norma ABNT NBR 16143</v>
      </c>
    </row>
    <row r="373" spans="2:70" x14ac:dyDescent="0.25">
      <c r="B373" s="8" t="s">
        <v>962</v>
      </c>
      <c r="C373" s="8" t="s">
        <v>71</v>
      </c>
      <c r="F373" s="11">
        <v>45924</v>
      </c>
      <c r="G373" s="11">
        <v>45925</v>
      </c>
      <c r="H373" s="11">
        <v>45933</v>
      </c>
      <c r="I373" s="8" t="s">
        <v>884</v>
      </c>
      <c r="J373" s="8" t="s">
        <v>963</v>
      </c>
      <c r="K373" s="8" t="s">
        <v>144</v>
      </c>
      <c r="L373" s="8" t="s">
        <v>15</v>
      </c>
      <c r="M373" s="30" t="s">
        <v>885</v>
      </c>
      <c r="N373" s="8" t="s">
        <v>75</v>
      </c>
      <c r="O373" s="8" t="s">
        <v>76</v>
      </c>
      <c r="P373" s="28" t="s">
        <v>146</v>
      </c>
      <c r="Q373" s="16" t="s">
        <v>964</v>
      </c>
      <c r="X373" s="8" t="s">
        <v>473</v>
      </c>
      <c r="Y373" s="34">
        <f>IF(X373='Listas suspensas'!$A$21,'Listas suspensas'!$B$23,IF(X373='Listas suspensas'!$A$22,'Listas suspensas'!$B$23,IF(X373='Listas suspensas'!$A$23,'Listas suspensas'!$B$22,IF(X373='Listas suspensas'!$A$26,'Listas suspensas'!$B$22,IF(X373='Listas suspensas'!$A$32,'Listas suspensas'!$B$22,IF(X373='Listas suspensas'!$A$33,'Listas suspensas'!$B$21,IF(X373='Listas suspensas'!$A$24,'Listas suspensas'!$B$22,IF(X373='Listas suspensas'!$A$25,'Listas suspensas'!$B$21,IF(X373='Listas suspensas'!$A$30,'Listas suspensas'!$B$21,"")))))))))</f>
        <v>4</v>
      </c>
      <c r="Z373" s="8" t="s">
        <v>80</v>
      </c>
      <c r="AA373" s="8">
        <v>3</v>
      </c>
      <c r="AB373" s="8" t="str">
        <f>IF(AA373='Listas suspensas'!$A$2,'Listas suspensas'!$B$2,IF(AA373='Listas suspensas'!$A$3,'Listas suspensas'!$B$3,IF(AA373='Listas suspensas'!$A$4,'Listas suspensas'!$B$4,IF(AA373='Listas suspensas'!$A$5,'Listas suspensas'!$B$5,IF(AA373='Listas suspensas'!$A$6,'Listas suspensas'!$B$6,"")))))</f>
        <v xml:space="preserve"> Parcial e regular</v>
      </c>
      <c r="AC373" s="8" t="str">
        <f>IF(AA373='Listas suspensas'!$A$2,'Listas suspensas'!$C$2,IF(AA373='Listas suspensas'!$A$3,'Listas suspensas'!$C$3,IF(AA373='Listas suspensas'!$A$4,'Listas suspensas'!$C$4,IF(AA373='Listas suspensas'!$A$5,'Listas suspensas'!$C$5,IF(AA373='Listas suspensas'!$A$6,'Listas suspensas'!$C$6,"")))))</f>
        <v>Indica a penetração uniforme, mas não total pela extensão do alburno.</v>
      </c>
      <c r="BD373" s="13">
        <v>0.67600000000000005</v>
      </c>
      <c r="BE373" s="18">
        <f t="shared" si="67"/>
        <v>676</v>
      </c>
      <c r="BF373" s="8">
        <v>0.58699999999999997</v>
      </c>
      <c r="BG373" s="8">
        <v>0.216</v>
      </c>
      <c r="BH373" s="8">
        <v>0.371</v>
      </c>
      <c r="BI373" s="13">
        <f t="shared" si="68"/>
        <v>1.1739999999999999</v>
      </c>
      <c r="BJ373" s="14">
        <v>50</v>
      </c>
      <c r="BK373" s="14">
        <v>18.399999999999999</v>
      </c>
      <c r="BL373" s="14">
        <v>31.6</v>
      </c>
      <c r="BM373" s="16">
        <f t="shared" si="69"/>
        <v>100</v>
      </c>
      <c r="BN373" s="21">
        <f t="shared" si="70"/>
        <v>3.97</v>
      </c>
      <c r="BO373" s="21">
        <f t="shared" si="71"/>
        <v>1.46</v>
      </c>
      <c r="BP373" s="21">
        <f t="shared" si="72"/>
        <v>2.5099999999999998</v>
      </c>
      <c r="BQ373" s="14">
        <f t="shared" si="73"/>
        <v>7.94</v>
      </c>
      <c r="BR373" s="22" t="str">
        <f>IF(OR(AND(X373="Mourões", BQ373&gt;=6.5),AND(X373="Postes", BQ373&gt;=9.6),AND(X373="Dormentes", BQ373&gt;=9.6),AND(X373="Estacas - Solo", BQ373&gt;=6.5),AND(X373="Estacas - Suspenso", BQ373&gt;=4),AND(X373="Cruzetas", BQ373&gt;=6.5),AND(X373="Outros - Solo", BQ373&gt;=6.5),AND(X373="Outros - Suspenso",BQ373&gt;=4),AND(X373="Deck",BQ373&gt;=4)),'Listas suspensas'!$C$21,'Listas suspensas'!$C$22)</f>
        <v>Os resultados da análise química apresentaram uma retenção do produto de acordo com o padrão mínimo exigido pela norma ABNT NBR 16143</v>
      </c>
    </row>
    <row r="374" spans="2:70" x14ac:dyDescent="0.25">
      <c r="B374" s="8" t="s">
        <v>965</v>
      </c>
      <c r="C374" s="8" t="s">
        <v>71</v>
      </c>
      <c r="F374" s="11">
        <v>45924</v>
      </c>
      <c r="G374" s="11">
        <v>45925</v>
      </c>
      <c r="H374" s="11">
        <v>45933</v>
      </c>
      <c r="I374" s="8" t="s">
        <v>966</v>
      </c>
      <c r="J374" s="8" t="s">
        <v>967</v>
      </c>
      <c r="K374" s="8" t="s">
        <v>144</v>
      </c>
      <c r="L374" s="8" t="s">
        <v>15</v>
      </c>
      <c r="M374" s="30" t="s">
        <v>968</v>
      </c>
      <c r="N374" s="8" t="s">
        <v>75</v>
      </c>
      <c r="O374" s="8" t="s">
        <v>76</v>
      </c>
      <c r="P374" s="28" t="s">
        <v>77</v>
      </c>
      <c r="Q374" s="16" t="s">
        <v>969</v>
      </c>
      <c r="X374" s="8" t="s">
        <v>98</v>
      </c>
      <c r="Y374" s="34">
        <f>IF(X374='Listas suspensas'!$A$21,'Listas suspensas'!$B$23,IF(X374='Listas suspensas'!$A$22,'Listas suspensas'!$B$23,IF(X374='Listas suspensas'!$A$23,'Listas suspensas'!$B$22,IF(X374='Listas suspensas'!$A$26,'Listas suspensas'!$B$22,IF(X374='Listas suspensas'!$A$32,'Listas suspensas'!$B$22,IF(X374='Listas suspensas'!$A$33,'Listas suspensas'!$B$21,IF(X374='Listas suspensas'!$A$24,'Listas suspensas'!$B$22,IF(X374='Listas suspensas'!$A$25,'Listas suspensas'!$B$21,IF(X374='Listas suspensas'!$A$30,'Listas suspensas'!$B$21,"")))))))))</f>
        <v>9.6</v>
      </c>
      <c r="Z374" s="8" t="s">
        <v>80</v>
      </c>
      <c r="AA374" s="8">
        <v>2</v>
      </c>
      <c r="AB374" s="8" t="str">
        <f>IF(AA374='Listas suspensas'!$A$2,'Listas suspensas'!$B$2,IF(AA374='Listas suspensas'!$A$3,'Listas suspensas'!$B$3,IF(AA374='Listas suspensas'!$A$4,'Listas suspensas'!$B$4,IF(AA374='Listas suspensas'!$A$5,'Listas suspensas'!$B$5,IF(AA374='Listas suspensas'!$A$6,'Listas suspensas'!$B$6,"")))))</f>
        <v>Profunda e irregular</v>
      </c>
      <c r="AC374" s="8" t="str">
        <f>IF(AA374='Listas suspensas'!$A$2,'Listas suspensas'!$C$2,IF(AA374='Listas suspensas'!$A$3,'Listas suspensas'!$C$3,IF(AA374='Listas suspensas'!$A$4,'Listas suspensas'!$C$4,IF(AA374='Listas suspensas'!$A$5,'Listas suspensas'!$C$5,IF(AA374='Listas suspensas'!$A$6,'Listas suspensas'!$C$6,"")))))</f>
        <v>Indica a penetração profunda, mas desuniforme em toda a extensão do alburno.</v>
      </c>
      <c r="BD374" s="13">
        <v>0.82099999999999995</v>
      </c>
      <c r="BE374" s="18">
        <f t="shared" si="67"/>
        <v>821</v>
      </c>
      <c r="BF374" s="8">
        <v>0.36099999999999999</v>
      </c>
      <c r="BG374" s="8">
        <v>0.191</v>
      </c>
      <c r="BH374" s="8">
        <v>0.38100000000000001</v>
      </c>
      <c r="BI374" s="13">
        <f t="shared" si="68"/>
        <v>0.93300000000000005</v>
      </c>
      <c r="BJ374" s="14">
        <v>38.700000000000003</v>
      </c>
      <c r="BK374" s="14">
        <v>20.5</v>
      </c>
      <c r="BL374" s="14">
        <v>40.799999999999997</v>
      </c>
      <c r="BM374" s="16">
        <f t="shared" si="69"/>
        <v>100</v>
      </c>
      <c r="BN374" s="21">
        <f t="shared" si="70"/>
        <v>2.96</v>
      </c>
      <c r="BO374" s="21">
        <f t="shared" si="71"/>
        <v>1.57</v>
      </c>
      <c r="BP374" s="21">
        <f t="shared" si="72"/>
        <v>3.13</v>
      </c>
      <c r="BQ374" s="14">
        <f t="shared" si="73"/>
        <v>7.66</v>
      </c>
      <c r="BR374" s="22" t="str">
        <f>IF(OR(AND(X374="Mourões", BQ374&gt;=6.5),AND(X374="Postes", BQ374&gt;=9.6),AND(X374="Dormentes", BQ374&gt;=9.6),AND(X374="Estacas - Solo", BQ374&gt;=6.5),AND(X374="Estacas - Suspenso", BQ374&gt;=4),AND(X374="Cruzetas", BQ374&gt;=6.5),AND(X374="Outros - Solo", BQ374&gt;=6.5),AND(X374="Outros - Suspenso",BQ374&gt;=4),AND(X374="Deck",BQ374&gt;=4)),'Listas suspensas'!$C$21,'Listas suspensas'!$C$22)</f>
        <v>Os resultados da análise química apresentaram uma retenção do produto inferior ao padrão mínimo exigido pela norma ABNT NBR 16143</v>
      </c>
    </row>
    <row r="375" spans="2:70" x14ac:dyDescent="0.25">
      <c r="B375" s="8" t="s">
        <v>970</v>
      </c>
      <c r="C375" s="8" t="s">
        <v>71</v>
      </c>
      <c r="F375" s="11">
        <v>45924</v>
      </c>
      <c r="G375" s="11">
        <v>45925</v>
      </c>
      <c r="H375" s="11">
        <v>45933</v>
      </c>
      <c r="I375" s="8" t="s">
        <v>971</v>
      </c>
      <c r="J375" s="8" t="s">
        <v>972</v>
      </c>
      <c r="K375" s="8" t="s">
        <v>144</v>
      </c>
      <c r="L375" s="8" t="s">
        <v>15</v>
      </c>
      <c r="M375" s="30" t="s">
        <v>973</v>
      </c>
      <c r="N375" s="8" t="s">
        <v>75</v>
      </c>
      <c r="O375" s="8" t="s">
        <v>76</v>
      </c>
      <c r="P375" s="28" t="s">
        <v>77</v>
      </c>
      <c r="Q375" s="16" t="s">
        <v>974</v>
      </c>
      <c r="X375" s="8" t="s">
        <v>101</v>
      </c>
      <c r="Y375" s="34">
        <f>IF(X375='Listas suspensas'!$A$21,'Listas suspensas'!$B$23,IF(X375='Listas suspensas'!$A$22,'Listas suspensas'!$B$23,IF(X375='Listas suspensas'!$A$23,'Listas suspensas'!$B$22,IF(X375='Listas suspensas'!$A$26,'Listas suspensas'!$B$22,IF(X375='Listas suspensas'!$A$32,'Listas suspensas'!$B$22,IF(X375='Listas suspensas'!$A$33,'Listas suspensas'!$B$21,IF(X375='Listas suspensas'!$A$24,'Listas suspensas'!$B$22,IF(X375='Listas suspensas'!$A$25,'Listas suspensas'!$B$21,IF(X375='Listas suspensas'!$A$30,'Listas suspensas'!$B$21,"")))))))))</f>
        <v>6.5</v>
      </c>
      <c r="Z375" s="8" t="s">
        <v>80</v>
      </c>
      <c r="AA375" s="8">
        <v>2</v>
      </c>
      <c r="AB375" s="8" t="str">
        <f>IF(AA375='Listas suspensas'!$A$2,'Listas suspensas'!$B$2,IF(AA375='Listas suspensas'!$A$3,'Listas suspensas'!$B$3,IF(AA375='Listas suspensas'!$A$4,'Listas suspensas'!$B$4,IF(AA375='Listas suspensas'!$A$5,'Listas suspensas'!$B$5,IF(AA375='Listas suspensas'!$A$6,'Listas suspensas'!$B$6,"")))))</f>
        <v>Profunda e irregular</v>
      </c>
      <c r="AC375" s="8" t="str">
        <f>IF(AA375='Listas suspensas'!$A$2,'Listas suspensas'!$C$2,IF(AA375='Listas suspensas'!$A$3,'Listas suspensas'!$C$3,IF(AA375='Listas suspensas'!$A$4,'Listas suspensas'!$C$4,IF(AA375='Listas suspensas'!$A$5,'Listas suspensas'!$C$5,IF(AA375='Listas suspensas'!$A$6,'Listas suspensas'!$C$6,"")))))</f>
        <v>Indica a penetração profunda, mas desuniforme em toda a extensão do alburno.</v>
      </c>
      <c r="BD375" s="13">
        <v>0.52500000000000002</v>
      </c>
      <c r="BE375" s="18">
        <f t="shared" si="67"/>
        <v>525</v>
      </c>
      <c r="BF375" s="8">
        <v>0.159</v>
      </c>
      <c r="BG375" s="8">
        <v>5.5E-2</v>
      </c>
      <c r="BH375" s="8">
        <v>9.6000000000000002E-2</v>
      </c>
      <c r="BI375" s="13">
        <f t="shared" si="68"/>
        <v>0.31</v>
      </c>
      <c r="BJ375" s="14">
        <v>51.2</v>
      </c>
      <c r="BK375" s="14">
        <v>17.8</v>
      </c>
      <c r="BL375" s="14">
        <v>31</v>
      </c>
      <c r="BM375" s="16">
        <f t="shared" si="69"/>
        <v>100</v>
      </c>
      <c r="BN375" s="21">
        <f t="shared" si="70"/>
        <v>0.83</v>
      </c>
      <c r="BO375" s="21">
        <f t="shared" si="71"/>
        <v>0.28999999999999998</v>
      </c>
      <c r="BP375" s="21">
        <f t="shared" si="72"/>
        <v>0.5</v>
      </c>
      <c r="BQ375" s="14">
        <f t="shared" si="73"/>
        <v>1.62</v>
      </c>
      <c r="BR375" s="22" t="str">
        <f>IF(OR(AND(X375="Mourões", BQ375&gt;=6.5),AND(X375="Postes", BQ375&gt;=9.6),AND(X375="Dormentes", BQ375&gt;=9.6),AND(X375="Estacas - Solo", BQ375&gt;=6.5),AND(X375="Estacas - Suspenso", BQ375&gt;=4),AND(X375="Cruzetas", BQ375&gt;=6.5),AND(X375="Outros - Solo", BQ375&gt;=6.5),AND(X375="Outros - Suspenso",BQ375&gt;=4),AND(X375="Deck",BQ375&gt;=4)),'Listas suspensas'!$C$21,'Listas suspensas'!$C$22)</f>
        <v>Os resultados da análise química apresentaram uma retenção do produto inferior ao padrão mínimo exigido pela norma ABNT NBR 16143</v>
      </c>
    </row>
    <row r="376" spans="2:70" x14ac:dyDescent="0.25">
      <c r="B376" s="8" t="s">
        <v>975</v>
      </c>
      <c r="C376" s="8" t="s">
        <v>71</v>
      </c>
      <c r="F376" s="11">
        <v>45924</v>
      </c>
      <c r="G376" s="11">
        <v>45925</v>
      </c>
      <c r="H376" s="11">
        <v>45933</v>
      </c>
      <c r="I376" s="8" t="s">
        <v>971</v>
      </c>
      <c r="J376" s="8" t="s">
        <v>972</v>
      </c>
      <c r="K376" s="8" t="s">
        <v>144</v>
      </c>
      <c r="L376" s="8" t="s">
        <v>15</v>
      </c>
      <c r="M376" s="30" t="s">
        <v>973</v>
      </c>
      <c r="N376" s="8" t="s">
        <v>75</v>
      </c>
      <c r="O376" s="8" t="s">
        <v>76</v>
      </c>
      <c r="P376" s="28" t="s">
        <v>77</v>
      </c>
      <c r="Q376" s="16" t="s">
        <v>976</v>
      </c>
      <c r="X376" s="8" t="s">
        <v>101</v>
      </c>
      <c r="Y376" s="34">
        <f>IF(X376='Listas suspensas'!$A$21,'Listas suspensas'!$B$23,IF(X376='Listas suspensas'!$A$22,'Listas suspensas'!$B$23,IF(X376='Listas suspensas'!$A$23,'Listas suspensas'!$B$22,IF(X376='Listas suspensas'!$A$26,'Listas suspensas'!$B$22,IF(X376='Listas suspensas'!$A$32,'Listas suspensas'!$B$22,IF(X376='Listas suspensas'!$A$33,'Listas suspensas'!$B$21,IF(X376='Listas suspensas'!$A$24,'Listas suspensas'!$B$22,IF(X376='Listas suspensas'!$A$25,'Listas suspensas'!$B$21,IF(X376='Listas suspensas'!$A$30,'Listas suspensas'!$B$21,"")))))))))</f>
        <v>6.5</v>
      </c>
      <c r="Z376" s="8" t="s">
        <v>80</v>
      </c>
      <c r="AA376" s="8">
        <v>4</v>
      </c>
      <c r="AB376" s="8" t="str">
        <f>IF(AA376='Listas suspensas'!$A$2,'Listas suspensas'!$B$2,IF(AA376='Listas suspensas'!$A$3,'Listas suspensas'!$B$3,IF(AA376='Listas suspensas'!$A$4,'Listas suspensas'!$B$4,IF(AA376='Listas suspensas'!$A$5,'Listas suspensas'!$B$5,IF(AA376='Listas suspensas'!$A$6,'Listas suspensas'!$B$6,"")))))</f>
        <v>Parcial e irregular</v>
      </c>
      <c r="AC376" s="8" t="str">
        <f>IF(AA376='Listas suspensas'!$A$2,'Listas suspensas'!$C$2,IF(AA376='Listas suspensas'!$A$3,'Listas suspensas'!$C$3,IF(AA376='Listas suspensas'!$A$4,'Listas suspensas'!$C$4,IF(AA376='Listas suspensas'!$A$5,'Listas suspensas'!$C$5,IF(AA376='Listas suspensas'!$A$6,'Listas suspensas'!$C$6,"")))))</f>
        <v>Indica a penetração desuniforme e não total pela extensão do alburno.</v>
      </c>
      <c r="BD376" s="13">
        <v>0.53600000000000003</v>
      </c>
      <c r="BE376" s="18">
        <f t="shared" si="67"/>
        <v>536</v>
      </c>
      <c r="BF376" s="8">
        <v>0.13300000000000001</v>
      </c>
      <c r="BG376" s="8">
        <v>4.3999999999999997E-2</v>
      </c>
      <c r="BH376" s="8">
        <v>5.8999999999999997E-2</v>
      </c>
      <c r="BI376" s="13">
        <f t="shared" si="68"/>
        <v>0.23599999999999999</v>
      </c>
      <c r="BJ376" s="14">
        <v>56.4</v>
      </c>
      <c r="BK376" s="14">
        <v>18.399999999999999</v>
      </c>
      <c r="BL376" s="14">
        <v>25.2</v>
      </c>
      <c r="BM376" s="16">
        <f t="shared" si="69"/>
        <v>100</v>
      </c>
      <c r="BN376" s="21">
        <f t="shared" si="70"/>
        <v>0.71</v>
      </c>
      <c r="BO376" s="21">
        <f t="shared" si="71"/>
        <v>0.24</v>
      </c>
      <c r="BP376" s="21">
        <f t="shared" si="72"/>
        <v>0.32</v>
      </c>
      <c r="BQ376" s="14">
        <f t="shared" si="73"/>
        <v>1.27</v>
      </c>
      <c r="BR376" s="22" t="str">
        <f>IF(OR(AND(X376="Mourões", BQ376&gt;=6.5),AND(X376="Postes", BQ376&gt;=9.6),AND(X376="Dormentes", BQ376&gt;=9.6),AND(X376="Estacas - Solo", BQ376&gt;=6.5),AND(X376="Estacas - Suspenso", BQ376&gt;=4),AND(X376="Cruzetas", BQ376&gt;=6.5),AND(X376="Outros - Solo", BQ376&gt;=6.5),AND(X376="Outros - Suspenso",BQ376&gt;=4),AND(X376="Deck",BQ376&gt;=4)),'Listas suspensas'!$C$21,'Listas suspensas'!$C$22)</f>
        <v>Os resultados da análise química apresentaram uma retenção do produto inferior ao padrão mínimo exigido pela norma ABNT NBR 16143</v>
      </c>
    </row>
    <row r="377" spans="2:70" x14ac:dyDescent="0.25">
      <c r="B377" s="8" t="s">
        <v>977</v>
      </c>
      <c r="C377" s="8" t="s">
        <v>71</v>
      </c>
      <c r="F377" s="11">
        <v>45924</v>
      </c>
      <c r="G377" s="11">
        <v>45925</v>
      </c>
      <c r="H377" s="11">
        <v>45933</v>
      </c>
      <c r="I377" s="8" t="s">
        <v>971</v>
      </c>
      <c r="J377" s="8" t="s">
        <v>972</v>
      </c>
      <c r="K377" s="8" t="s">
        <v>144</v>
      </c>
      <c r="L377" s="8" t="s">
        <v>15</v>
      </c>
      <c r="M377" s="30" t="s">
        <v>973</v>
      </c>
      <c r="N377" s="8" t="s">
        <v>75</v>
      </c>
      <c r="O377" s="8" t="s">
        <v>76</v>
      </c>
      <c r="P377" s="28" t="s">
        <v>77</v>
      </c>
      <c r="Q377" s="16" t="s">
        <v>978</v>
      </c>
      <c r="X377" s="8" t="s">
        <v>101</v>
      </c>
      <c r="Y377" s="34">
        <f>IF(X377='Listas suspensas'!$A$21,'Listas suspensas'!$B$23,IF(X377='Listas suspensas'!$A$22,'Listas suspensas'!$B$23,IF(X377='Listas suspensas'!$A$23,'Listas suspensas'!$B$22,IF(X377='Listas suspensas'!$A$26,'Listas suspensas'!$B$22,IF(X377='Listas suspensas'!$A$32,'Listas suspensas'!$B$22,IF(X377='Listas suspensas'!$A$33,'Listas suspensas'!$B$21,IF(X377='Listas suspensas'!$A$24,'Listas suspensas'!$B$22,IF(X377='Listas suspensas'!$A$25,'Listas suspensas'!$B$21,IF(X377='Listas suspensas'!$A$30,'Listas suspensas'!$B$21,"")))))))))</f>
        <v>6.5</v>
      </c>
      <c r="Z377" s="8" t="s">
        <v>80</v>
      </c>
      <c r="AA377" s="8">
        <v>2</v>
      </c>
      <c r="AB377" s="8" t="str">
        <f>IF(AA377='Listas suspensas'!$A$2,'Listas suspensas'!$B$2,IF(AA377='Listas suspensas'!$A$3,'Listas suspensas'!$B$3,IF(AA377='Listas suspensas'!$A$4,'Listas suspensas'!$B$4,IF(AA377='Listas suspensas'!$A$5,'Listas suspensas'!$B$5,IF(AA377='Listas suspensas'!$A$6,'Listas suspensas'!$B$6,"")))))</f>
        <v>Profunda e irregular</v>
      </c>
      <c r="AC377" s="8" t="str">
        <f>IF(AA377='Listas suspensas'!$A$2,'Listas suspensas'!$C$2,IF(AA377='Listas suspensas'!$A$3,'Listas suspensas'!$C$3,IF(AA377='Listas suspensas'!$A$4,'Listas suspensas'!$C$4,IF(AA377='Listas suspensas'!$A$5,'Listas suspensas'!$C$5,IF(AA377='Listas suspensas'!$A$6,'Listas suspensas'!$C$6,"")))))</f>
        <v>Indica a penetração profunda, mas desuniforme em toda a extensão do alburno.</v>
      </c>
      <c r="BD377" s="13">
        <v>0.55700000000000005</v>
      </c>
      <c r="BE377" s="18">
        <f t="shared" ref="BE377:BE439" si="74">BD377*1000</f>
        <v>557</v>
      </c>
      <c r="BF377" s="8">
        <v>0.13</v>
      </c>
      <c r="BG377" s="8">
        <v>4.3999999999999997E-2</v>
      </c>
      <c r="BH377" s="8">
        <v>6.3E-2</v>
      </c>
      <c r="BI377" s="13">
        <f t="shared" si="68"/>
        <v>0.23699999999999999</v>
      </c>
      <c r="BJ377" s="14">
        <v>54.9</v>
      </c>
      <c r="BK377" s="14">
        <v>18.7</v>
      </c>
      <c r="BL377" s="14">
        <v>26.4</v>
      </c>
      <c r="BM377" s="16">
        <f t="shared" si="69"/>
        <v>100</v>
      </c>
      <c r="BN377" s="21">
        <f t="shared" si="70"/>
        <v>0.72</v>
      </c>
      <c r="BO377" s="21">
        <f t="shared" si="71"/>
        <v>0.25</v>
      </c>
      <c r="BP377" s="21">
        <f t="shared" si="72"/>
        <v>0.35</v>
      </c>
      <c r="BQ377" s="14">
        <f t="shared" si="73"/>
        <v>1.32</v>
      </c>
      <c r="BR377" s="22" t="str">
        <f>IF(OR(AND(X377="Mourões", BQ377&gt;=6.5),AND(X377="Postes", BQ377&gt;=9.6),AND(X377="Dormentes", BQ377&gt;=9.6),AND(X377="Estacas - Solo", BQ377&gt;=6.5),AND(X377="Estacas - Suspenso", BQ377&gt;=4),AND(X377="Cruzetas", BQ377&gt;=6.5),AND(X377="Outros - Solo", BQ377&gt;=6.5),AND(X377="Outros - Suspenso",BQ377&gt;=4),AND(X377="Deck",BQ377&gt;=4)),'Listas suspensas'!$C$21,'Listas suspensas'!$C$22)</f>
        <v>Os resultados da análise química apresentaram uma retenção do produto inferior ao padrão mínimo exigido pela norma ABNT NBR 16143</v>
      </c>
    </row>
    <row r="378" spans="2:70" x14ac:dyDescent="0.25">
      <c r="B378" s="8" t="s">
        <v>979</v>
      </c>
      <c r="C378" s="8" t="s">
        <v>71</v>
      </c>
      <c r="F378" s="11">
        <v>45924</v>
      </c>
      <c r="G378" s="11">
        <v>45925</v>
      </c>
      <c r="H378" s="11">
        <v>45933</v>
      </c>
      <c r="I378" s="8" t="s">
        <v>980</v>
      </c>
      <c r="J378" s="8" t="s">
        <v>981</v>
      </c>
      <c r="K378" s="8" t="s">
        <v>74</v>
      </c>
      <c r="L378" s="8" t="s">
        <v>15</v>
      </c>
      <c r="M378" s="30" t="s">
        <v>982</v>
      </c>
      <c r="N378" s="8" t="s">
        <v>75</v>
      </c>
      <c r="O378" s="8" t="s">
        <v>76</v>
      </c>
      <c r="P378" s="28" t="s">
        <v>77</v>
      </c>
      <c r="Q378" s="16" t="s">
        <v>983</v>
      </c>
      <c r="X378" s="8" t="s">
        <v>79</v>
      </c>
      <c r="Y378" s="34">
        <f>IF(X378='Listas suspensas'!$A$21,'Listas suspensas'!$B$23,IF(X378='Listas suspensas'!$A$22,'Listas suspensas'!$B$23,IF(X378='Listas suspensas'!$A$23,'Listas suspensas'!$B$22,IF(X378='Listas suspensas'!$A$26,'Listas suspensas'!$B$22,IF(X378='Listas suspensas'!$A$32,'Listas suspensas'!$B$22,IF(X378='Listas suspensas'!$A$33,'Listas suspensas'!$B$21,IF(X378='Listas suspensas'!$A$24,'Listas suspensas'!$B$22,IF(X378='Listas suspensas'!$A$25,'Listas suspensas'!$B$21,IF(X378='Listas suspensas'!$A$30,'Listas suspensas'!$B$21,"")))))))))</f>
        <v>6.5</v>
      </c>
      <c r="Z378" s="8" t="s">
        <v>80</v>
      </c>
      <c r="AA378" s="8">
        <v>2</v>
      </c>
      <c r="AB378" s="8" t="str">
        <f>IF(AA378='Listas suspensas'!$A$2,'Listas suspensas'!$B$2,IF(AA378='Listas suspensas'!$A$3,'Listas suspensas'!$B$3,IF(AA378='Listas suspensas'!$A$4,'Listas suspensas'!$B$4,IF(AA378='Listas suspensas'!$A$5,'Listas suspensas'!$B$5,IF(AA378='Listas suspensas'!$A$6,'Listas suspensas'!$B$6,"")))))</f>
        <v>Profunda e irregular</v>
      </c>
      <c r="AC378" s="8" t="str">
        <f>IF(AA378='Listas suspensas'!$A$2,'Listas suspensas'!$C$2,IF(AA378='Listas suspensas'!$A$3,'Listas suspensas'!$C$3,IF(AA378='Listas suspensas'!$A$4,'Listas suspensas'!$C$4,IF(AA378='Listas suspensas'!$A$5,'Listas suspensas'!$C$5,IF(AA378='Listas suspensas'!$A$6,'Listas suspensas'!$C$6,"")))))</f>
        <v>Indica a penetração profunda, mas desuniforme em toda a extensão do alburno.</v>
      </c>
      <c r="BD378" s="13">
        <v>0.85799999999999998</v>
      </c>
      <c r="BE378" s="18">
        <f t="shared" si="74"/>
        <v>858</v>
      </c>
      <c r="BF378" s="8">
        <v>0.30099999999999999</v>
      </c>
      <c r="BG378" s="8">
        <v>0.16800000000000001</v>
      </c>
      <c r="BH378" s="8">
        <v>0.33200000000000002</v>
      </c>
      <c r="BI378" s="13">
        <f t="shared" si="68"/>
        <v>0.80099999999999993</v>
      </c>
      <c r="BJ378" s="14">
        <v>37.5</v>
      </c>
      <c r="BK378" s="14">
        <v>21</v>
      </c>
      <c r="BL378" s="14">
        <v>41.5</v>
      </c>
      <c r="BM378" s="16">
        <f t="shared" si="69"/>
        <v>100</v>
      </c>
      <c r="BN378" s="21">
        <f t="shared" si="70"/>
        <v>2.58</v>
      </c>
      <c r="BO378" s="21">
        <f t="shared" si="71"/>
        <v>1.44</v>
      </c>
      <c r="BP378" s="21">
        <f t="shared" si="72"/>
        <v>2.85</v>
      </c>
      <c r="BQ378" s="14">
        <f t="shared" si="73"/>
        <v>6.87</v>
      </c>
      <c r="BR378" s="22" t="str">
        <f>IF(OR(AND(X378="Mourões", BQ378&gt;=6.5),AND(X378="Postes", BQ378&gt;=9.6),AND(X378="Dormentes", BQ378&gt;=9.6),AND(X378="Estacas - Solo", BQ378&gt;=6.5),AND(X378="Estacas - Suspenso", BQ378&gt;=4),AND(X378="Cruzetas", BQ378&gt;=6.5),AND(X378="Outros - Solo", BQ378&gt;=6.5),AND(X378="Outros - Suspenso",BQ378&gt;=4),AND(X378="Deck",BQ378&gt;=4)),'Listas suspensas'!$C$21,'Listas suspensas'!$C$22)</f>
        <v>Os resultados da análise química apresentaram uma retenção do produto de acordo com o padrão mínimo exigido pela norma ABNT NBR 16143</v>
      </c>
    </row>
    <row r="379" spans="2:70" x14ac:dyDescent="0.25">
      <c r="B379" s="8" t="s">
        <v>984</v>
      </c>
      <c r="C379" s="8" t="s">
        <v>71</v>
      </c>
      <c r="F379" s="11">
        <v>45924</v>
      </c>
      <c r="G379" s="11">
        <v>45925</v>
      </c>
      <c r="H379" s="11">
        <v>45933</v>
      </c>
      <c r="I379" s="8" t="s">
        <v>926</v>
      </c>
      <c r="J379" s="8" t="s">
        <v>927</v>
      </c>
      <c r="K379" s="8" t="s">
        <v>144</v>
      </c>
      <c r="L379" s="8" t="s">
        <v>15</v>
      </c>
      <c r="N379" s="8" t="s">
        <v>75</v>
      </c>
      <c r="O379" s="8" t="s">
        <v>76</v>
      </c>
      <c r="P379" s="28" t="s">
        <v>146</v>
      </c>
      <c r="Q379" s="16" t="s">
        <v>146</v>
      </c>
      <c r="X379" s="8" t="s">
        <v>79</v>
      </c>
      <c r="Y379" s="34">
        <f>IF(X379='Listas suspensas'!$A$21,'Listas suspensas'!$B$23,IF(X379='Listas suspensas'!$A$22,'Listas suspensas'!$B$23,IF(X379='Listas suspensas'!$A$23,'Listas suspensas'!$B$22,IF(X379='Listas suspensas'!$A$26,'Listas suspensas'!$B$22,IF(X379='Listas suspensas'!$A$32,'Listas suspensas'!$B$22,IF(X379='Listas suspensas'!$A$33,'Listas suspensas'!$B$21,IF(X379='Listas suspensas'!$A$24,'Listas suspensas'!$B$22,IF(X379='Listas suspensas'!$A$25,'Listas suspensas'!$B$21,IF(X379='Listas suspensas'!$A$30,'Listas suspensas'!$B$21,"")))))))))</f>
        <v>6.5</v>
      </c>
      <c r="Z379" s="8" t="s">
        <v>80</v>
      </c>
      <c r="AA379" s="8">
        <v>1</v>
      </c>
      <c r="AB379" s="8" t="str">
        <f>IF(AA379='Listas suspensas'!$A$2,'Listas suspensas'!$B$2,IF(AA379='Listas suspensas'!$A$3,'Listas suspensas'!$B$3,IF(AA379='Listas suspensas'!$A$4,'Listas suspensas'!$B$4,IF(AA379='Listas suspensas'!$A$5,'Listas suspensas'!$B$5,IF(AA379='Listas suspensas'!$A$6,'Listas suspensas'!$B$6,"")))))</f>
        <v>Profunda e regular</v>
      </c>
      <c r="AC379" s="8" t="str">
        <f>IF(AA379='Listas suspensas'!$A$2,'Listas suspensas'!$C$2,IF(AA379='Listas suspensas'!$A$3,'Listas suspensas'!$C$3,IF(AA379='Listas suspensas'!$A$4,'Listas suspensas'!$C$4,IF(AA379='Listas suspensas'!$A$5,'Listas suspensas'!$C$5,IF(AA379='Listas suspensas'!$A$6,'Listas suspensas'!$C$6,"")))))</f>
        <v>Indica a penetração profunda e uniforme em toda a extensão do alburno.</v>
      </c>
      <c r="BD379" s="13">
        <v>0.436</v>
      </c>
      <c r="BE379" s="18">
        <f t="shared" si="74"/>
        <v>436</v>
      </c>
      <c r="BF379" s="8">
        <v>1.4490000000000001</v>
      </c>
      <c r="BG379" s="8">
        <v>0.27800000000000002</v>
      </c>
      <c r="BH379" s="8">
        <v>0.79700000000000004</v>
      </c>
      <c r="BI379" s="13">
        <f t="shared" si="68"/>
        <v>2.524</v>
      </c>
      <c r="BJ379" s="14">
        <v>57.4</v>
      </c>
      <c r="BK379" s="14">
        <v>11</v>
      </c>
      <c r="BL379" s="14">
        <v>31.6</v>
      </c>
      <c r="BM379" s="16">
        <f t="shared" si="69"/>
        <v>100</v>
      </c>
      <c r="BN379" s="21">
        <f t="shared" si="70"/>
        <v>6.32</v>
      </c>
      <c r="BO379" s="21">
        <f t="shared" si="71"/>
        <v>1.21</v>
      </c>
      <c r="BP379" s="21">
        <f t="shared" si="72"/>
        <v>3.47</v>
      </c>
      <c r="BQ379" s="14">
        <f t="shared" si="73"/>
        <v>11</v>
      </c>
      <c r="BR379" s="22" t="str">
        <f>IF(OR(AND(X379="Mourões", BQ379&gt;=6.5),AND(X379="Postes", BQ379&gt;=9.6),AND(X379="Dormentes", BQ379&gt;=9.6),AND(X379="Estacas - Solo", BQ379&gt;=6.5),AND(X379="Estacas - Suspenso", BQ379&gt;=4),AND(X379="Cruzetas", BQ379&gt;=6.5),AND(X379="Outros - Solo", BQ379&gt;=6.5),AND(X379="Outros - Suspenso",BQ379&gt;=4),AND(X379="Deck",BQ379&gt;=4)),'Listas suspensas'!$C$21,'Listas suspensas'!$C$22)</f>
        <v>Os resultados da análise química apresentaram uma retenção do produto de acordo com o padrão mínimo exigido pela norma ABNT NBR 16143</v>
      </c>
    </row>
    <row r="380" spans="2:70" x14ac:dyDescent="0.25">
      <c r="B380" s="8" t="s">
        <v>985</v>
      </c>
      <c r="C380" s="8" t="s">
        <v>71</v>
      </c>
      <c r="F380" s="11">
        <v>45924</v>
      </c>
      <c r="G380" s="11">
        <v>45925</v>
      </c>
      <c r="H380" s="11">
        <v>45933</v>
      </c>
      <c r="I380" s="8" t="s">
        <v>986</v>
      </c>
      <c r="J380" s="8" t="s">
        <v>987</v>
      </c>
      <c r="K380" s="8" t="s">
        <v>144</v>
      </c>
      <c r="L380" s="8" t="s">
        <v>15</v>
      </c>
      <c r="M380" s="30" t="s">
        <v>988</v>
      </c>
      <c r="N380" s="8" t="s">
        <v>75</v>
      </c>
      <c r="O380" s="8" t="s">
        <v>76</v>
      </c>
      <c r="P380" s="28" t="s">
        <v>77</v>
      </c>
      <c r="Q380" s="16" t="s">
        <v>989</v>
      </c>
      <c r="X380" s="8" t="s">
        <v>98</v>
      </c>
      <c r="Y380" s="34">
        <f>IF(X380='Listas suspensas'!$A$21,'Listas suspensas'!$B$23,IF(X380='Listas suspensas'!$A$22,'Listas suspensas'!$B$23,IF(X380='Listas suspensas'!$A$23,'Listas suspensas'!$B$22,IF(X380='Listas suspensas'!$A$26,'Listas suspensas'!$B$22,IF(X380='Listas suspensas'!$A$32,'Listas suspensas'!$B$22,IF(X380='Listas suspensas'!$A$33,'Listas suspensas'!$B$21,IF(X380='Listas suspensas'!$A$24,'Listas suspensas'!$B$22,IF(X380='Listas suspensas'!$A$25,'Listas suspensas'!$B$21,IF(X380='Listas suspensas'!$A$30,'Listas suspensas'!$B$21,"")))))))))</f>
        <v>9.6</v>
      </c>
      <c r="Z380" s="8" t="s">
        <v>80</v>
      </c>
      <c r="AA380" s="8">
        <v>2</v>
      </c>
      <c r="AB380" s="8" t="str">
        <f>IF(AA380='Listas suspensas'!$A$2,'Listas suspensas'!$B$2,IF(AA380='Listas suspensas'!$A$3,'Listas suspensas'!$B$3,IF(AA380='Listas suspensas'!$A$4,'Listas suspensas'!$B$4,IF(AA380='Listas suspensas'!$A$5,'Listas suspensas'!$B$5,IF(AA380='Listas suspensas'!$A$6,'Listas suspensas'!$B$6,"")))))</f>
        <v>Profunda e irregular</v>
      </c>
      <c r="AC380" s="8" t="str">
        <f>IF(AA380='Listas suspensas'!$A$2,'Listas suspensas'!$C$2,IF(AA380='Listas suspensas'!$A$3,'Listas suspensas'!$C$3,IF(AA380='Listas suspensas'!$A$4,'Listas suspensas'!$C$4,IF(AA380='Listas suspensas'!$A$5,'Listas suspensas'!$C$5,IF(AA380='Listas suspensas'!$A$6,'Listas suspensas'!$C$6,"")))))</f>
        <v>Indica a penetração profunda, mas desuniforme em toda a extensão do alburno.</v>
      </c>
      <c r="BD380" s="13">
        <v>0.66500000000000004</v>
      </c>
      <c r="BE380" s="18">
        <f t="shared" si="74"/>
        <v>665</v>
      </c>
      <c r="BF380" s="8">
        <v>0.69699999999999995</v>
      </c>
      <c r="BG380" s="8">
        <v>0.28999999999999998</v>
      </c>
      <c r="BH380" s="8">
        <v>0.60499999999999998</v>
      </c>
      <c r="BI380" s="13">
        <f t="shared" si="68"/>
        <v>1.5919999999999999</v>
      </c>
      <c r="BJ380" s="14">
        <v>43.7</v>
      </c>
      <c r="BK380" s="14">
        <v>18.2</v>
      </c>
      <c r="BL380" s="14">
        <v>38.1</v>
      </c>
      <c r="BM380" s="16">
        <f t="shared" si="69"/>
        <v>100</v>
      </c>
      <c r="BN380" s="21">
        <f t="shared" si="70"/>
        <v>4.6399999999999997</v>
      </c>
      <c r="BO380" s="21">
        <f t="shared" si="71"/>
        <v>1.93</v>
      </c>
      <c r="BP380" s="21">
        <f t="shared" si="72"/>
        <v>4.0199999999999996</v>
      </c>
      <c r="BQ380" s="14">
        <f t="shared" si="73"/>
        <v>10.59</v>
      </c>
      <c r="BR380" s="22" t="str">
        <f>IF(OR(AND(X380="Mourões", BQ380&gt;=6.5),AND(X380="Postes", BQ380&gt;=9.6),AND(X380="Dormentes", BQ380&gt;=9.6),AND(X380="Estacas - Solo", BQ380&gt;=6.5),AND(X380="Estacas - Suspenso", BQ380&gt;=4),AND(X380="Cruzetas", BQ380&gt;=6.5),AND(X380="Outros - Solo", BQ380&gt;=6.5),AND(X380="Outros - Suspenso",BQ380&gt;=4),AND(X380="Deck",BQ380&gt;=4)),'Listas suspensas'!$C$21,'Listas suspensas'!$C$22)</f>
        <v>Os resultados da análise química apresentaram uma retenção do produto de acordo com o padrão mínimo exigido pela norma ABNT NBR 16143</v>
      </c>
    </row>
    <row r="381" spans="2:70" x14ac:dyDescent="0.25">
      <c r="B381" s="8" t="s">
        <v>990</v>
      </c>
      <c r="C381" s="8" t="s">
        <v>71</v>
      </c>
      <c r="F381" s="11">
        <v>45924</v>
      </c>
      <c r="G381" s="11">
        <v>45925</v>
      </c>
      <c r="H381" s="11">
        <v>45933</v>
      </c>
      <c r="I381" s="8" t="s">
        <v>986</v>
      </c>
      <c r="J381" s="8" t="s">
        <v>987</v>
      </c>
      <c r="K381" s="8" t="s">
        <v>144</v>
      </c>
      <c r="L381" s="8" t="s">
        <v>15</v>
      </c>
      <c r="M381" s="30" t="s">
        <v>988</v>
      </c>
      <c r="N381" s="8" t="s">
        <v>75</v>
      </c>
      <c r="O381" s="8" t="s">
        <v>104</v>
      </c>
      <c r="P381" s="28" t="s">
        <v>471</v>
      </c>
      <c r="Q381" s="16" t="s">
        <v>991</v>
      </c>
      <c r="X381" s="8" t="s">
        <v>473</v>
      </c>
      <c r="Y381" s="34">
        <f>IF(X381='Listas suspensas'!$A$21,'Listas suspensas'!$B$23,IF(X381='Listas suspensas'!$A$22,'Listas suspensas'!$B$23,IF(X381='Listas suspensas'!$A$23,'Listas suspensas'!$B$22,IF(X381='Listas suspensas'!$A$26,'Listas suspensas'!$B$22,IF(X381='Listas suspensas'!$A$32,'Listas suspensas'!$B$22,IF(X381='Listas suspensas'!$A$33,'Listas suspensas'!$B$21,IF(X381='Listas suspensas'!$A$24,'Listas suspensas'!$B$22,IF(X381='Listas suspensas'!$A$25,'Listas suspensas'!$B$21,IF(X381='Listas suspensas'!$A$30,'Listas suspensas'!$B$21,"")))))))))</f>
        <v>4</v>
      </c>
      <c r="Z381" s="8" t="s">
        <v>80</v>
      </c>
      <c r="AA381" s="8">
        <v>1</v>
      </c>
      <c r="AB381" s="8" t="str">
        <f>IF(AA381='Listas suspensas'!$A$2,'Listas suspensas'!$B$2,IF(AA381='Listas suspensas'!$A$3,'Listas suspensas'!$B$3,IF(AA381='Listas suspensas'!$A$4,'Listas suspensas'!$B$4,IF(AA381='Listas suspensas'!$A$5,'Listas suspensas'!$B$5,IF(AA381='Listas suspensas'!$A$6,'Listas suspensas'!$B$6,"")))))</f>
        <v>Profunda e regular</v>
      </c>
      <c r="AC381" s="8" t="str">
        <f>IF(AA381='Listas suspensas'!$A$2,'Listas suspensas'!$C$2,IF(AA381='Listas suspensas'!$A$3,'Listas suspensas'!$C$3,IF(AA381='Listas suspensas'!$A$4,'Listas suspensas'!$C$4,IF(AA381='Listas suspensas'!$A$5,'Listas suspensas'!$C$5,IF(AA381='Listas suspensas'!$A$6,'Listas suspensas'!$C$6,"")))))</f>
        <v>Indica a penetração profunda e uniforme em toda a extensão do alburno.</v>
      </c>
      <c r="BD381" s="13">
        <v>0.61399999999999999</v>
      </c>
      <c r="BE381" s="18">
        <f t="shared" si="74"/>
        <v>614</v>
      </c>
      <c r="BF381" s="8">
        <v>0.496</v>
      </c>
      <c r="BG381" s="8">
        <v>0.23100000000000001</v>
      </c>
      <c r="BH381" s="8">
        <v>0.53400000000000003</v>
      </c>
      <c r="BI381" s="13">
        <f t="shared" si="68"/>
        <v>1.2610000000000001</v>
      </c>
      <c r="BJ381" s="14">
        <v>39.299999999999997</v>
      </c>
      <c r="BK381" s="14">
        <v>18.3</v>
      </c>
      <c r="BL381" s="14">
        <v>42.4</v>
      </c>
      <c r="BM381" s="16">
        <f t="shared" si="69"/>
        <v>100</v>
      </c>
      <c r="BN381" s="21">
        <f t="shared" si="70"/>
        <v>3.05</v>
      </c>
      <c r="BO381" s="21">
        <f t="shared" si="71"/>
        <v>1.42</v>
      </c>
      <c r="BP381" s="21">
        <f t="shared" si="72"/>
        <v>3.28</v>
      </c>
      <c r="BQ381" s="14">
        <f t="shared" si="73"/>
        <v>7.75</v>
      </c>
      <c r="BR381" s="22" t="str">
        <f>IF(OR(AND(X381="Mourões", BQ381&gt;=6.5),AND(X381="Postes", BQ381&gt;=9.6),AND(X381="Dormentes", BQ381&gt;=9.6),AND(X381="Estacas - Solo", BQ381&gt;=6.5),AND(X381="Estacas - Suspenso", BQ381&gt;=4),AND(X381="Cruzetas", BQ381&gt;=6.5),AND(X381="Outros - Solo", BQ381&gt;=6.5),AND(X381="Outros - Suspenso",BQ381&gt;=4),AND(X381="Deck",BQ381&gt;=4)),'Listas suspensas'!$C$21,'Listas suspensas'!$C$22)</f>
        <v>Os resultados da análise química apresentaram uma retenção do produto de acordo com o padrão mínimo exigido pela norma ABNT NBR 16143</v>
      </c>
    </row>
    <row r="382" spans="2:70" x14ac:dyDescent="0.25">
      <c r="B382" s="8" t="s">
        <v>992</v>
      </c>
      <c r="C382" s="8" t="s">
        <v>71</v>
      </c>
      <c r="F382" s="11">
        <v>45926</v>
      </c>
      <c r="G382" s="11">
        <v>45926</v>
      </c>
      <c r="H382" s="11">
        <v>45933</v>
      </c>
      <c r="I382" s="8" t="s">
        <v>241</v>
      </c>
      <c r="J382" s="8" t="s">
        <v>242</v>
      </c>
      <c r="K382" s="8" t="s">
        <v>243</v>
      </c>
      <c r="L382" s="8" t="s">
        <v>15</v>
      </c>
      <c r="M382" s="30" t="s">
        <v>361</v>
      </c>
      <c r="N382" s="8" t="s">
        <v>75</v>
      </c>
      <c r="O382" s="8" t="s">
        <v>94</v>
      </c>
      <c r="P382" s="28" t="s">
        <v>77</v>
      </c>
      <c r="Q382" s="16" t="s">
        <v>993</v>
      </c>
      <c r="X382" s="8" t="s">
        <v>994</v>
      </c>
      <c r="Y382" s="34">
        <f>IF(X382='Listas suspensas'!$A$21,'Listas suspensas'!$B$23,IF(X382='Listas suspensas'!$A$22,'Listas suspensas'!$B$23,IF(X382='Listas suspensas'!$A$23,'Listas suspensas'!$B$22,IF(X382='Listas suspensas'!$A$26,'Listas suspensas'!$B$22,IF(X382='Listas suspensas'!$A$32,'Listas suspensas'!$B$22,IF(X382='Listas suspensas'!$A$33,'Listas suspensas'!$B$21,IF(X382='Listas suspensas'!$A$24,'Listas suspensas'!$B$22,IF(X382='Listas suspensas'!$A$25,'Listas suspensas'!$B$21,IF(X382='Listas suspensas'!$A$30,'Listas suspensas'!$B$21,"")))))))))</f>
        <v>4</v>
      </c>
      <c r="Z382" s="8" t="s">
        <v>80</v>
      </c>
      <c r="AA382" s="8">
        <v>2</v>
      </c>
      <c r="AB382" s="8" t="str">
        <f>IF(AA382='Listas suspensas'!$A$2,'Listas suspensas'!$B$2,IF(AA382='Listas suspensas'!$A$3,'Listas suspensas'!$B$3,IF(AA382='Listas suspensas'!$A$4,'Listas suspensas'!$B$4,IF(AA382='Listas suspensas'!$A$5,'Listas suspensas'!$B$5,IF(AA382='Listas suspensas'!$A$6,'Listas suspensas'!$B$6,"")))))</f>
        <v>Profunda e irregular</v>
      </c>
      <c r="AC382" s="8" t="str">
        <f>IF(AA382='Listas suspensas'!$A$2,'Listas suspensas'!$C$2,IF(AA382='Listas suspensas'!$A$3,'Listas suspensas'!$C$3,IF(AA382='Listas suspensas'!$A$4,'Listas suspensas'!$C$4,IF(AA382='Listas suspensas'!$A$5,'Listas suspensas'!$C$5,IF(AA382='Listas suspensas'!$A$6,'Listas suspensas'!$C$6,"")))))</f>
        <v>Indica a penetração profunda, mas desuniforme em toda a extensão do alburno.</v>
      </c>
      <c r="BD382" s="13">
        <v>0.72</v>
      </c>
      <c r="BE382" s="18">
        <f t="shared" si="74"/>
        <v>720</v>
      </c>
      <c r="BF382" s="8">
        <v>0.44400000000000001</v>
      </c>
      <c r="BG382" s="8">
        <v>0.20899999999999999</v>
      </c>
      <c r="BH382" s="8">
        <v>0.438</v>
      </c>
      <c r="BI382" s="13">
        <f t="shared" si="68"/>
        <v>1.091</v>
      </c>
      <c r="BJ382" s="14">
        <v>40.700000000000003</v>
      </c>
      <c r="BK382" s="14">
        <v>19.2</v>
      </c>
      <c r="BL382" s="14">
        <v>40.1</v>
      </c>
      <c r="BM382" s="16">
        <f t="shared" si="69"/>
        <v>100</v>
      </c>
      <c r="BN382" s="21">
        <f t="shared" si="70"/>
        <v>3.2</v>
      </c>
      <c r="BO382" s="21">
        <f t="shared" si="71"/>
        <v>1.5</v>
      </c>
      <c r="BP382" s="21">
        <f t="shared" si="72"/>
        <v>3.15</v>
      </c>
      <c r="BQ382" s="14">
        <f t="shared" si="73"/>
        <v>7.85</v>
      </c>
      <c r="BR382" s="22" t="str">
        <f>IF(OR(AND(X382="Mourões", BQ382&gt;=6.5),AND(X382="Postes", BQ382&gt;=9.6),AND(X382="Dormentes", BQ382&gt;=9.6),AND(X382="Estacas - Solo", BQ382&gt;=6.5),AND(X382="Estacas - Suspenso", BQ382&gt;=4),AND(X382="Cruzetas", BQ382&gt;=6.5),AND(X382="Outros - Solo", BQ382&gt;=6.5),AND(X382="Outros - Suspenso",BQ382&gt;=4),AND(X382="Deck",BQ382&gt;=4)),'Listas suspensas'!$C$21,'Listas suspensas'!$C$22)</f>
        <v>Os resultados da análise química apresentaram uma retenção do produto de acordo com o padrão mínimo exigido pela norma ABNT NBR 16143</v>
      </c>
    </row>
    <row r="383" spans="2:70" x14ac:dyDescent="0.25">
      <c r="B383" s="8" t="s">
        <v>995</v>
      </c>
      <c r="C383" s="8" t="s">
        <v>71</v>
      </c>
      <c r="F383" s="11">
        <v>45926</v>
      </c>
      <c r="G383" s="11">
        <v>45926</v>
      </c>
      <c r="H383" s="11">
        <v>45933</v>
      </c>
      <c r="I383" s="8" t="s">
        <v>241</v>
      </c>
      <c r="J383" s="8" t="s">
        <v>242</v>
      </c>
      <c r="K383" s="8" t="s">
        <v>243</v>
      </c>
      <c r="L383" s="8" t="s">
        <v>15</v>
      </c>
      <c r="M383" s="30" t="s">
        <v>361</v>
      </c>
      <c r="N383" s="8" t="s">
        <v>75</v>
      </c>
      <c r="O383" s="8" t="s">
        <v>94</v>
      </c>
      <c r="P383" s="28" t="s">
        <v>77</v>
      </c>
      <c r="Q383" s="16" t="s">
        <v>996</v>
      </c>
      <c r="X383" s="8" t="s">
        <v>994</v>
      </c>
      <c r="Y383" s="34">
        <f>IF(X383='Listas suspensas'!$A$21,'Listas suspensas'!$B$23,IF(X383='Listas suspensas'!$A$22,'Listas suspensas'!$B$23,IF(X383='Listas suspensas'!$A$23,'Listas suspensas'!$B$22,IF(X383='Listas suspensas'!$A$26,'Listas suspensas'!$B$22,IF(X383='Listas suspensas'!$A$32,'Listas suspensas'!$B$22,IF(X383='Listas suspensas'!$A$33,'Listas suspensas'!$B$21,IF(X383='Listas suspensas'!$A$24,'Listas suspensas'!$B$22,IF(X383='Listas suspensas'!$A$25,'Listas suspensas'!$B$21,IF(X383='Listas suspensas'!$A$30,'Listas suspensas'!$B$21,"")))))))))</f>
        <v>4</v>
      </c>
      <c r="Z383" s="8" t="s">
        <v>80</v>
      </c>
      <c r="AA383" s="8">
        <v>2</v>
      </c>
      <c r="AB383" s="8" t="str">
        <f>IF(AA383='Listas suspensas'!$A$2,'Listas suspensas'!$B$2,IF(AA383='Listas suspensas'!$A$3,'Listas suspensas'!$B$3,IF(AA383='Listas suspensas'!$A$4,'Listas suspensas'!$B$4,IF(AA383='Listas suspensas'!$A$5,'Listas suspensas'!$B$5,IF(AA383='Listas suspensas'!$A$6,'Listas suspensas'!$B$6,"")))))</f>
        <v>Profunda e irregular</v>
      </c>
      <c r="AC383" s="8" t="str">
        <f>IF(AA383='Listas suspensas'!$A$2,'Listas suspensas'!$C$2,IF(AA383='Listas suspensas'!$A$3,'Listas suspensas'!$C$3,IF(AA383='Listas suspensas'!$A$4,'Listas suspensas'!$C$4,IF(AA383='Listas suspensas'!$A$5,'Listas suspensas'!$C$5,IF(AA383='Listas suspensas'!$A$6,'Listas suspensas'!$C$6,"")))))</f>
        <v>Indica a penetração profunda, mas desuniforme em toda a extensão do alburno.</v>
      </c>
      <c r="BD383" s="13">
        <v>0.78600000000000003</v>
      </c>
      <c r="BE383" s="18">
        <f t="shared" si="74"/>
        <v>786</v>
      </c>
      <c r="BF383" s="8">
        <v>0.41299999999999998</v>
      </c>
      <c r="BG383" s="8">
        <v>0.189</v>
      </c>
      <c r="BH383" s="8">
        <v>0.42299999999999999</v>
      </c>
      <c r="BI383" s="13">
        <f t="shared" si="68"/>
        <v>1.0249999999999999</v>
      </c>
      <c r="BJ383" s="14">
        <v>40.299999999999997</v>
      </c>
      <c r="BK383" s="14">
        <v>18.399999999999999</v>
      </c>
      <c r="BL383" s="14">
        <v>41.3</v>
      </c>
      <c r="BM383" s="16">
        <f t="shared" si="69"/>
        <v>100</v>
      </c>
      <c r="BN383" s="21">
        <f t="shared" si="70"/>
        <v>3.25</v>
      </c>
      <c r="BO383" s="21">
        <f t="shared" si="71"/>
        <v>1.49</v>
      </c>
      <c r="BP383" s="21">
        <f t="shared" si="72"/>
        <v>3.32</v>
      </c>
      <c r="BQ383" s="14">
        <f t="shared" si="73"/>
        <v>8.06</v>
      </c>
      <c r="BR383" s="22" t="str">
        <f>IF(OR(AND(X383="Mourões", BQ383&gt;=6.5),AND(X383="Postes", BQ383&gt;=9.6),AND(X383="Dormentes", BQ383&gt;=9.6),AND(X383="Estacas - Solo", BQ383&gt;=6.5),AND(X383="Estacas - Suspenso", BQ383&gt;=4),AND(X383="Cruzetas", BQ383&gt;=6.5),AND(X383="Outros - Solo", BQ383&gt;=6.5),AND(X383="Outros - Suspenso",BQ383&gt;=4),AND(X383="Deck",BQ383&gt;=4)),'Listas suspensas'!$C$21,'Listas suspensas'!$C$22)</f>
        <v>Os resultados da análise química apresentaram uma retenção do produto de acordo com o padrão mínimo exigido pela norma ABNT NBR 16143</v>
      </c>
    </row>
    <row r="384" spans="2:70" x14ac:dyDescent="0.25">
      <c r="B384" s="8" t="s">
        <v>997</v>
      </c>
      <c r="C384" s="8" t="s">
        <v>71</v>
      </c>
      <c r="F384" s="11">
        <v>45926</v>
      </c>
      <c r="G384" s="11">
        <v>45926</v>
      </c>
      <c r="H384" s="11">
        <v>45933</v>
      </c>
      <c r="I384" s="8" t="s">
        <v>241</v>
      </c>
      <c r="J384" s="8" t="s">
        <v>242</v>
      </c>
      <c r="K384" s="8" t="s">
        <v>243</v>
      </c>
      <c r="L384" s="8" t="s">
        <v>15</v>
      </c>
      <c r="M384" s="30" t="s">
        <v>361</v>
      </c>
      <c r="N384" s="8" t="s">
        <v>75</v>
      </c>
      <c r="O384" s="8" t="s">
        <v>94</v>
      </c>
      <c r="P384" s="28" t="s">
        <v>77</v>
      </c>
      <c r="Q384" s="16" t="s">
        <v>998</v>
      </c>
      <c r="X384" s="8" t="s">
        <v>994</v>
      </c>
      <c r="Y384" s="34">
        <f>IF(X384='Listas suspensas'!$A$21,'Listas suspensas'!$B$23,IF(X384='Listas suspensas'!$A$22,'Listas suspensas'!$B$23,IF(X384='Listas suspensas'!$A$23,'Listas suspensas'!$B$22,IF(X384='Listas suspensas'!$A$26,'Listas suspensas'!$B$22,IF(X384='Listas suspensas'!$A$32,'Listas suspensas'!$B$22,IF(X384='Listas suspensas'!$A$33,'Listas suspensas'!$B$21,IF(X384='Listas suspensas'!$A$24,'Listas suspensas'!$B$22,IF(X384='Listas suspensas'!$A$25,'Listas suspensas'!$B$21,IF(X384='Listas suspensas'!$A$30,'Listas suspensas'!$B$21,"")))))))))</f>
        <v>4</v>
      </c>
      <c r="Z384" s="8" t="s">
        <v>80</v>
      </c>
      <c r="AA384" s="8">
        <v>2</v>
      </c>
      <c r="AB384" s="8" t="str">
        <f>IF(AA384='Listas suspensas'!$A$2,'Listas suspensas'!$B$2,IF(AA384='Listas suspensas'!$A$3,'Listas suspensas'!$B$3,IF(AA384='Listas suspensas'!$A$4,'Listas suspensas'!$B$4,IF(AA384='Listas suspensas'!$A$5,'Listas suspensas'!$B$5,IF(AA384='Listas suspensas'!$A$6,'Listas suspensas'!$B$6,"")))))</f>
        <v>Profunda e irregular</v>
      </c>
      <c r="AC384" s="8" t="str">
        <f>IF(AA384='Listas suspensas'!$A$2,'Listas suspensas'!$C$2,IF(AA384='Listas suspensas'!$A$3,'Listas suspensas'!$C$3,IF(AA384='Listas suspensas'!$A$4,'Listas suspensas'!$C$4,IF(AA384='Listas suspensas'!$A$5,'Listas suspensas'!$C$5,IF(AA384='Listas suspensas'!$A$6,'Listas suspensas'!$C$6,"")))))</f>
        <v>Indica a penetração profunda, mas desuniforme em toda a extensão do alburno.</v>
      </c>
      <c r="BD384" s="13">
        <v>0.73299999999999998</v>
      </c>
      <c r="BE384" s="18">
        <f t="shared" si="74"/>
        <v>733</v>
      </c>
      <c r="BF384" s="8">
        <v>0.26800000000000002</v>
      </c>
      <c r="BG384" s="8">
        <v>0.13100000000000001</v>
      </c>
      <c r="BH384" s="8">
        <v>0.24299999999999999</v>
      </c>
      <c r="BI384" s="13">
        <f t="shared" si="68"/>
        <v>0.64200000000000002</v>
      </c>
      <c r="BJ384" s="14">
        <v>41.7</v>
      </c>
      <c r="BK384" s="14">
        <v>20.399999999999999</v>
      </c>
      <c r="BL384" s="14">
        <v>37.9</v>
      </c>
      <c r="BM384" s="16">
        <f t="shared" si="69"/>
        <v>100</v>
      </c>
      <c r="BN384" s="21">
        <f t="shared" si="70"/>
        <v>1.96</v>
      </c>
      <c r="BO384" s="21">
        <f t="shared" si="71"/>
        <v>0.96</v>
      </c>
      <c r="BP384" s="21">
        <f t="shared" si="72"/>
        <v>1.78</v>
      </c>
      <c r="BQ384" s="14">
        <f t="shared" si="73"/>
        <v>4.7</v>
      </c>
      <c r="BR384" s="22" t="str">
        <f>IF(OR(AND(X384="Mourões", BQ384&gt;=6.5),AND(X384="Postes", BQ384&gt;=9.6),AND(X384="Dormentes", BQ384&gt;=9.6),AND(X384="Estacas - Solo", BQ384&gt;=6.5),AND(X384="Estacas - Suspenso", BQ384&gt;=4),AND(X384="Cruzetas", BQ384&gt;=6.5),AND(X384="Outros - Solo", BQ384&gt;=6.5),AND(X384="Outros - Suspenso",BQ384&gt;=4),AND(X384="Deck",BQ384&gt;=4)),'Listas suspensas'!$C$21,'Listas suspensas'!$C$22)</f>
        <v>Os resultados da análise química apresentaram uma retenção do produto de acordo com o padrão mínimo exigido pela norma ABNT NBR 16143</v>
      </c>
    </row>
    <row r="385" spans="2:70" x14ac:dyDescent="0.25">
      <c r="B385" s="8" t="s">
        <v>999</v>
      </c>
      <c r="C385" s="8" t="s">
        <v>71</v>
      </c>
      <c r="F385" s="11">
        <v>45926</v>
      </c>
      <c r="G385" s="11">
        <v>45926</v>
      </c>
      <c r="H385" s="11">
        <v>45933</v>
      </c>
      <c r="I385" s="8" t="s">
        <v>241</v>
      </c>
      <c r="J385" s="8" t="s">
        <v>242</v>
      </c>
      <c r="K385" s="8" t="s">
        <v>243</v>
      </c>
      <c r="L385" s="8" t="s">
        <v>15</v>
      </c>
      <c r="M385" s="30" t="s">
        <v>361</v>
      </c>
      <c r="N385" s="8" t="s">
        <v>75</v>
      </c>
      <c r="O385" s="8" t="s">
        <v>94</v>
      </c>
      <c r="P385" s="28" t="s">
        <v>77</v>
      </c>
      <c r="Q385" s="16" t="s">
        <v>1000</v>
      </c>
      <c r="X385" s="8" t="s">
        <v>994</v>
      </c>
      <c r="Y385" s="34">
        <f>IF(X385='Listas suspensas'!$A$21,'Listas suspensas'!$B$23,IF(X385='Listas suspensas'!$A$22,'Listas suspensas'!$B$23,IF(X385='Listas suspensas'!$A$23,'Listas suspensas'!$B$22,IF(X385='Listas suspensas'!$A$26,'Listas suspensas'!$B$22,IF(X385='Listas suspensas'!$A$32,'Listas suspensas'!$B$22,IF(X385='Listas suspensas'!$A$33,'Listas suspensas'!$B$21,IF(X385='Listas suspensas'!$A$24,'Listas suspensas'!$B$22,IF(X385='Listas suspensas'!$A$25,'Listas suspensas'!$B$21,IF(X385='Listas suspensas'!$A$30,'Listas suspensas'!$B$21,"")))))))))</f>
        <v>4</v>
      </c>
      <c r="Z385" s="8" t="s">
        <v>80</v>
      </c>
      <c r="AA385" s="8">
        <v>2</v>
      </c>
      <c r="AB385" s="8" t="str">
        <f>IF(AA385='Listas suspensas'!$A$2,'Listas suspensas'!$B$2,IF(AA385='Listas suspensas'!$A$3,'Listas suspensas'!$B$3,IF(AA385='Listas suspensas'!$A$4,'Listas suspensas'!$B$4,IF(AA385='Listas suspensas'!$A$5,'Listas suspensas'!$B$5,IF(AA385='Listas suspensas'!$A$6,'Listas suspensas'!$B$6,"")))))</f>
        <v>Profunda e irregular</v>
      </c>
      <c r="AC385" s="8" t="str">
        <f>IF(AA385='Listas suspensas'!$A$2,'Listas suspensas'!$C$2,IF(AA385='Listas suspensas'!$A$3,'Listas suspensas'!$C$3,IF(AA385='Listas suspensas'!$A$4,'Listas suspensas'!$C$4,IF(AA385='Listas suspensas'!$A$5,'Listas suspensas'!$C$5,IF(AA385='Listas suspensas'!$A$6,'Listas suspensas'!$C$6,"")))))</f>
        <v>Indica a penetração profunda, mas desuniforme em toda a extensão do alburno.</v>
      </c>
      <c r="BD385" s="13">
        <v>0.90400000000000003</v>
      </c>
      <c r="BE385" s="18">
        <f t="shared" si="74"/>
        <v>904</v>
      </c>
      <c r="BF385" s="8">
        <v>0.311</v>
      </c>
      <c r="BG385" s="8">
        <v>0.14699999999999999</v>
      </c>
      <c r="BH385" s="8">
        <v>0.31900000000000001</v>
      </c>
      <c r="BI385" s="13">
        <f t="shared" si="68"/>
        <v>0.77699999999999991</v>
      </c>
      <c r="BJ385" s="14">
        <v>40</v>
      </c>
      <c r="BK385" s="14">
        <v>19</v>
      </c>
      <c r="BL385" s="14">
        <v>41</v>
      </c>
      <c r="BM385" s="16">
        <f t="shared" si="69"/>
        <v>100</v>
      </c>
      <c r="BN385" s="21">
        <f t="shared" si="70"/>
        <v>2.81</v>
      </c>
      <c r="BO385" s="21">
        <f t="shared" si="71"/>
        <v>1.33</v>
      </c>
      <c r="BP385" s="21">
        <f t="shared" si="72"/>
        <v>2.88</v>
      </c>
      <c r="BQ385" s="14">
        <f t="shared" si="73"/>
        <v>7.02</v>
      </c>
      <c r="BR385" s="22" t="str">
        <f>IF(OR(AND(X385="Mourões", BQ385&gt;=6.5),AND(X385="Postes", BQ385&gt;=9.6),AND(X385="Dormentes", BQ385&gt;=9.6),AND(X385="Estacas - Solo", BQ385&gt;=6.5),AND(X385="Estacas - Suspenso", BQ385&gt;=4),AND(X385="Cruzetas", BQ385&gt;=6.5),AND(X385="Outros - Solo", BQ385&gt;=6.5),AND(X385="Outros - Suspenso",BQ385&gt;=4),AND(X385="Deck",BQ385&gt;=4)),'Listas suspensas'!$C$21,'Listas suspensas'!$C$22)</f>
        <v>Os resultados da análise química apresentaram uma retenção do produto de acordo com o padrão mínimo exigido pela norma ABNT NBR 16143</v>
      </c>
    </row>
    <row r="386" spans="2:70" x14ac:dyDescent="0.25">
      <c r="B386" s="8" t="s">
        <v>1001</v>
      </c>
      <c r="C386" s="8" t="s">
        <v>71</v>
      </c>
      <c r="F386" s="11">
        <v>45926</v>
      </c>
      <c r="G386" s="11">
        <v>45926</v>
      </c>
      <c r="H386" s="11">
        <v>45933</v>
      </c>
      <c r="I386" s="8" t="s">
        <v>241</v>
      </c>
      <c r="J386" s="8" t="s">
        <v>242</v>
      </c>
      <c r="K386" s="8" t="s">
        <v>243</v>
      </c>
      <c r="L386" s="8" t="s">
        <v>15</v>
      </c>
      <c r="M386" s="30" t="s">
        <v>361</v>
      </c>
      <c r="N386" s="8" t="s">
        <v>75</v>
      </c>
      <c r="O386" s="8" t="s">
        <v>94</v>
      </c>
      <c r="P386" s="28" t="s">
        <v>77</v>
      </c>
      <c r="Q386" s="16" t="s">
        <v>1002</v>
      </c>
      <c r="X386" s="8" t="s">
        <v>994</v>
      </c>
      <c r="Y386" s="34">
        <f>IF(X386='Listas suspensas'!$A$21,'Listas suspensas'!$B$23,IF(X386='Listas suspensas'!$A$22,'Listas suspensas'!$B$23,IF(X386='Listas suspensas'!$A$23,'Listas suspensas'!$B$22,IF(X386='Listas suspensas'!$A$26,'Listas suspensas'!$B$22,IF(X386='Listas suspensas'!$A$32,'Listas suspensas'!$B$22,IF(X386='Listas suspensas'!$A$33,'Listas suspensas'!$B$21,IF(X386='Listas suspensas'!$A$24,'Listas suspensas'!$B$22,IF(X386='Listas suspensas'!$A$25,'Listas suspensas'!$B$21,IF(X386='Listas suspensas'!$A$30,'Listas suspensas'!$B$21,"")))))))))</f>
        <v>4</v>
      </c>
      <c r="Z386" s="8" t="s">
        <v>80</v>
      </c>
      <c r="AA386" s="8">
        <v>2</v>
      </c>
      <c r="AB386" s="8" t="str">
        <f>IF(AA386='Listas suspensas'!$A$2,'Listas suspensas'!$B$2,IF(AA386='Listas suspensas'!$A$3,'Listas suspensas'!$B$3,IF(AA386='Listas suspensas'!$A$4,'Listas suspensas'!$B$4,IF(AA386='Listas suspensas'!$A$5,'Listas suspensas'!$B$5,IF(AA386='Listas suspensas'!$A$6,'Listas suspensas'!$B$6,"")))))</f>
        <v>Profunda e irregular</v>
      </c>
      <c r="AC386" s="8" t="str">
        <f>IF(AA386='Listas suspensas'!$A$2,'Listas suspensas'!$C$2,IF(AA386='Listas suspensas'!$A$3,'Listas suspensas'!$C$3,IF(AA386='Listas suspensas'!$A$4,'Listas suspensas'!$C$4,IF(AA386='Listas suspensas'!$A$5,'Listas suspensas'!$C$5,IF(AA386='Listas suspensas'!$A$6,'Listas suspensas'!$C$6,"")))))</f>
        <v>Indica a penetração profunda, mas desuniforme em toda a extensão do alburno.</v>
      </c>
      <c r="BD386" s="13">
        <v>0.79300000000000004</v>
      </c>
      <c r="BE386" s="18">
        <f t="shared" si="74"/>
        <v>793</v>
      </c>
      <c r="BF386" s="8">
        <v>0.4</v>
      </c>
      <c r="BG386" s="8">
        <v>0.20699999999999999</v>
      </c>
      <c r="BH386" s="8">
        <v>0.442</v>
      </c>
      <c r="BI386" s="13">
        <f t="shared" si="68"/>
        <v>1.0489999999999999</v>
      </c>
      <c r="BJ386" s="14">
        <v>38.200000000000003</v>
      </c>
      <c r="BK386" s="14">
        <v>19.8</v>
      </c>
      <c r="BL386" s="14">
        <v>42</v>
      </c>
      <c r="BM386" s="16">
        <f t="shared" si="69"/>
        <v>100</v>
      </c>
      <c r="BN386" s="21">
        <f t="shared" si="70"/>
        <v>3.17</v>
      </c>
      <c r="BO386" s="21">
        <f t="shared" si="71"/>
        <v>1.64</v>
      </c>
      <c r="BP386" s="21">
        <f t="shared" si="72"/>
        <v>3.51</v>
      </c>
      <c r="BQ386" s="14">
        <f t="shared" si="73"/>
        <v>8.32</v>
      </c>
      <c r="BR386" s="22" t="str">
        <f>IF(OR(AND(X386="Mourões", BQ386&gt;=6.5),AND(X386="Postes", BQ386&gt;=9.6),AND(X386="Dormentes", BQ386&gt;=9.6),AND(X386="Estacas - Solo", BQ386&gt;=6.5),AND(X386="Estacas - Suspenso", BQ386&gt;=4),AND(X386="Cruzetas", BQ386&gt;=6.5),AND(X386="Outros - Solo", BQ386&gt;=6.5),AND(X386="Outros - Suspenso",BQ386&gt;=4),AND(X386="Deck",BQ386&gt;=4)),'Listas suspensas'!$C$21,'Listas suspensas'!$C$22)</f>
        <v>Os resultados da análise química apresentaram uma retenção do produto de acordo com o padrão mínimo exigido pela norma ABNT NBR 16143</v>
      </c>
    </row>
    <row r="387" spans="2:70" x14ac:dyDescent="0.25">
      <c r="B387" s="8" t="s">
        <v>1003</v>
      </c>
      <c r="C387" s="8" t="s">
        <v>71</v>
      </c>
      <c r="F387" s="11">
        <v>45926</v>
      </c>
      <c r="G387" s="11">
        <v>45926</v>
      </c>
      <c r="H387" s="11">
        <v>45933</v>
      </c>
      <c r="I387" s="8" t="s">
        <v>241</v>
      </c>
      <c r="J387" s="8" t="s">
        <v>242</v>
      </c>
      <c r="K387" s="8" t="s">
        <v>243</v>
      </c>
      <c r="L387" s="8" t="s">
        <v>15</v>
      </c>
      <c r="M387" s="30" t="s">
        <v>361</v>
      </c>
      <c r="N387" s="8" t="s">
        <v>75</v>
      </c>
      <c r="O387" s="8" t="s">
        <v>94</v>
      </c>
      <c r="P387" s="28" t="s">
        <v>77</v>
      </c>
      <c r="Q387" s="16" t="s">
        <v>1004</v>
      </c>
      <c r="X387" s="8" t="s">
        <v>994</v>
      </c>
      <c r="Y387" s="34">
        <f>IF(X387='Listas suspensas'!$A$21,'Listas suspensas'!$B$23,IF(X387='Listas suspensas'!$A$22,'Listas suspensas'!$B$23,IF(X387='Listas suspensas'!$A$23,'Listas suspensas'!$B$22,IF(X387='Listas suspensas'!$A$26,'Listas suspensas'!$B$22,IF(X387='Listas suspensas'!$A$32,'Listas suspensas'!$B$22,IF(X387='Listas suspensas'!$A$33,'Listas suspensas'!$B$21,IF(X387='Listas suspensas'!$A$24,'Listas suspensas'!$B$22,IF(X387='Listas suspensas'!$A$25,'Listas suspensas'!$B$21,IF(X387='Listas suspensas'!$A$30,'Listas suspensas'!$B$21,"")))))))))</f>
        <v>4</v>
      </c>
      <c r="Z387" s="8" t="s">
        <v>80</v>
      </c>
      <c r="AA387" s="8">
        <v>4</v>
      </c>
      <c r="AB387" s="8" t="str">
        <f>IF(AA387='Listas suspensas'!$A$2,'Listas suspensas'!$B$2,IF(AA387='Listas suspensas'!$A$3,'Listas suspensas'!$B$3,IF(AA387='Listas suspensas'!$A$4,'Listas suspensas'!$B$4,IF(AA387='Listas suspensas'!$A$5,'Listas suspensas'!$B$5,IF(AA387='Listas suspensas'!$A$6,'Listas suspensas'!$B$6,"")))))</f>
        <v>Parcial e irregular</v>
      </c>
      <c r="AC387" s="8" t="str">
        <f>IF(AA387='Listas suspensas'!$A$2,'Listas suspensas'!$C$2,IF(AA387='Listas suspensas'!$A$3,'Listas suspensas'!$C$3,IF(AA387='Listas suspensas'!$A$4,'Listas suspensas'!$C$4,IF(AA387='Listas suspensas'!$A$5,'Listas suspensas'!$C$5,IF(AA387='Listas suspensas'!$A$6,'Listas suspensas'!$C$6,"")))))</f>
        <v>Indica a penetração desuniforme e não total pela extensão do alburno.</v>
      </c>
      <c r="BD387" s="13">
        <v>0.73899999999999999</v>
      </c>
      <c r="BE387" s="18">
        <f t="shared" si="74"/>
        <v>739</v>
      </c>
      <c r="BF387" s="8">
        <v>0.33600000000000002</v>
      </c>
      <c r="BG387" s="8">
        <v>0.185</v>
      </c>
      <c r="BH387" s="8">
        <v>0.378</v>
      </c>
      <c r="BI387" s="13">
        <f t="shared" ref="BI387:BI449" si="75">SUM(BF387:BH387)</f>
        <v>0.89900000000000002</v>
      </c>
      <c r="BJ387" s="14">
        <v>37.4</v>
      </c>
      <c r="BK387" s="14">
        <v>20.5</v>
      </c>
      <c r="BL387" s="14">
        <v>42.1</v>
      </c>
      <c r="BM387" s="16">
        <f t="shared" si="69"/>
        <v>100</v>
      </c>
      <c r="BN387" s="21">
        <f t="shared" si="70"/>
        <v>2.48</v>
      </c>
      <c r="BO387" s="21">
        <f t="shared" si="71"/>
        <v>1.37</v>
      </c>
      <c r="BP387" s="21">
        <f t="shared" si="72"/>
        <v>2.79</v>
      </c>
      <c r="BQ387" s="14">
        <f t="shared" si="73"/>
        <v>6.64</v>
      </c>
      <c r="BR387" s="22" t="str">
        <f>IF(OR(AND(X387="Mourões", BQ387&gt;=6.5),AND(X387="Postes", BQ387&gt;=9.6),AND(X387="Dormentes", BQ387&gt;=9.6),AND(X387="Estacas - Solo", BQ387&gt;=6.5),AND(X387="Estacas - Suspenso", BQ387&gt;=4),AND(X387="Cruzetas", BQ387&gt;=6.5),AND(X387="Outros - Solo", BQ387&gt;=6.5),AND(X387="Outros - Suspenso",BQ387&gt;=4),AND(X387="Deck",BQ387&gt;=4)),'Listas suspensas'!$C$21,'Listas suspensas'!$C$22)</f>
        <v>Os resultados da análise química apresentaram uma retenção do produto de acordo com o padrão mínimo exigido pela norma ABNT NBR 16143</v>
      </c>
    </row>
    <row r="388" spans="2:70" x14ac:dyDescent="0.25">
      <c r="B388" s="8" t="s">
        <v>1005</v>
      </c>
      <c r="C388" s="8" t="s">
        <v>71</v>
      </c>
      <c r="F388" s="11">
        <v>45926</v>
      </c>
      <c r="G388" s="11">
        <v>45926</v>
      </c>
      <c r="H388" s="11">
        <v>45933</v>
      </c>
      <c r="I388" s="8" t="s">
        <v>241</v>
      </c>
      <c r="J388" s="8" t="s">
        <v>242</v>
      </c>
      <c r="K388" s="8" t="s">
        <v>243</v>
      </c>
      <c r="L388" s="8" t="s">
        <v>15</v>
      </c>
      <c r="M388" s="30" t="s">
        <v>361</v>
      </c>
      <c r="N388" s="8" t="s">
        <v>75</v>
      </c>
      <c r="O388" s="8" t="s">
        <v>94</v>
      </c>
      <c r="P388" s="28" t="s">
        <v>77</v>
      </c>
      <c r="Q388" s="16" t="s">
        <v>1006</v>
      </c>
      <c r="X388" s="8" t="s">
        <v>994</v>
      </c>
      <c r="Y388" s="34">
        <f>IF(X388='Listas suspensas'!$A$21,'Listas suspensas'!$B$23,IF(X388='Listas suspensas'!$A$22,'Listas suspensas'!$B$23,IF(X388='Listas suspensas'!$A$23,'Listas suspensas'!$B$22,IF(X388='Listas suspensas'!$A$26,'Listas suspensas'!$B$22,IF(X388='Listas suspensas'!$A$32,'Listas suspensas'!$B$22,IF(X388='Listas suspensas'!$A$33,'Listas suspensas'!$B$21,IF(X388='Listas suspensas'!$A$24,'Listas suspensas'!$B$22,IF(X388='Listas suspensas'!$A$25,'Listas suspensas'!$B$21,IF(X388='Listas suspensas'!$A$30,'Listas suspensas'!$B$21,"")))))))))</f>
        <v>4</v>
      </c>
      <c r="Z388" s="8" t="s">
        <v>80</v>
      </c>
      <c r="AA388" s="8">
        <v>2</v>
      </c>
      <c r="AB388" s="8" t="str">
        <f>IF(AA388='Listas suspensas'!$A$2,'Listas suspensas'!$B$2,IF(AA388='Listas suspensas'!$A$3,'Listas suspensas'!$B$3,IF(AA388='Listas suspensas'!$A$4,'Listas suspensas'!$B$4,IF(AA388='Listas suspensas'!$A$5,'Listas suspensas'!$B$5,IF(AA388='Listas suspensas'!$A$6,'Listas suspensas'!$B$6,"")))))</f>
        <v>Profunda e irregular</v>
      </c>
      <c r="AC388" s="8" t="str">
        <f>IF(AA388='Listas suspensas'!$A$2,'Listas suspensas'!$C$2,IF(AA388='Listas suspensas'!$A$3,'Listas suspensas'!$C$3,IF(AA388='Listas suspensas'!$A$4,'Listas suspensas'!$C$4,IF(AA388='Listas suspensas'!$A$5,'Listas suspensas'!$C$5,IF(AA388='Listas suspensas'!$A$6,'Listas suspensas'!$C$6,"")))))</f>
        <v>Indica a penetração profunda, mas desuniforme em toda a extensão do alburno.</v>
      </c>
      <c r="BD388" s="13">
        <v>0.72599999999999998</v>
      </c>
      <c r="BE388" s="18">
        <f t="shared" si="74"/>
        <v>726</v>
      </c>
      <c r="BF388" s="8">
        <v>0.36899999999999999</v>
      </c>
      <c r="BG388" s="8">
        <v>0.17799999999999999</v>
      </c>
      <c r="BH388" s="8">
        <v>0.30299999999999999</v>
      </c>
      <c r="BI388" s="13">
        <f t="shared" si="75"/>
        <v>0.84999999999999987</v>
      </c>
      <c r="BJ388" s="14">
        <v>43.5</v>
      </c>
      <c r="BK388" s="14">
        <v>20.9</v>
      </c>
      <c r="BL388" s="14">
        <v>35.6</v>
      </c>
      <c r="BM388" s="16">
        <f t="shared" si="69"/>
        <v>100</v>
      </c>
      <c r="BN388" s="21">
        <f t="shared" si="70"/>
        <v>2.68</v>
      </c>
      <c r="BO388" s="21">
        <f t="shared" si="71"/>
        <v>1.29</v>
      </c>
      <c r="BP388" s="21">
        <f t="shared" si="72"/>
        <v>2.2000000000000002</v>
      </c>
      <c r="BQ388" s="14">
        <f t="shared" si="73"/>
        <v>6.17</v>
      </c>
      <c r="BR388" s="22" t="str">
        <f>IF(OR(AND(X388="Mourões", BQ388&gt;=6.5),AND(X388="Postes", BQ388&gt;=9.6),AND(X388="Dormentes", BQ388&gt;=9.6),AND(X388="Estacas - Solo", BQ388&gt;=6.5),AND(X388="Estacas - Suspenso", BQ388&gt;=4),AND(X388="Cruzetas", BQ388&gt;=6.5),AND(X388="Outros - Solo", BQ388&gt;=6.5),AND(X388="Outros - Suspenso",BQ388&gt;=4),AND(X388="Deck",BQ388&gt;=4)),'Listas suspensas'!$C$21,'Listas suspensas'!$C$22)</f>
        <v>Os resultados da análise química apresentaram uma retenção do produto de acordo com o padrão mínimo exigido pela norma ABNT NBR 16143</v>
      </c>
    </row>
    <row r="389" spans="2:70" x14ac:dyDescent="0.25">
      <c r="B389" s="8" t="s">
        <v>1007</v>
      </c>
      <c r="C389" s="8" t="s">
        <v>71</v>
      </c>
      <c r="F389" s="11">
        <v>45926</v>
      </c>
      <c r="G389" s="11">
        <v>45926</v>
      </c>
      <c r="H389" s="11">
        <v>45931</v>
      </c>
      <c r="I389" s="8" t="s">
        <v>811</v>
      </c>
      <c r="J389" s="8" t="s">
        <v>812</v>
      </c>
      <c r="K389" s="8" t="s">
        <v>144</v>
      </c>
      <c r="L389" s="8" t="s">
        <v>15</v>
      </c>
      <c r="M389" s="30" t="s">
        <v>1008</v>
      </c>
      <c r="N389" s="8" t="s">
        <v>75</v>
      </c>
      <c r="O389" s="8" t="s">
        <v>94</v>
      </c>
      <c r="P389" s="28" t="s">
        <v>77</v>
      </c>
      <c r="Q389" s="16" t="s">
        <v>1009</v>
      </c>
      <c r="X389" s="8" t="s">
        <v>98</v>
      </c>
      <c r="Y389" s="34">
        <f>IF(X389='Listas suspensas'!$A$21,'Listas suspensas'!$B$23,IF(X389='Listas suspensas'!$A$22,'Listas suspensas'!$B$23,IF(X389='Listas suspensas'!$A$23,'Listas suspensas'!$B$22,IF(X389='Listas suspensas'!$A$26,'Listas suspensas'!$B$22,IF(X389='Listas suspensas'!$A$32,'Listas suspensas'!$B$22,IF(X389='Listas suspensas'!$A$33,'Listas suspensas'!$B$21,IF(X389='Listas suspensas'!$A$24,'Listas suspensas'!$B$22,IF(X389='Listas suspensas'!$A$25,'Listas suspensas'!$B$21,IF(X389='Listas suspensas'!$A$30,'Listas suspensas'!$B$21,"")))))))))</f>
        <v>9.6</v>
      </c>
      <c r="Z389" s="8" t="s">
        <v>80</v>
      </c>
      <c r="AA389" s="8">
        <v>1</v>
      </c>
      <c r="AB389" s="8" t="str">
        <f>IF(AA389='Listas suspensas'!$A$2,'Listas suspensas'!$B$2,IF(AA389='Listas suspensas'!$A$3,'Listas suspensas'!$B$3,IF(AA389='Listas suspensas'!$A$4,'Listas suspensas'!$B$4,IF(AA389='Listas suspensas'!$A$5,'Listas suspensas'!$B$5,IF(AA389='Listas suspensas'!$A$6,'Listas suspensas'!$B$6,"")))))</f>
        <v>Profunda e regular</v>
      </c>
      <c r="AC389" s="8" t="str">
        <f>IF(AA389='Listas suspensas'!$A$2,'Listas suspensas'!$C$2,IF(AA389='Listas suspensas'!$A$3,'Listas suspensas'!$C$3,IF(AA389='Listas suspensas'!$A$4,'Listas suspensas'!$C$4,IF(AA389='Listas suspensas'!$A$5,'Listas suspensas'!$C$5,IF(AA389='Listas suspensas'!$A$6,'Listas suspensas'!$C$6,"")))))</f>
        <v>Indica a penetração profunda e uniforme em toda a extensão do alburno.</v>
      </c>
      <c r="BD389" s="13">
        <v>0.41499999999999998</v>
      </c>
      <c r="BE389" s="18">
        <f t="shared" si="74"/>
        <v>415</v>
      </c>
      <c r="BF389" s="8">
        <v>1.83</v>
      </c>
      <c r="BG389" s="8">
        <v>0.54500000000000004</v>
      </c>
      <c r="BH389" s="8">
        <v>1.1180000000000001</v>
      </c>
      <c r="BI389" s="13">
        <f t="shared" si="75"/>
        <v>3.4930000000000003</v>
      </c>
      <c r="BJ389" s="14">
        <v>52.4</v>
      </c>
      <c r="BK389" s="14">
        <v>15.6</v>
      </c>
      <c r="BL389" s="14">
        <v>32</v>
      </c>
      <c r="BM389" s="16">
        <f t="shared" si="69"/>
        <v>100</v>
      </c>
      <c r="BN389" s="21">
        <f t="shared" si="70"/>
        <v>7.59</v>
      </c>
      <c r="BO389" s="21">
        <f t="shared" si="71"/>
        <v>2.2599999999999998</v>
      </c>
      <c r="BP389" s="21">
        <f t="shared" si="72"/>
        <v>4.6399999999999997</v>
      </c>
      <c r="BQ389" s="14">
        <f t="shared" si="73"/>
        <v>14.49</v>
      </c>
      <c r="BR389" s="22" t="str">
        <f>IF(OR(AND(X389="Mourões", BQ389&gt;=6.5),AND(X389="Postes", BQ389&gt;=9.6),AND(X389="Dormentes", BQ389&gt;=9.6),AND(X389="Estacas - Solo", BQ389&gt;=6.5),AND(X389="Estacas - Suspenso", BQ389&gt;=4),AND(X389="Cruzetas", BQ389&gt;=6.5),AND(X389="Outros - Solo", BQ389&gt;=6.5),AND(X389="Outros - Suspenso",BQ389&gt;=4),AND(X389="Deck",BQ389&gt;=4)),'Listas suspensas'!$C$21,'Listas suspensas'!$C$22)</f>
        <v>Os resultados da análise química apresentaram uma retenção do produto de acordo com o padrão mínimo exigido pela norma ABNT NBR 16143</v>
      </c>
    </row>
    <row r="390" spans="2:70" x14ac:dyDescent="0.25">
      <c r="B390" s="8" t="s">
        <v>1010</v>
      </c>
      <c r="C390" s="8" t="s">
        <v>71</v>
      </c>
      <c r="F390" s="11">
        <v>45926</v>
      </c>
      <c r="G390" s="11">
        <v>45926</v>
      </c>
      <c r="H390" s="11">
        <v>45931</v>
      </c>
      <c r="I390" s="8" t="s">
        <v>811</v>
      </c>
      <c r="J390" s="8" t="s">
        <v>812</v>
      </c>
      <c r="K390" s="8" t="s">
        <v>144</v>
      </c>
      <c r="L390" s="8" t="s">
        <v>15</v>
      </c>
      <c r="M390" s="30" t="s">
        <v>1008</v>
      </c>
      <c r="N390" s="8" t="s">
        <v>75</v>
      </c>
      <c r="O390" s="8" t="s">
        <v>94</v>
      </c>
      <c r="P390" s="28" t="s">
        <v>77</v>
      </c>
      <c r="Q390" s="16" t="s">
        <v>1011</v>
      </c>
      <c r="X390" s="8" t="s">
        <v>98</v>
      </c>
      <c r="Y390" s="34">
        <f>IF(X390='Listas suspensas'!$A$21,'Listas suspensas'!$B$23,IF(X390='Listas suspensas'!$A$22,'Listas suspensas'!$B$23,IF(X390='Listas suspensas'!$A$23,'Listas suspensas'!$B$22,IF(X390='Listas suspensas'!$A$26,'Listas suspensas'!$B$22,IF(X390='Listas suspensas'!$A$32,'Listas suspensas'!$B$22,IF(X390='Listas suspensas'!$A$33,'Listas suspensas'!$B$21,IF(X390='Listas suspensas'!$A$24,'Listas suspensas'!$B$22,IF(X390='Listas suspensas'!$A$25,'Listas suspensas'!$B$21,IF(X390='Listas suspensas'!$A$30,'Listas suspensas'!$B$21,"")))))))))</f>
        <v>9.6</v>
      </c>
      <c r="Z390" s="8" t="s">
        <v>80</v>
      </c>
      <c r="AA390" s="8">
        <v>1</v>
      </c>
      <c r="AB390" s="8" t="str">
        <f>IF(AA390='Listas suspensas'!$A$2,'Listas suspensas'!$B$2,IF(AA390='Listas suspensas'!$A$3,'Listas suspensas'!$B$3,IF(AA390='Listas suspensas'!$A$4,'Listas suspensas'!$B$4,IF(AA390='Listas suspensas'!$A$5,'Listas suspensas'!$B$5,IF(AA390='Listas suspensas'!$A$6,'Listas suspensas'!$B$6,"")))))</f>
        <v>Profunda e regular</v>
      </c>
      <c r="AC390" s="8" t="str">
        <f>IF(AA390='Listas suspensas'!$A$2,'Listas suspensas'!$C$2,IF(AA390='Listas suspensas'!$A$3,'Listas suspensas'!$C$3,IF(AA390='Listas suspensas'!$A$4,'Listas suspensas'!$C$4,IF(AA390='Listas suspensas'!$A$5,'Listas suspensas'!$C$5,IF(AA390='Listas suspensas'!$A$6,'Listas suspensas'!$C$6,"")))))</f>
        <v>Indica a penetração profunda e uniforme em toda a extensão do alburno.</v>
      </c>
      <c r="BD390" s="13">
        <v>0.42299999999999999</v>
      </c>
      <c r="BE390" s="18">
        <f t="shared" si="74"/>
        <v>423</v>
      </c>
      <c r="BF390" s="8">
        <v>3.5289999999999999</v>
      </c>
      <c r="BG390" s="8">
        <v>0.76900000000000002</v>
      </c>
      <c r="BH390" s="8">
        <v>1.571</v>
      </c>
      <c r="BI390" s="13">
        <f t="shared" si="75"/>
        <v>5.8689999999999998</v>
      </c>
      <c r="BJ390" s="14">
        <v>60.1</v>
      </c>
      <c r="BK390" s="14">
        <v>13.1</v>
      </c>
      <c r="BL390" s="14">
        <v>26.8</v>
      </c>
      <c r="BM390" s="16">
        <f t="shared" si="69"/>
        <v>100</v>
      </c>
      <c r="BN390" s="21">
        <f t="shared" si="70"/>
        <v>14.93</v>
      </c>
      <c r="BO390" s="21">
        <f t="shared" si="71"/>
        <v>3.25</v>
      </c>
      <c r="BP390" s="21">
        <f t="shared" si="72"/>
        <v>6.65</v>
      </c>
      <c r="BQ390" s="14">
        <f t="shared" si="73"/>
        <v>24.83</v>
      </c>
      <c r="BR390" s="22" t="str">
        <f>IF(OR(AND(X390="Mourões", BQ390&gt;=6.5),AND(X390="Postes", BQ390&gt;=9.6),AND(X390="Dormentes", BQ390&gt;=9.6),AND(X390="Estacas - Solo", BQ390&gt;=6.5),AND(X390="Estacas - Suspenso", BQ390&gt;=4),AND(X390="Cruzetas", BQ390&gt;=6.5),AND(X390="Outros - Solo", BQ390&gt;=6.5),AND(X390="Outros - Suspenso",BQ390&gt;=4),AND(X390="Deck",BQ390&gt;=4)),'Listas suspensas'!$C$21,'Listas suspensas'!$C$22)</f>
        <v>Os resultados da análise química apresentaram uma retenção do produto de acordo com o padrão mínimo exigido pela norma ABNT NBR 16143</v>
      </c>
    </row>
    <row r="391" spans="2:70" x14ac:dyDescent="0.25">
      <c r="B391" s="8" t="s">
        <v>1012</v>
      </c>
      <c r="C391" s="8" t="s">
        <v>71</v>
      </c>
      <c r="F391" s="11">
        <v>45926</v>
      </c>
      <c r="G391" s="11">
        <v>45926</v>
      </c>
      <c r="H391" s="11">
        <v>45931</v>
      </c>
      <c r="I391" s="8" t="s">
        <v>811</v>
      </c>
      <c r="J391" s="8" t="s">
        <v>812</v>
      </c>
      <c r="K391" s="8" t="s">
        <v>144</v>
      </c>
      <c r="L391" s="8" t="s">
        <v>15</v>
      </c>
      <c r="M391" s="30" t="s">
        <v>1008</v>
      </c>
      <c r="N391" s="8" t="s">
        <v>75</v>
      </c>
      <c r="O391" s="8" t="s">
        <v>94</v>
      </c>
      <c r="P391" s="28" t="s">
        <v>77</v>
      </c>
      <c r="Q391" s="16" t="s">
        <v>1013</v>
      </c>
      <c r="X391" s="8" t="s">
        <v>98</v>
      </c>
      <c r="Y391" s="34">
        <f>IF(X391='Listas suspensas'!$A$21,'Listas suspensas'!$B$23,IF(X391='Listas suspensas'!$A$22,'Listas suspensas'!$B$23,IF(X391='Listas suspensas'!$A$23,'Listas suspensas'!$B$22,IF(X391='Listas suspensas'!$A$26,'Listas suspensas'!$B$22,IF(X391='Listas suspensas'!$A$32,'Listas suspensas'!$B$22,IF(X391='Listas suspensas'!$A$33,'Listas suspensas'!$B$21,IF(X391='Listas suspensas'!$A$24,'Listas suspensas'!$B$22,IF(X391='Listas suspensas'!$A$25,'Listas suspensas'!$B$21,IF(X391='Listas suspensas'!$A$30,'Listas suspensas'!$B$21,"")))))))))</f>
        <v>9.6</v>
      </c>
      <c r="Z391" s="8" t="s">
        <v>80</v>
      </c>
      <c r="AA391" s="8">
        <v>1</v>
      </c>
      <c r="AB391" s="8" t="str">
        <f>IF(AA391='Listas suspensas'!$A$2,'Listas suspensas'!$B$2,IF(AA391='Listas suspensas'!$A$3,'Listas suspensas'!$B$3,IF(AA391='Listas suspensas'!$A$4,'Listas suspensas'!$B$4,IF(AA391='Listas suspensas'!$A$5,'Listas suspensas'!$B$5,IF(AA391='Listas suspensas'!$A$6,'Listas suspensas'!$B$6,"")))))</f>
        <v>Profunda e regular</v>
      </c>
      <c r="AC391" s="8" t="str">
        <f>IF(AA391='Listas suspensas'!$A$2,'Listas suspensas'!$C$2,IF(AA391='Listas suspensas'!$A$3,'Listas suspensas'!$C$3,IF(AA391='Listas suspensas'!$A$4,'Listas suspensas'!$C$4,IF(AA391='Listas suspensas'!$A$5,'Listas suspensas'!$C$5,IF(AA391='Listas suspensas'!$A$6,'Listas suspensas'!$C$6,"")))))</f>
        <v>Indica a penetração profunda e uniforme em toda a extensão do alburno.</v>
      </c>
      <c r="BD391" s="13">
        <v>0.40200000000000002</v>
      </c>
      <c r="BE391" s="18">
        <f t="shared" si="74"/>
        <v>402</v>
      </c>
      <c r="BF391" s="8">
        <v>2.1389999999999998</v>
      </c>
      <c r="BG391" s="8">
        <v>0.623</v>
      </c>
      <c r="BH391" s="8">
        <v>1.3089999999999999</v>
      </c>
      <c r="BI391" s="13">
        <f t="shared" si="75"/>
        <v>4.0709999999999997</v>
      </c>
      <c r="BJ391" s="14">
        <v>52.5</v>
      </c>
      <c r="BK391" s="14">
        <v>15.3</v>
      </c>
      <c r="BL391" s="14">
        <v>32.200000000000003</v>
      </c>
      <c r="BM391" s="16">
        <f t="shared" si="69"/>
        <v>100</v>
      </c>
      <c r="BN391" s="21">
        <f t="shared" si="70"/>
        <v>8.6</v>
      </c>
      <c r="BO391" s="21">
        <f t="shared" si="71"/>
        <v>2.5</v>
      </c>
      <c r="BP391" s="21">
        <f t="shared" si="72"/>
        <v>5.26</v>
      </c>
      <c r="BQ391" s="14">
        <f t="shared" si="73"/>
        <v>16.36</v>
      </c>
      <c r="BR391" s="22" t="str">
        <f>IF(OR(AND(X391="Mourões", BQ391&gt;=6.5),AND(X391="Postes", BQ391&gt;=9.6),AND(X391="Dormentes", BQ391&gt;=9.6),AND(X391="Estacas - Solo", BQ391&gt;=6.5),AND(X391="Estacas - Suspenso", BQ391&gt;=4),AND(X391="Cruzetas", BQ391&gt;=6.5),AND(X391="Outros - Solo", BQ391&gt;=6.5),AND(X391="Outros - Suspenso",BQ391&gt;=4),AND(X391="Deck",BQ391&gt;=4)),'Listas suspensas'!$C$21,'Listas suspensas'!$C$22)</f>
        <v>Os resultados da análise química apresentaram uma retenção do produto de acordo com o padrão mínimo exigido pela norma ABNT NBR 16143</v>
      </c>
    </row>
    <row r="392" spans="2:70" x14ac:dyDescent="0.25">
      <c r="B392" s="8" t="s">
        <v>1014</v>
      </c>
      <c r="C392" s="8" t="s">
        <v>71</v>
      </c>
      <c r="F392" s="11">
        <v>45937</v>
      </c>
      <c r="G392" s="11">
        <v>45938</v>
      </c>
      <c r="H392" s="11">
        <v>45939</v>
      </c>
      <c r="I392" s="8" t="s">
        <v>896</v>
      </c>
      <c r="J392" s="8" t="s">
        <v>1016</v>
      </c>
      <c r="K392" s="8" t="s">
        <v>619</v>
      </c>
      <c r="L392" s="8" t="s">
        <v>15</v>
      </c>
      <c r="M392" s="30" t="s">
        <v>898</v>
      </c>
      <c r="N392" s="8" t="s">
        <v>75</v>
      </c>
      <c r="O392" s="8" t="s">
        <v>94</v>
      </c>
      <c r="P392" s="28" t="s">
        <v>471</v>
      </c>
      <c r="Q392" s="16" t="s">
        <v>1017</v>
      </c>
      <c r="X392" s="8" t="s">
        <v>473</v>
      </c>
      <c r="Y392" s="34">
        <f>IF(X392='Listas suspensas'!$A$21,'Listas suspensas'!$B$23,IF(X392='Listas suspensas'!$A$22,'Listas suspensas'!$B$23,IF(X392='Listas suspensas'!$A$23,'Listas suspensas'!$B$22,IF(X392='Listas suspensas'!$A$26,'Listas suspensas'!$B$22,IF(X392='Listas suspensas'!$A$32,'Listas suspensas'!$B$22,IF(X392='Listas suspensas'!$A$33,'Listas suspensas'!$B$21,IF(X392='Listas suspensas'!$A$24,'Listas suspensas'!$B$22,IF(X392='Listas suspensas'!$A$25,'Listas suspensas'!$B$21,IF(X392='Listas suspensas'!$A$30,'Listas suspensas'!$B$21,"")))))))))</f>
        <v>4</v>
      </c>
      <c r="Z392" s="8" t="s">
        <v>80</v>
      </c>
      <c r="AA392" s="8">
        <v>2</v>
      </c>
      <c r="AB392" s="8" t="str">
        <f>IF(AA392='Listas suspensas'!$A$2,'Listas suspensas'!$B$2,IF(AA392='Listas suspensas'!$A$3,'Listas suspensas'!$B$3,IF(AA392='Listas suspensas'!$A$4,'Listas suspensas'!$B$4,IF(AA392='Listas suspensas'!$A$5,'Listas suspensas'!$B$5,IF(AA392='Listas suspensas'!$A$6,'Listas suspensas'!$B$6,"")))))</f>
        <v>Profunda e irregular</v>
      </c>
      <c r="AC392" s="8" t="str">
        <f>IF(AA392='Listas suspensas'!$A$2,'Listas suspensas'!$C$2,IF(AA392='Listas suspensas'!$A$3,'Listas suspensas'!$C$3,IF(AA392='Listas suspensas'!$A$4,'Listas suspensas'!$C$4,IF(AA392='Listas suspensas'!$A$5,'Listas suspensas'!$C$5,IF(AA392='Listas suspensas'!$A$6,'Listas suspensas'!$C$6,"")))))</f>
        <v>Indica a penetração profunda, mas desuniforme em toda a extensão do alburno.</v>
      </c>
      <c r="BD392" s="13">
        <v>0.53800000000000003</v>
      </c>
      <c r="BE392" s="18">
        <f t="shared" si="74"/>
        <v>538</v>
      </c>
      <c r="BF392" s="8">
        <v>0.45200000000000001</v>
      </c>
      <c r="BG392" s="8">
        <v>0.19</v>
      </c>
      <c r="BH392" s="8">
        <v>0.376</v>
      </c>
      <c r="BI392" s="13">
        <f t="shared" si="75"/>
        <v>1.018</v>
      </c>
      <c r="BJ392" s="14">
        <v>44.4</v>
      </c>
      <c r="BK392" s="14">
        <v>18.7</v>
      </c>
      <c r="BL392" s="14">
        <v>36.9</v>
      </c>
      <c r="BM392" s="16">
        <f t="shared" si="69"/>
        <v>100</v>
      </c>
      <c r="BN392" s="21">
        <f t="shared" si="70"/>
        <v>2.4300000000000002</v>
      </c>
      <c r="BO392" s="21">
        <f t="shared" si="71"/>
        <v>1.02</v>
      </c>
      <c r="BP392" s="21">
        <f t="shared" si="72"/>
        <v>2.02</v>
      </c>
      <c r="BQ392" s="14">
        <f t="shared" si="73"/>
        <v>5.47</v>
      </c>
      <c r="BR392" s="22" t="str">
        <f>IF(OR(AND(X392="Mourões", BQ392&gt;=6.5),AND(X392="Postes", BQ392&gt;=9.6),AND(X392="Dormentes", BQ392&gt;=9.6),AND(X392="Estacas - Solo", BQ392&gt;=6.5),AND(X392="Estacas - Suspenso", BQ392&gt;=4),AND(X392="Cruzetas", BQ392&gt;=6.5),AND(X392="Outros - Solo", BQ392&gt;=6.5),AND(X392="Outros - Suspenso",BQ392&gt;=4),AND(X392="Deck",BQ392&gt;=4)),'Listas suspensas'!$C$21,'Listas suspensas'!$C$22)</f>
        <v>Os resultados da análise química apresentaram uma retenção do produto de acordo com o padrão mínimo exigido pela norma ABNT NBR 16143</v>
      </c>
    </row>
    <row r="393" spans="2:70" x14ac:dyDescent="0.25">
      <c r="B393" s="8" t="s">
        <v>1018</v>
      </c>
      <c r="C393" s="8" t="s">
        <v>71</v>
      </c>
      <c r="F393" s="11">
        <v>45937</v>
      </c>
      <c r="G393" s="11">
        <v>45938</v>
      </c>
      <c r="H393" s="11">
        <v>45939</v>
      </c>
      <c r="I393" s="8" t="s">
        <v>896</v>
      </c>
      <c r="J393" s="8" t="s">
        <v>1016</v>
      </c>
      <c r="K393" s="8" t="s">
        <v>619</v>
      </c>
      <c r="L393" s="8" t="s">
        <v>15</v>
      </c>
      <c r="M393" s="30" t="s">
        <v>898</v>
      </c>
      <c r="N393" s="8" t="s">
        <v>75</v>
      </c>
      <c r="O393" s="8" t="s">
        <v>94</v>
      </c>
      <c r="P393" s="28" t="s">
        <v>471</v>
      </c>
      <c r="Q393" s="16" t="s">
        <v>1019</v>
      </c>
      <c r="X393" s="8" t="s">
        <v>473</v>
      </c>
      <c r="Y393" s="34">
        <f>IF(X393='Listas suspensas'!$A$21,'Listas suspensas'!$B$23,IF(X393='Listas suspensas'!$A$22,'Listas suspensas'!$B$23,IF(X393='Listas suspensas'!$A$23,'Listas suspensas'!$B$22,IF(X393='Listas suspensas'!$A$26,'Listas suspensas'!$B$22,IF(X393='Listas suspensas'!$A$32,'Listas suspensas'!$B$22,IF(X393='Listas suspensas'!$A$33,'Listas suspensas'!$B$21,IF(X393='Listas suspensas'!$A$24,'Listas suspensas'!$B$22,IF(X393='Listas suspensas'!$A$25,'Listas suspensas'!$B$21,IF(X393='Listas suspensas'!$A$30,'Listas suspensas'!$B$21,"")))))))))</f>
        <v>4</v>
      </c>
      <c r="Z393" s="8" t="s">
        <v>80</v>
      </c>
      <c r="AA393" s="8">
        <v>2</v>
      </c>
      <c r="AB393" s="8" t="str">
        <f>IF(AA393='Listas suspensas'!$A$2,'Listas suspensas'!$B$2,IF(AA393='Listas suspensas'!$A$3,'Listas suspensas'!$B$3,IF(AA393='Listas suspensas'!$A$4,'Listas suspensas'!$B$4,IF(AA393='Listas suspensas'!$A$5,'Listas suspensas'!$B$5,IF(AA393='Listas suspensas'!$A$6,'Listas suspensas'!$B$6,"")))))</f>
        <v>Profunda e irregular</v>
      </c>
      <c r="AC393" s="8" t="str">
        <f>IF(AA393='Listas suspensas'!$A$2,'Listas suspensas'!$C$2,IF(AA393='Listas suspensas'!$A$3,'Listas suspensas'!$C$3,IF(AA393='Listas suspensas'!$A$4,'Listas suspensas'!$C$4,IF(AA393='Listas suspensas'!$A$5,'Listas suspensas'!$C$5,IF(AA393='Listas suspensas'!$A$6,'Listas suspensas'!$C$6,"")))))</f>
        <v>Indica a penetração profunda, mas desuniforme em toda a extensão do alburno.</v>
      </c>
      <c r="BD393" s="13">
        <v>0.46100000000000002</v>
      </c>
      <c r="BE393" s="18">
        <f t="shared" si="74"/>
        <v>461</v>
      </c>
      <c r="BF393" s="8">
        <v>0.41</v>
      </c>
      <c r="BG393" s="8">
        <v>0.16300000000000001</v>
      </c>
      <c r="BH393" s="8">
        <v>0.23899999999999999</v>
      </c>
      <c r="BI393" s="13">
        <f t="shared" si="75"/>
        <v>0.81199999999999994</v>
      </c>
      <c r="BJ393" s="14">
        <v>50.5</v>
      </c>
      <c r="BK393" s="14">
        <v>20</v>
      </c>
      <c r="BL393" s="14">
        <v>29.5</v>
      </c>
      <c r="BM393" s="16">
        <f t="shared" si="69"/>
        <v>100</v>
      </c>
      <c r="BN393" s="21">
        <f t="shared" si="70"/>
        <v>1.89</v>
      </c>
      <c r="BO393" s="21">
        <f t="shared" si="71"/>
        <v>0.75</v>
      </c>
      <c r="BP393" s="21">
        <f t="shared" si="72"/>
        <v>1.1000000000000001</v>
      </c>
      <c r="BQ393" s="14">
        <f t="shared" si="73"/>
        <v>3.74</v>
      </c>
      <c r="BR393" s="22" t="str">
        <f>IF(OR(AND(X393="Mourões", BQ393&gt;=6.5),AND(X393="Postes", BQ393&gt;=9.6),AND(X393="Dormentes", BQ393&gt;=9.6),AND(X393="Estacas - Solo", BQ393&gt;=6.5),AND(X393="Estacas - Suspenso", BQ393&gt;=4),AND(X393="Cruzetas", BQ393&gt;=6.5),AND(X393="Outros - Solo", BQ393&gt;=6.5),AND(X393="Outros - Suspenso",BQ393&gt;=4),AND(X393="Deck",BQ393&gt;=4)),'Listas suspensas'!$C$21,'Listas suspensas'!$C$22)</f>
        <v>Os resultados da análise química apresentaram uma retenção do produto inferior ao padrão mínimo exigido pela norma ABNT NBR 16143</v>
      </c>
    </row>
    <row r="394" spans="2:70" x14ac:dyDescent="0.25">
      <c r="B394" s="8" t="s">
        <v>1020</v>
      </c>
      <c r="C394" s="8" t="s">
        <v>71</v>
      </c>
      <c r="F394" s="11">
        <v>45937</v>
      </c>
      <c r="G394" s="11">
        <v>45938</v>
      </c>
      <c r="H394" s="11">
        <v>45939</v>
      </c>
      <c r="I394" s="8" t="s">
        <v>896</v>
      </c>
      <c r="J394" s="8" t="s">
        <v>1016</v>
      </c>
      <c r="K394" s="8" t="s">
        <v>619</v>
      </c>
      <c r="L394" s="8" t="s">
        <v>15</v>
      </c>
      <c r="M394" s="30" t="s">
        <v>898</v>
      </c>
      <c r="N394" s="8" t="s">
        <v>75</v>
      </c>
      <c r="O394" s="8" t="s">
        <v>94</v>
      </c>
      <c r="P394" s="28" t="s">
        <v>471</v>
      </c>
      <c r="Q394" s="16" t="s">
        <v>1021</v>
      </c>
      <c r="X394" s="8" t="s">
        <v>473</v>
      </c>
      <c r="Y394" s="34">
        <f>IF(X394='Listas suspensas'!$A$21,'Listas suspensas'!$B$23,IF(X394='Listas suspensas'!$A$22,'Listas suspensas'!$B$23,IF(X394='Listas suspensas'!$A$23,'Listas suspensas'!$B$22,IF(X394='Listas suspensas'!$A$26,'Listas suspensas'!$B$22,IF(X394='Listas suspensas'!$A$32,'Listas suspensas'!$B$22,IF(X394='Listas suspensas'!$A$33,'Listas suspensas'!$B$21,IF(X394='Listas suspensas'!$A$24,'Listas suspensas'!$B$22,IF(X394='Listas suspensas'!$A$25,'Listas suspensas'!$B$21,IF(X394='Listas suspensas'!$A$30,'Listas suspensas'!$B$21,"")))))))))</f>
        <v>4</v>
      </c>
      <c r="Z394" s="8" t="s">
        <v>80</v>
      </c>
      <c r="AA394" s="8">
        <v>2</v>
      </c>
      <c r="AB394" s="8" t="str">
        <f>IF(AA394='Listas suspensas'!$A$2,'Listas suspensas'!$B$2,IF(AA394='Listas suspensas'!$A$3,'Listas suspensas'!$B$3,IF(AA394='Listas suspensas'!$A$4,'Listas suspensas'!$B$4,IF(AA394='Listas suspensas'!$A$5,'Listas suspensas'!$B$5,IF(AA394='Listas suspensas'!$A$6,'Listas suspensas'!$B$6,"")))))</f>
        <v>Profunda e irregular</v>
      </c>
      <c r="AC394" s="8" t="str">
        <f>IF(AA394='Listas suspensas'!$A$2,'Listas suspensas'!$C$2,IF(AA394='Listas suspensas'!$A$3,'Listas suspensas'!$C$3,IF(AA394='Listas suspensas'!$A$4,'Listas suspensas'!$C$4,IF(AA394='Listas suspensas'!$A$5,'Listas suspensas'!$C$5,IF(AA394='Listas suspensas'!$A$6,'Listas suspensas'!$C$6,"")))))</f>
        <v>Indica a penetração profunda, mas desuniforme em toda a extensão do alburno.</v>
      </c>
      <c r="BD394" s="13">
        <v>0.59199999999999997</v>
      </c>
      <c r="BE394" s="18">
        <f t="shared" si="74"/>
        <v>592</v>
      </c>
      <c r="BF394" s="8">
        <v>0.38700000000000001</v>
      </c>
      <c r="BG394" s="8">
        <v>0.16800000000000001</v>
      </c>
      <c r="BH394" s="8">
        <v>0.27600000000000002</v>
      </c>
      <c r="BI394" s="13">
        <f t="shared" si="75"/>
        <v>0.83100000000000007</v>
      </c>
      <c r="BJ394" s="14">
        <v>46.6</v>
      </c>
      <c r="BK394" s="14">
        <v>20.2</v>
      </c>
      <c r="BL394" s="14">
        <v>33.200000000000003</v>
      </c>
      <c r="BM394" s="16">
        <f t="shared" si="69"/>
        <v>100</v>
      </c>
      <c r="BN394" s="21">
        <f t="shared" si="70"/>
        <v>2.29</v>
      </c>
      <c r="BO394" s="21">
        <f t="shared" si="71"/>
        <v>0.99</v>
      </c>
      <c r="BP394" s="21">
        <f t="shared" si="72"/>
        <v>1.63</v>
      </c>
      <c r="BQ394" s="14">
        <f t="shared" si="73"/>
        <v>4.91</v>
      </c>
      <c r="BR394" s="22" t="str">
        <f>IF(OR(AND(X394="Mourões", BQ394&gt;=6.5),AND(X394="Postes", BQ394&gt;=9.6),AND(X394="Dormentes", BQ394&gt;=9.6),AND(X394="Estacas - Solo", BQ394&gt;=6.5),AND(X394="Estacas - Suspenso", BQ394&gt;=4),AND(X394="Cruzetas", BQ394&gt;=6.5),AND(X394="Outros - Solo", BQ394&gt;=6.5),AND(X394="Outros - Suspenso",BQ394&gt;=4),AND(X394="Deck",BQ394&gt;=4)),'Listas suspensas'!$C$21,'Listas suspensas'!$C$22)</f>
        <v>Os resultados da análise química apresentaram uma retenção do produto de acordo com o padrão mínimo exigido pela norma ABNT NBR 16143</v>
      </c>
    </row>
    <row r="395" spans="2:70" x14ac:dyDescent="0.25">
      <c r="B395" s="8" t="s">
        <v>1022</v>
      </c>
      <c r="C395" s="8" t="s">
        <v>71</v>
      </c>
      <c r="F395" s="11">
        <v>45937</v>
      </c>
      <c r="G395" s="11">
        <v>45938</v>
      </c>
      <c r="H395" s="11">
        <v>45939</v>
      </c>
      <c r="I395" s="8" t="s">
        <v>896</v>
      </c>
      <c r="J395" s="8" t="s">
        <v>1016</v>
      </c>
      <c r="K395" s="8" t="s">
        <v>619</v>
      </c>
      <c r="L395" s="8" t="s">
        <v>15</v>
      </c>
      <c r="M395" s="30" t="s">
        <v>898</v>
      </c>
      <c r="N395" s="8" t="s">
        <v>75</v>
      </c>
      <c r="O395" s="8" t="s">
        <v>94</v>
      </c>
      <c r="P395" s="28" t="s">
        <v>471</v>
      </c>
      <c r="Q395" s="16" t="s">
        <v>1023</v>
      </c>
      <c r="X395" s="8" t="s">
        <v>473</v>
      </c>
      <c r="Y395" s="34">
        <f>IF(X395='Listas suspensas'!$A$21,'Listas suspensas'!$B$23,IF(X395='Listas suspensas'!$A$22,'Listas suspensas'!$B$23,IF(X395='Listas suspensas'!$A$23,'Listas suspensas'!$B$22,IF(X395='Listas suspensas'!$A$26,'Listas suspensas'!$B$22,IF(X395='Listas suspensas'!$A$32,'Listas suspensas'!$B$22,IF(X395='Listas suspensas'!$A$33,'Listas suspensas'!$B$21,IF(X395='Listas suspensas'!$A$24,'Listas suspensas'!$B$22,IF(X395='Listas suspensas'!$A$25,'Listas suspensas'!$B$21,IF(X395='Listas suspensas'!$A$30,'Listas suspensas'!$B$21,"")))))))))</f>
        <v>4</v>
      </c>
      <c r="Z395" s="8" t="s">
        <v>80</v>
      </c>
      <c r="AA395" s="8">
        <v>2</v>
      </c>
      <c r="AB395" s="8" t="str">
        <f>IF(AA395='Listas suspensas'!$A$2,'Listas suspensas'!$B$2,IF(AA395='Listas suspensas'!$A$3,'Listas suspensas'!$B$3,IF(AA395='Listas suspensas'!$A$4,'Listas suspensas'!$B$4,IF(AA395='Listas suspensas'!$A$5,'Listas suspensas'!$B$5,IF(AA395='Listas suspensas'!$A$6,'Listas suspensas'!$B$6,"")))))</f>
        <v>Profunda e irregular</v>
      </c>
      <c r="AC395" s="8" t="str">
        <f>IF(AA395='Listas suspensas'!$A$2,'Listas suspensas'!$C$2,IF(AA395='Listas suspensas'!$A$3,'Listas suspensas'!$C$3,IF(AA395='Listas suspensas'!$A$4,'Listas suspensas'!$C$4,IF(AA395='Listas suspensas'!$A$5,'Listas suspensas'!$C$5,IF(AA395='Listas suspensas'!$A$6,'Listas suspensas'!$C$6,"")))))</f>
        <v>Indica a penetração profunda, mas desuniforme em toda a extensão do alburno.</v>
      </c>
      <c r="BD395" s="13">
        <v>0.54800000000000004</v>
      </c>
      <c r="BE395" s="18">
        <f t="shared" si="74"/>
        <v>548</v>
      </c>
      <c r="BF395" s="8">
        <v>0.375</v>
      </c>
      <c r="BG395" s="8">
        <v>0.157</v>
      </c>
      <c r="BH395" s="8">
        <v>0.245</v>
      </c>
      <c r="BI395" s="13">
        <f t="shared" si="75"/>
        <v>0.77700000000000002</v>
      </c>
      <c r="BJ395" s="14">
        <v>48.2</v>
      </c>
      <c r="BK395" s="14">
        <v>20.3</v>
      </c>
      <c r="BL395" s="14">
        <v>31.5</v>
      </c>
      <c r="BM395" s="16">
        <f t="shared" si="69"/>
        <v>100</v>
      </c>
      <c r="BN395" s="21">
        <f t="shared" si="70"/>
        <v>2.06</v>
      </c>
      <c r="BO395" s="21">
        <f t="shared" si="71"/>
        <v>0.86</v>
      </c>
      <c r="BP395" s="21">
        <f t="shared" si="72"/>
        <v>1.34</v>
      </c>
      <c r="BQ395" s="14">
        <f t="shared" si="73"/>
        <v>4.26</v>
      </c>
      <c r="BR395" s="22" t="str">
        <f>IF(OR(AND(X395="Mourões", BQ395&gt;=6.5),AND(X395="Postes", BQ395&gt;=9.6),AND(X395="Dormentes", BQ395&gt;=9.6),AND(X395="Estacas - Solo", BQ395&gt;=6.5),AND(X395="Estacas - Suspenso", BQ395&gt;=4),AND(X395="Cruzetas", BQ395&gt;=6.5),AND(X395="Outros - Solo", BQ395&gt;=6.5),AND(X395="Outros - Suspenso",BQ395&gt;=4),AND(X395="Deck",BQ395&gt;=4)),'Listas suspensas'!$C$21,'Listas suspensas'!$C$22)</f>
        <v>Os resultados da análise química apresentaram uma retenção do produto de acordo com o padrão mínimo exigido pela norma ABNT NBR 16143</v>
      </c>
    </row>
    <row r="396" spans="2:70" x14ac:dyDescent="0.25">
      <c r="B396" s="8" t="s">
        <v>1024</v>
      </c>
      <c r="C396" s="8" t="s">
        <v>71</v>
      </c>
      <c r="F396" s="11">
        <v>45937</v>
      </c>
      <c r="G396" s="11">
        <v>45938</v>
      </c>
      <c r="H396" s="11">
        <v>45939</v>
      </c>
      <c r="I396" s="8" t="s">
        <v>896</v>
      </c>
      <c r="J396" s="8" t="s">
        <v>1016</v>
      </c>
      <c r="K396" s="8" t="s">
        <v>619</v>
      </c>
      <c r="L396" s="8" t="s">
        <v>15</v>
      </c>
      <c r="M396" s="30" t="s">
        <v>898</v>
      </c>
      <c r="N396" s="8" t="s">
        <v>75</v>
      </c>
      <c r="O396" s="8" t="s">
        <v>94</v>
      </c>
      <c r="P396" s="28" t="s">
        <v>471</v>
      </c>
      <c r="Q396" s="16" t="s">
        <v>1025</v>
      </c>
      <c r="X396" s="8" t="s">
        <v>473</v>
      </c>
      <c r="Y396" s="34">
        <f>IF(X396='Listas suspensas'!$A$21,'Listas suspensas'!$B$23,IF(X396='Listas suspensas'!$A$22,'Listas suspensas'!$B$23,IF(X396='Listas suspensas'!$A$23,'Listas suspensas'!$B$22,IF(X396='Listas suspensas'!$A$26,'Listas suspensas'!$B$22,IF(X396='Listas suspensas'!$A$32,'Listas suspensas'!$B$22,IF(X396='Listas suspensas'!$A$33,'Listas suspensas'!$B$21,IF(X396='Listas suspensas'!$A$24,'Listas suspensas'!$B$22,IF(X396='Listas suspensas'!$A$25,'Listas suspensas'!$B$21,IF(X396='Listas suspensas'!$A$30,'Listas suspensas'!$B$21,"")))))))))</f>
        <v>4</v>
      </c>
      <c r="Z396" s="8" t="s">
        <v>80</v>
      </c>
      <c r="AA396" s="8">
        <v>2</v>
      </c>
      <c r="AB396" s="8" t="str">
        <f>IF(AA396='Listas suspensas'!$A$2,'Listas suspensas'!$B$2,IF(AA396='Listas suspensas'!$A$3,'Listas suspensas'!$B$3,IF(AA396='Listas suspensas'!$A$4,'Listas suspensas'!$B$4,IF(AA396='Listas suspensas'!$A$5,'Listas suspensas'!$B$5,IF(AA396='Listas suspensas'!$A$6,'Listas suspensas'!$B$6,"")))))</f>
        <v>Profunda e irregular</v>
      </c>
      <c r="AC396" s="8" t="str">
        <f>IF(AA396='Listas suspensas'!$A$2,'Listas suspensas'!$C$2,IF(AA396='Listas suspensas'!$A$3,'Listas suspensas'!$C$3,IF(AA396='Listas suspensas'!$A$4,'Listas suspensas'!$C$4,IF(AA396='Listas suspensas'!$A$5,'Listas suspensas'!$C$5,IF(AA396='Listas suspensas'!$A$6,'Listas suspensas'!$C$6,"")))))</f>
        <v>Indica a penetração profunda, mas desuniforme em toda a extensão do alburno.</v>
      </c>
      <c r="BD396" s="13">
        <v>0.46899999999999997</v>
      </c>
      <c r="BE396" s="18">
        <f t="shared" si="74"/>
        <v>469</v>
      </c>
      <c r="BF396" s="8">
        <v>0.42699999999999999</v>
      </c>
      <c r="BG396" s="8">
        <v>0.19</v>
      </c>
      <c r="BH396" s="8">
        <v>0.33200000000000002</v>
      </c>
      <c r="BI396" s="13">
        <f t="shared" si="75"/>
        <v>0.94900000000000007</v>
      </c>
      <c r="BJ396" s="14">
        <v>45</v>
      </c>
      <c r="BK396" s="14">
        <v>20</v>
      </c>
      <c r="BL396" s="14">
        <v>35</v>
      </c>
      <c r="BM396" s="16">
        <f t="shared" si="69"/>
        <v>100</v>
      </c>
      <c r="BN396" s="21">
        <f t="shared" si="70"/>
        <v>2</v>
      </c>
      <c r="BO396" s="21">
        <f t="shared" si="71"/>
        <v>0.89</v>
      </c>
      <c r="BP396" s="21">
        <f t="shared" si="72"/>
        <v>1.56</v>
      </c>
      <c r="BQ396" s="14">
        <f t="shared" si="73"/>
        <v>4.45</v>
      </c>
      <c r="BR396" s="22" t="str">
        <f>IF(OR(AND(X396="Mourões", BQ396&gt;=6.5),AND(X396="Postes", BQ396&gt;=9.6),AND(X396="Dormentes", BQ396&gt;=9.6),AND(X396="Estacas - Solo", BQ396&gt;=6.5),AND(X396="Estacas - Suspenso", BQ396&gt;=4),AND(X396="Cruzetas", BQ396&gt;=6.5),AND(X396="Outros - Solo", BQ396&gt;=6.5),AND(X396="Outros - Suspenso",BQ396&gt;=4),AND(X396="Deck",BQ396&gt;=4)),'Listas suspensas'!$C$21,'Listas suspensas'!$C$22)</f>
        <v>Os resultados da análise química apresentaram uma retenção do produto de acordo com o padrão mínimo exigido pela norma ABNT NBR 16143</v>
      </c>
    </row>
    <row r="397" spans="2:70" x14ac:dyDescent="0.25">
      <c r="B397" s="8" t="s">
        <v>1026</v>
      </c>
      <c r="C397" s="8" t="s">
        <v>71</v>
      </c>
      <c r="F397" s="11">
        <v>45937</v>
      </c>
      <c r="G397" s="11">
        <v>45938</v>
      </c>
      <c r="H397" s="11">
        <v>45939</v>
      </c>
      <c r="I397" s="8" t="s">
        <v>896</v>
      </c>
      <c r="J397" s="8" t="s">
        <v>1016</v>
      </c>
      <c r="K397" s="8" t="s">
        <v>619</v>
      </c>
      <c r="L397" s="8" t="s">
        <v>15</v>
      </c>
      <c r="M397" s="30" t="s">
        <v>898</v>
      </c>
      <c r="N397" s="8" t="s">
        <v>75</v>
      </c>
      <c r="O397" s="8" t="s">
        <v>94</v>
      </c>
      <c r="P397" s="28" t="s">
        <v>471</v>
      </c>
      <c r="Q397" s="16" t="s">
        <v>1027</v>
      </c>
      <c r="X397" s="8" t="s">
        <v>473</v>
      </c>
      <c r="Y397" s="34">
        <f>IF(X397='Listas suspensas'!$A$21,'Listas suspensas'!$B$23,IF(X397='Listas suspensas'!$A$22,'Listas suspensas'!$B$23,IF(X397='Listas suspensas'!$A$23,'Listas suspensas'!$B$22,IF(X397='Listas suspensas'!$A$26,'Listas suspensas'!$B$22,IF(X397='Listas suspensas'!$A$32,'Listas suspensas'!$B$22,IF(X397='Listas suspensas'!$A$33,'Listas suspensas'!$B$21,IF(X397='Listas suspensas'!$A$24,'Listas suspensas'!$B$22,IF(X397='Listas suspensas'!$A$25,'Listas suspensas'!$B$21,IF(X397='Listas suspensas'!$A$30,'Listas suspensas'!$B$21,"")))))))))</f>
        <v>4</v>
      </c>
      <c r="Z397" s="8" t="s">
        <v>80</v>
      </c>
      <c r="AA397" s="8">
        <v>2</v>
      </c>
      <c r="AB397" s="8" t="str">
        <f>IF(AA397='Listas suspensas'!$A$2,'Listas suspensas'!$B$2,IF(AA397='Listas suspensas'!$A$3,'Listas suspensas'!$B$3,IF(AA397='Listas suspensas'!$A$4,'Listas suspensas'!$B$4,IF(AA397='Listas suspensas'!$A$5,'Listas suspensas'!$B$5,IF(AA397='Listas suspensas'!$A$6,'Listas suspensas'!$B$6,"")))))</f>
        <v>Profunda e irregular</v>
      </c>
      <c r="AC397" s="8" t="str">
        <f>IF(AA397='Listas suspensas'!$A$2,'Listas suspensas'!$C$2,IF(AA397='Listas suspensas'!$A$3,'Listas suspensas'!$C$3,IF(AA397='Listas suspensas'!$A$4,'Listas suspensas'!$C$4,IF(AA397='Listas suspensas'!$A$5,'Listas suspensas'!$C$5,IF(AA397='Listas suspensas'!$A$6,'Listas suspensas'!$C$6,"")))))</f>
        <v>Indica a penetração profunda, mas desuniforme em toda a extensão do alburno.</v>
      </c>
      <c r="BD397" s="13">
        <v>0.47</v>
      </c>
      <c r="BE397" s="18">
        <f t="shared" si="74"/>
        <v>470</v>
      </c>
      <c r="BF397" s="8">
        <v>0.44</v>
      </c>
      <c r="BG397" s="8">
        <v>0.17499999999999999</v>
      </c>
      <c r="BH397" s="8">
        <v>0.31900000000000001</v>
      </c>
      <c r="BI397" s="13">
        <f t="shared" si="75"/>
        <v>0.93399999999999994</v>
      </c>
      <c r="BJ397" s="14">
        <v>47.1</v>
      </c>
      <c r="BK397" s="14">
        <v>18.7</v>
      </c>
      <c r="BL397" s="14">
        <v>34.200000000000003</v>
      </c>
      <c r="BM397" s="16">
        <f t="shared" si="69"/>
        <v>100</v>
      </c>
      <c r="BN397" s="21">
        <f t="shared" si="70"/>
        <v>2.0699999999999998</v>
      </c>
      <c r="BO397" s="21">
        <f t="shared" si="71"/>
        <v>0.82</v>
      </c>
      <c r="BP397" s="21">
        <f t="shared" si="72"/>
        <v>1.5</v>
      </c>
      <c r="BQ397" s="14">
        <f t="shared" si="73"/>
        <v>4.3899999999999997</v>
      </c>
      <c r="BR397" s="22" t="str">
        <f>IF(OR(AND(X397="Mourões", BQ397&gt;=6.5),AND(X397="Postes", BQ397&gt;=9.6),AND(X397="Dormentes", BQ397&gt;=9.6),AND(X397="Estacas - Solo", BQ397&gt;=6.5),AND(X397="Estacas - Suspenso", BQ397&gt;=4),AND(X397="Cruzetas", BQ397&gt;=6.5),AND(X397="Outros - Solo", BQ397&gt;=6.5),AND(X397="Outros - Suspenso",BQ397&gt;=4),AND(X397="Deck",BQ397&gt;=4)),'Listas suspensas'!$C$21,'Listas suspensas'!$C$22)</f>
        <v>Os resultados da análise química apresentaram uma retenção do produto de acordo com o padrão mínimo exigido pela norma ABNT NBR 16143</v>
      </c>
    </row>
    <row r="398" spans="2:70" x14ac:dyDescent="0.25">
      <c r="B398" s="8" t="s">
        <v>1028</v>
      </c>
      <c r="C398" s="8" t="s">
        <v>71</v>
      </c>
      <c r="F398" s="11">
        <v>45937</v>
      </c>
      <c r="G398" s="11">
        <v>45938</v>
      </c>
      <c r="H398" s="11">
        <v>45944</v>
      </c>
      <c r="I398" s="8" t="s">
        <v>187</v>
      </c>
      <c r="J398" s="8" t="s">
        <v>188</v>
      </c>
      <c r="K398" s="8" t="s">
        <v>189</v>
      </c>
      <c r="L398" s="8" t="s">
        <v>15</v>
      </c>
      <c r="M398" s="30" t="s">
        <v>190</v>
      </c>
      <c r="N398" s="8" t="s">
        <v>75</v>
      </c>
      <c r="O398" s="8" t="s">
        <v>94</v>
      </c>
      <c r="P398" s="28" t="s">
        <v>77</v>
      </c>
      <c r="Q398" s="16" t="s">
        <v>1029</v>
      </c>
      <c r="X398" s="8" t="s">
        <v>79</v>
      </c>
      <c r="Y398" s="34">
        <f>IF(X398='Listas suspensas'!$A$21,'Listas suspensas'!$B$23,IF(X398='Listas suspensas'!$A$22,'Listas suspensas'!$B$23,IF(X398='Listas suspensas'!$A$23,'Listas suspensas'!$B$22,IF(X398='Listas suspensas'!$A$26,'Listas suspensas'!$B$22,IF(X398='Listas suspensas'!$A$32,'Listas suspensas'!$B$22,IF(X398='Listas suspensas'!$A$33,'Listas suspensas'!$B$21,IF(X398='Listas suspensas'!$A$24,'Listas suspensas'!$B$22,IF(X398='Listas suspensas'!$A$25,'Listas suspensas'!$B$21,IF(X398='Listas suspensas'!$A$30,'Listas suspensas'!$B$21,"")))))))))</f>
        <v>6.5</v>
      </c>
      <c r="Z398" s="8" t="s">
        <v>80</v>
      </c>
      <c r="AA398" s="8">
        <v>2</v>
      </c>
      <c r="AB398" s="8" t="str">
        <f>IF(AA398='Listas suspensas'!$A$2,'Listas suspensas'!$B$2,IF(AA398='Listas suspensas'!$A$3,'Listas suspensas'!$B$3,IF(AA398='Listas suspensas'!$A$4,'Listas suspensas'!$B$4,IF(AA398='Listas suspensas'!$A$5,'Listas suspensas'!$B$5,IF(AA398='Listas suspensas'!$A$6,'Listas suspensas'!$B$6,"")))))</f>
        <v>Profunda e irregular</v>
      </c>
      <c r="AC398" s="8" t="str">
        <f>IF(AA398='Listas suspensas'!$A$2,'Listas suspensas'!$C$2,IF(AA398='Listas suspensas'!$A$3,'Listas suspensas'!$C$3,IF(AA398='Listas suspensas'!$A$4,'Listas suspensas'!$C$4,IF(AA398='Listas suspensas'!$A$5,'Listas suspensas'!$C$5,IF(AA398='Listas suspensas'!$A$6,'Listas suspensas'!$C$6,"")))))</f>
        <v>Indica a penetração profunda, mas desuniforme em toda a extensão do alburno.</v>
      </c>
      <c r="BD398" s="13">
        <v>0.94399999999999995</v>
      </c>
      <c r="BE398" s="18">
        <f t="shared" si="74"/>
        <v>944</v>
      </c>
      <c r="BF398" s="8">
        <v>0.40699999999999997</v>
      </c>
      <c r="BG398" s="8">
        <v>0.24099999999999999</v>
      </c>
      <c r="BH398" s="8">
        <v>0.49299999999999999</v>
      </c>
      <c r="BI398" s="13">
        <f t="shared" si="75"/>
        <v>1.141</v>
      </c>
      <c r="BJ398" s="14">
        <v>35.700000000000003</v>
      </c>
      <c r="BK398" s="14">
        <v>21.2</v>
      </c>
      <c r="BL398" s="14">
        <v>43.1</v>
      </c>
      <c r="BM398" s="16">
        <f t="shared" si="69"/>
        <v>100</v>
      </c>
      <c r="BN398" s="21">
        <f t="shared" si="70"/>
        <v>3.84</v>
      </c>
      <c r="BO398" s="21">
        <f t="shared" si="71"/>
        <v>2.2799999999999998</v>
      </c>
      <c r="BP398" s="21">
        <f t="shared" si="72"/>
        <v>4.6500000000000004</v>
      </c>
      <c r="BQ398" s="14">
        <f t="shared" si="73"/>
        <v>10.77</v>
      </c>
      <c r="BR398" s="22" t="str">
        <f>IF(OR(AND(X398="Mourões", BQ398&gt;=6.5),AND(X398="Postes", BQ398&gt;=9.6),AND(X398="Dormentes", BQ398&gt;=9.6),AND(X398="Estacas - Solo", BQ398&gt;=6.5),AND(X398="Estacas - Suspenso", BQ398&gt;=4),AND(X398="Cruzetas", BQ398&gt;=6.5),AND(X398="Outros - Solo", BQ398&gt;=6.5),AND(X398="Outros - Suspenso",BQ398&gt;=4),AND(X398="Deck",BQ398&gt;=4)),'Listas suspensas'!$C$21,'Listas suspensas'!$C$22)</f>
        <v>Os resultados da análise química apresentaram uma retenção do produto de acordo com o padrão mínimo exigido pela norma ABNT NBR 16143</v>
      </c>
    </row>
    <row r="399" spans="2:70" x14ac:dyDescent="0.25">
      <c r="B399" s="8" t="s">
        <v>1030</v>
      </c>
      <c r="C399" s="8" t="s">
        <v>71</v>
      </c>
      <c r="F399" s="11">
        <v>45939</v>
      </c>
      <c r="G399" s="11">
        <v>45940</v>
      </c>
      <c r="H399" s="11">
        <v>45946</v>
      </c>
      <c r="I399" s="8" t="s">
        <v>1032</v>
      </c>
      <c r="J399" s="8" t="s">
        <v>108</v>
      </c>
      <c r="K399" s="8" t="s">
        <v>109</v>
      </c>
      <c r="L399" s="8" t="s">
        <v>15</v>
      </c>
      <c r="M399" s="30" t="s">
        <v>1033</v>
      </c>
      <c r="N399" s="8" t="s">
        <v>75</v>
      </c>
      <c r="O399" s="8" t="s">
        <v>94</v>
      </c>
      <c r="P399" s="28" t="s">
        <v>146</v>
      </c>
      <c r="Q399" s="16" t="s">
        <v>620</v>
      </c>
      <c r="X399" s="8" t="s">
        <v>79</v>
      </c>
      <c r="Y399" s="34">
        <f>IF(X399='Listas suspensas'!$A$21,'Listas suspensas'!$B$23,IF(X399='Listas suspensas'!$A$22,'Listas suspensas'!$B$23,IF(X399='Listas suspensas'!$A$23,'Listas suspensas'!$B$22,IF(X399='Listas suspensas'!$A$26,'Listas suspensas'!$B$22,IF(X399='Listas suspensas'!$A$32,'Listas suspensas'!$B$22,IF(X399='Listas suspensas'!$A$33,'Listas suspensas'!$B$21,IF(X399='Listas suspensas'!$A$24,'Listas suspensas'!$B$22,IF(X399='Listas suspensas'!$A$25,'Listas suspensas'!$B$21,IF(X399='Listas suspensas'!$A$30,'Listas suspensas'!$B$21,"")))))))))</f>
        <v>6.5</v>
      </c>
      <c r="Z399" s="8" t="s">
        <v>80</v>
      </c>
      <c r="AA399" s="8">
        <v>2</v>
      </c>
      <c r="AB399" s="8" t="str">
        <f>IF(AA399='Listas suspensas'!$A$2,'Listas suspensas'!$B$2,IF(AA399='Listas suspensas'!$A$3,'Listas suspensas'!$B$3,IF(AA399='Listas suspensas'!$A$4,'Listas suspensas'!$B$4,IF(AA399='Listas suspensas'!$A$5,'Listas suspensas'!$B$5,IF(AA399='Listas suspensas'!$A$6,'Listas suspensas'!$B$6,"")))))</f>
        <v>Profunda e irregular</v>
      </c>
      <c r="AC399" s="8" t="str">
        <f>IF(AA399='Listas suspensas'!$A$2,'Listas suspensas'!$C$2,IF(AA399='Listas suspensas'!$A$3,'Listas suspensas'!$C$3,IF(AA399='Listas suspensas'!$A$4,'Listas suspensas'!$C$4,IF(AA399='Listas suspensas'!$A$5,'Listas suspensas'!$C$5,IF(AA399='Listas suspensas'!$A$6,'Listas suspensas'!$C$6,"")))))</f>
        <v>Indica a penetração profunda, mas desuniforme em toda a extensão do alburno.</v>
      </c>
      <c r="BD399" s="13">
        <v>0.70199999999999996</v>
      </c>
      <c r="BE399" s="18">
        <f t="shared" si="74"/>
        <v>702</v>
      </c>
      <c r="BF399" s="8">
        <v>0.437</v>
      </c>
      <c r="BG399" s="8">
        <v>0.25600000000000001</v>
      </c>
      <c r="BH399" s="8">
        <v>0.59199999999999997</v>
      </c>
      <c r="BI399" s="13">
        <f t="shared" si="75"/>
        <v>1.2850000000000001</v>
      </c>
      <c r="BJ399" s="14">
        <v>34</v>
      </c>
      <c r="BK399" s="14">
        <v>19.899999999999999</v>
      </c>
      <c r="BL399" s="14">
        <v>46.1</v>
      </c>
      <c r="BM399" s="16">
        <f t="shared" si="69"/>
        <v>100</v>
      </c>
      <c r="BN399" s="21">
        <f t="shared" si="70"/>
        <v>3.07</v>
      </c>
      <c r="BO399" s="21">
        <f t="shared" si="71"/>
        <v>1.8</v>
      </c>
      <c r="BP399" s="21">
        <f t="shared" si="72"/>
        <v>4.16</v>
      </c>
      <c r="BQ399" s="14">
        <f t="shared" si="73"/>
        <v>9.0299999999999994</v>
      </c>
      <c r="BR399" s="22" t="str">
        <f>IF(OR(AND(X399="Mourões", BQ399&gt;=6.5),AND(X399="Postes", BQ399&gt;=9.6),AND(X399="Dormentes", BQ399&gt;=9.6),AND(X399="Estacas - Solo", BQ399&gt;=6.5),AND(X399="Estacas - Suspenso", BQ399&gt;=4),AND(X399="Cruzetas", BQ399&gt;=6.5),AND(X399="Outros - Solo", BQ399&gt;=6.5),AND(X399="Outros - Suspenso",BQ399&gt;=4),AND(X399="Deck",BQ399&gt;=4)),'Listas suspensas'!$C$21,'Listas suspensas'!$C$22)</f>
        <v>Os resultados da análise química apresentaram uma retenção do produto de acordo com o padrão mínimo exigido pela norma ABNT NBR 16143</v>
      </c>
    </row>
    <row r="400" spans="2:70" x14ac:dyDescent="0.25">
      <c r="B400" s="8" t="s">
        <v>1034</v>
      </c>
      <c r="C400" s="8" t="s">
        <v>71</v>
      </c>
      <c r="F400" s="11">
        <v>45939</v>
      </c>
      <c r="G400" s="11">
        <v>45940</v>
      </c>
      <c r="H400" s="11">
        <v>45946</v>
      </c>
      <c r="I400" s="8" t="s">
        <v>1032</v>
      </c>
      <c r="J400" s="8" t="s">
        <v>108</v>
      </c>
      <c r="K400" s="8" t="s">
        <v>109</v>
      </c>
      <c r="L400" s="8" t="s">
        <v>15</v>
      </c>
      <c r="M400" s="30" t="s">
        <v>1033</v>
      </c>
      <c r="N400" s="8" t="s">
        <v>75</v>
      </c>
      <c r="O400" s="8" t="s">
        <v>94</v>
      </c>
      <c r="P400" s="28" t="s">
        <v>146</v>
      </c>
      <c r="Q400" s="16" t="s">
        <v>622</v>
      </c>
      <c r="X400" s="8" t="s">
        <v>79</v>
      </c>
      <c r="Y400" s="34">
        <f>IF(X400='Listas suspensas'!$A$21,'Listas suspensas'!$B$23,IF(X400='Listas suspensas'!$A$22,'Listas suspensas'!$B$23,IF(X400='Listas suspensas'!$A$23,'Listas suspensas'!$B$22,IF(X400='Listas suspensas'!$A$26,'Listas suspensas'!$B$22,IF(X400='Listas suspensas'!$A$32,'Listas suspensas'!$B$22,IF(X400='Listas suspensas'!$A$33,'Listas suspensas'!$B$21,IF(X400='Listas suspensas'!$A$24,'Listas suspensas'!$B$22,IF(X400='Listas suspensas'!$A$25,'Listas suspensas'!$B$21,IF(X400='Listas suspensas'!$A$30,'Listas suspensas'!$B$21,"")))))))))</f>
        <v>6.5</v>
      </c>
      <c r="Z400" s="8" t="s">
        <v>80</v>
      </c>
      <c r="AA400" s="8">
        <v>2</v>
      </c>
      <c r="AB400" s="8" t="str">
        <f>IF(AA400='Listas suspensas'!$A$2,'Listas suspensas'!$B$2,IF(AA400='Listas suspensas'!$A$3,'Listas suspensas'!$B$3,IF(AA400='Listas suspensas'!$A$4,'Listas suspensas'!$B$4,IF(AA400='Listas suspensas'!$A$5,'Listas suspensas'!$B$5,IF(AA400='Listas suspensas'!$A$6,'Listas suspensas'!$B$6,"")))))</f>
        <v>Profunda e irregular</v>
      </c>
      <c r="AC400" s="8" t="str">
        <f>IF(AA400='Listas suspensas'!$A$2,'Listas suspensas'!$C$2,IF(AA400='Listas suspensas'!$A$3,'Listas suspensas'!$C$3,IF(AA400='Listas suspensas'!$A$4,'Listas suspensas'!$C$4,IF(AA400='Listas suspensas'!$A$5,'Listas suspensas'!$C$5,IF(AA400='Listas suspensas'!$A$6,'Listas suspensas'!$C$6,"")))))</f>
        <v>Indica a penetração profunda, mas desuniforme em toda a extensão do alburno.</v>
      </c>
      <c r="BD400" s="13">
        <v>0.71699999999999997</v>
      </c>
      <c r="BE400" s="18">
        <f t="shared" si="74"/>
        <v>717</v>
      </c>
      <c r="BF400" s="8">
        <v>0.38</v>
      </c>
      <c r="BG400" s="8">
        <v>0.218</v>
      </c>
      <c r="BH400" s="8">
        <v>0.47799999999999998</v>
      </c>
      <c r="BI400" s="13">
        <f t="shared" si="75"/>
        <v>1.0760000000000001</v>
      </c>
      <c r="BJ400" s="14">
        <v>35.299999999999997</v>
      </c>
      <c r="BK400" s="14">
        <v>20.3</v>
      </c>
      <c r="BL400" s="14">
        <v>44.4</v>
      </c>
      <c r="BM400" s="16">
        <f t="shared" si="69"/>
        <v>100</v>
      </c>
      <c r="BN400" s="21">
        <f t="shared" si="70"/>
        <v>2.72</v>
      </c>
      <c r="BO400" s="21">
        <f t="shared" si="71"/>
        <v>1.56</v>
      </c>
      <c r="BP400" s="21">
        <f t="shared" si="72"/>
        <v>3.43</v>
      </c>
      <c r="BQ400" s="14">
        <f t="shared" si="73"/>
        <v>7.71</v>
      </c>
      <c r="BR400" s="22" t="str">
        <f>IF(OR(AND(X400="Mourões", BQ400&gt;=6.5),AND(X400="Postes", BQ400&gt;=9.6),AND(X400="Dormentes", BQ400&gt;=9.6),AND(X400="Estacas - Solo", BQ400&gt;=6.5),AND(X400="Estacas - Suspenso", BQ400&gt;=4),AND(X400="Cruzetas", BQ400&gt;=6.5),AND(X400="Outros - Solo", BQ400&gt;=6.5),AND(X400="Outros - Suspenso",BQ400&gt;=4),AND(X400="Deck",BQ400&gt;=4)),'Listas suspensas'!$C$21,'Listas suspensas'!$C$22)</f>
        <v>Os resultados da análise química apresentaram uma retenção do produto de acordo com o padrão mínimo exigido pela norma ABNT NBR 16143</v>
      </c>
    </row>
    <row r="401" spans="2:70" x14ac:dyDescent="0.25">
      <c r="B401" s="8" t="s">
        <v>1035</v>
      </c>
      <c r="C401" s="8" t="s">
        <v>71</v>
      </c>
      <c r="F401" s="11">
        <v>45939</v>
      </c>
      <c r="G401" s="11">
        <v>45940</v>
      </c>
      <c r="H401" s="11">
        <v>45946</v>
      </c>
      <c r="I401" s="8" t="s">
        <v>1032</v>
      </c>
      <c r="J401" s="8" t="s">
        <v>108</v>
      </c>
      <c r="K401" s="8" t="s">
        <v>109</v>
      </c>
      <c r="L401" s="8" t="s">
        <v>15</v>
      </c>
      <c r="M401" s="30" t="s">
        <v>1033</v>
      </c>
      <c r="N401" s="8" t="s">
        <v>75</v>
      </c>
      <c r="O401" s="8" t="s">
        <v>94</v>
      </c>
      <c r="P401" s="28" t="s">
        <v>146</v>
      </c>
      <c r="Q401" s="16" t="s">
        <v>624</v>
      </c>
      <c r="X401" s="8" t="s">
        <v>79</v>
      </c>
      <c r="Y401" s="34">
        <f>IF(X401='Listas suspensas'!$A$21,'Listas suspensas'!$B$23,IF(X401='Listas suspensas'!$A$22,'Listas suspensas'!$B$23,IF(X401='Listas suspensas'!$A$23,'Listas suspensas'!$B$22,IF(X401='Listas suspensas'!$A$26,'Listas suspensas'!$B$22,IF(X401='Listas suspensas'!$A$32,'Listas suspensas'!$B$22,IF(X401='Listas suspensas'!$A$33,'Listas suspensas'!$B$21,IF(X401='Listas suspensas'!$A$24,'Listas suspensas'!$B$22,IF(X401='Listas suspensas'!$A$25,'Listas suspensas'!$B$21,IF(X401='Listas suspensas'!$A$30,'Listas suspensas'!$B$21,"")))))))))</f>
        <v>6.5</v>
      </c>
      <c r="Z401" s="8" t="s">
        <v>80</v>
      </c>
      <c r="AA401" s="8">
        <v>2</v>
      </c>
      <c r="AB401" s="8" t="str">
        <f>IF(AA401='Listas suspensas'!$A$2,'Listas suspensas'!$B$2,IF(AA401='Listas suspensas'!$A$3,'Listas suspensas'!$B$3,IF(AA401='Listas suspensas'!$A$4,'Listas suspensas'!$B$4,IF(AA401='Listas suspensas'!$A$5,'Listas suspensas'!$B$5,IF(AA401='Listas suspensas'!$A$6,'Listas suspensas'!$B$6,"")))))</f>
        <v>Profunda e irregular</v>
      </c>
      <c r="AC401" s="8" t="str">
        <f>IF(AA401='Listas suspensas'!$A$2,'Listas suspensas'!$C$2,IF(AA401='Listas suspensas'!$A$3,'Listas suspensas'!$C$3,IF(AA401='Listas suspensas'!$A$4,'Listas suspensas'!$C$4,IF(AA401='Listas suspensas'!$A$5,'Listas suspensas'!$C$5,IF(AA401='Listas suspensas'!$A$6,'Listas suspensas'!$C$6,"")))))</f>
        <v>Indica a penetração profunda, mas desuniforme em toda a extensão do alburno.</v>
      </c>
      <c r="BD401" s="13">
        <v>0.77200000000000002</v>
      </c>
      <c r="BE401" s="18">
        <f t="shared" si="74"/>
        <v>772</v>
      </c>
      <c r="BF401" s="8">
        <v>0.433</v>
      </c>
      <c r="BG401" s="8">
        <v>0.24199999999999999</v>
      </c>
      <c r="BH401" s="8">
        <v>0.51900000000000002</v>
      </c>
      <c r="BI401" s="13">
        <f t="shared" si="75"/>
        <v>1.194</v>
      </c>
      <c r="BJ401" s="14">
        <v>36.299999999999997</v>
      </c>
      <c r="BK401" s="14">
        <v>20.3</v>
      </c>
      <c r="BL401" s="14">
        <v>43.4</v>
      </c>
      <c r="BM401" s="16">
        <f t="shared" si="69"/>
        <v>100</v>
      </c>
      <c r="BN401" s="21">
        <f t="shared" si="70"/>
        <v>3.34</v>
      </c>
      <c r="BO401" s="21">
        <f t="shared" si="71"/>
        <v>1.87</v>
      </c>
      <c r="BP401" s="21">
        <f t="shared" si="72"/>
        <v>4.01</v>
      </c>
      <c r="BQ401" s="14">
        <f t="shared" si="73"/>
        <v>9.2200000000000006</v>
      </c>
      <c r="BR401" s="22" t="str">
        <f>IF(OR(AND(X401="Mourões", BQ401&gt;=6.5),AND(X401="Postes", BQ401&gt;=9.6),AND(X401="Dormentes", BQ401&gt;=9.6),AND(X401="Estacas - Solo", BQ401&gt;=6.5),AND(X401="Estacas - Suspenso", BQ401&gt;=4),AND(X401="Cruzetas", BQ401&gt;=6.5),AND(X401="Outros - Solo", BQ401&gt;=6.5),AND(X401="Outros - Suspenso",BQ401&gt;=4),AND(X401="Deck",BQ401&gt;=4)),'Listas suspensas'!$C$21,'Listas suspensas'!$C$22)</f>
        <v>Os resultados da análise química apresentaram uma retenção do produto de acordo com o padrão mínimo exigido pela norma ABNT NBR 16143</v>
      </c>
    </row>
    <row r="402" spans="2:70" x14ac:dyDescent="0.25">
      <c r="B402" s="8" t="s">
        <v>1036</v>
      </c>
      <c r="C402" s="8" t="s">
        <v>71</v>
      </c>
      <c r="F402" s="11">
        <v>45939</v>
      </c>
      <c r="G402" s="11">
        <v>45940</v>
      </c>
      <c r="H402" s="11">
        <v>45946</v>
      </c>
      <c r="I402" s="8" t="s">
        <v>1032</v>
      </c>
      <c r="J402" s="8" t="s">
        <v>108</v>
      </c>
      <c r="K402" s="8" t="s">
        <v>109</v>
      </c>
      <c r="L402" s="8" t="s">
        <v>15</v>
      </c>
      <c r="M402" s="30" t="s">
        <v>1033</v>
      </c>
      <c r="N402" s="8" t="s">
        <v>75</v>
      </c>
      <c r="O402" s="8" t="s">
        <v>94</v>
      </c>
      <c r="P402" s="28" t="s">
        <v>146</v>
      </c>
      <c r="Q402" s="16" t="s">
        <v>626</v>
      </c>
      <c r="X402" s="8" t="s">
        <v>79</v>
      </c>
      <c r="Y402" s="34">
        <f>IF(X402='Listas suspensas'!$A$21,'Listas suspensas'!$B$23,IF(X402='Listas suspensas'!$A$22,'Listas suspensas'!$B$23,IF(X402='Listas suspensas'!$A$23,'Listas suspensas'!$B$22,IF(X402='Listas suspensas'!$A$26,'Listas suspensas'!$B$22,IF(X402='Listas suspensas'!$A$32,'Listas suspensas'!$B$22,IF(X402='Listas suspensas'!$A$33,'Listas suspensas'!$B$21,IF(X402='Listas suspensas'!$A$24,'Listas suspensas'!$B$22,IF(X402='Listas suspensas'!$A$25,'Listas suspensas'!$B$21,IF(X402='Listas suspensas'!$A$30,'Listas suspensas'!$B$21,"")))))))))</f>
        <v>6.5</v>
      </c>
      <c r="Z402" s="8" t="s">
        <v>80</v>
      </c>
      <c r="AA402" s="8">
        <v>4</v>
      </c>
      <c r="AB402" s="8" t="str">
        <f>IF(AA402='Listas suspensas'!$A$2,'Listas suspensas'!$B$2,IF(AA402='Listas suspensas'!$A$3,'Listas suspensas'!$B$3,IF(AA402='Listas suspensas'!$A$4,'Listas suspensas'!$B$4,IF(AA402='Listas suspensas'!$A$5,'Listas suspensas'!$B$5,IF(AA402='Listas suspensas'!$A$6,'Listas suspensas'!$B$6,"")))))</f>
        <v>Parcial e irregular</v>
      </c>
      <c r="AC402" s="8" t="str">
        <f>IF(AA402='Listas suspensas'!$A$2,'Listas suspensas'!$C$2,IF(AA402='Listas suspensas'!$A$3,'Listas suspensas'!$C$3,IF(AA402='Listas suspensas'!$A$4,'Listas suspensas'!$C$4,IF(AA402='Listas suspensas'!$A$5,'Listas suspensas'!$C$5,IF(AA402='Listas suspensas'!$A$6,'Listas suspensas'!$C$6,"")))))</f>
        <v>Indica a penetração desuniforme e não total pela extensão do alburno.</v>
      </c>
      <c r="BD402" s="13">
        <v>0.72</v>
      </c>
      <c r="BE402" s="18">
        <f t="shared" si="74"/>
        <v>720</v>
      </c>
      <c r="BF402" s="8">
        <v>0.30099999999999999</v>
      </c>
      <c r="BG402" s="8">
        <v>0.153</v>
      </c>
      <c r="BH402" s="8">
        <v>0.36399999999999999</v>
      </c>
      <c r="BI402" s="13">
        <f t="shared" si="75"/>
        <v>0.81799999999999995</v>
      </c>
      <c r="BJ402" s="14">
        <v>36.799999999999997</v>
      </c>
      <c r="BK402" s="14">
        <v>18.7</v>
      </c>
      <c r="BL402" s="14">
        <v>44.5</v>
      </c>
      <c r="BM402" s="16">
        <f t="shared" si="69"/>
        <v>100</v>
      </c>
      <c r="BN402" s="21">
        <f t="shared" si="70"/>
        <v>2.17</v>
      </c>
      <c r="BO402" s="21">
        <f t="shared" si="71"/>
        <v>1.1000000000000001</v>
      </c>
      <c r="BP402" s="21">
        <f t="shared" si="72"/>
        <v>2.62</v>
      </c>
      <c r="BQ402" s="14">
        <f t="shared" si="73"/>
        <v>5.89</v>
      </c>
      <c r="BR402" s="22" t="str">
        <f>IF(OR(AND(X402="Mourões", BQ402&gt;=6.5),AND(X402="Postes", BQ402&gt;=9.6),AND(X402="Dormentes", BQ402&gt;=9.6),AND(X402="Estacas - Solo", BQ402&gt;=6.5),AND(X402="Estacas - Suspenso", BQ402&gt;=4),AND(X402="Cruzetas", BQ402&gt;=6.5),AND(X402="Outros - Solo", BQ402&gt;=6.5),AND(X402="Outros - Suspenso",BQ402&gt;=4),AND(X402="Deck",BQ402&gt;=4)),'Listas suspensas'!$C$21,'Listas suspensas'!$C$22)</f>
        <v>Os resultados da análise química apresentaram uma retenção do produto inferior ao padrão mínimo exigido pela norma ABNT NBR 16143</v>
      </c>
    </row>
    <row r="403" spans="2:70" x14ac:dyDescent="0.25">
      <c r="B403" s="8" t="s">
        <v>1037</v>
      </c>
      <c r="C403" s="8" t="s">
        <v>71</v>
      </c>
      <c r="F403" s="11">
        <v>45939</v>
      </c>
      <c r="G403" s="11">
        <v>45940</v>
      </c>
      <c r="H403" s="11">
        <v>45946</v>
      </c>
      <c r="I403" s="8" t="s">
        <v>1032</v>
      </c>
      <c r="J403" s="8" t="s">
        <v>108</v>
      </c>
      <c r="K403" s="8" t="s">
        <v>109</v>
      </c>
      <c r="L403" s="8" t="s">
        <v>15</v>
      </c>
      <c r="M403" s="30" t="s">
        <v>1033</v>
      </c>
      <c r="N403" s="8" t="s">
        <v>75</v>
      </c>
      <c r="O403" s="8" t="s">
        <v>94</v>
      </c>
      <c r="P403" s="28" t="s">
        <v>146</v>
      </c>
      <c r="Q403" s="16" t="s">
        <v>628</v>
      </c>
      <c r="X403" s="8" t="s">
        <v>79</v>
      </c>
      <c r="Y403" s="34">
        <f>IF(X403='Listas suspensas'!$A$21,'Listas suspensas'!$B$23,IF(X403='Listas suspensas'!$A$22,'Listas suspensas'!$B$23,IF(X403='Listas suspensas'!$A$23,'Listas suspensas'!$B$22,IF(X403='Listas suspensas'!$A$26,'Listas suspensas'!$B$22,IF(X403='Listas suspensas'!$A$32,'Listas suspensas'!$B$22,IF(X403='Listas suspensas'!$A$33,'Listas suspensas'!$B$21,IF(X403='Listas suspensas'!$A$24,'Listas suspensas'!$B$22,IF(X403='Listas suspensas'!$A$25,'Listas suspensas'!$B$21,IF(X403='Listas suspensas'!$A$30,'Listas suspensas'!$B$21,"")))))))))</f>
        <v>6.5</v>
      </c>
      <c r="Z403" s="8" t="s">
        <v>80</v>
      </c>
      <c r="AA403" s="8">
        <v>3</v>
      </c>
      <c r="AB403" s="8" t="str">
        <f>IF(AA403='Listas suspensas'!$A$2,'Listas suspensas'!$B$2,IF(AA403='Listas suspensas'!$A$3,'Listas suspensas'!$B$3,IF(AA403='Listas suspensas'!$A$4,'Listas suspensas'!$B$4,IF(AA403='Listas suspensas'!$A$5,'Listas suspensas'!$B$5,IF(AA403='Listas suspensas'!$A$6,'Listas suspensas'!$B$6,"")))))</f>
        <v xml:space="preserve"> Parcial e regular</v>
      </c>
      <c r="AC403" s="8" t="str">
        <f>IF(AA403='Listas suspensas'!$A$2,'Listas suspensas'!$C$2,IF(AA403='Listas suspensas'!$A$3,'Listas suspensas'!$C$3,IF(AA403='Listas suspensas'!$A$4,'Listas suspensas'!$C$4,IF(AA403='Listas suspensas'!$A$5,'Listas suspensas'!$C$5,IF(AA403='Listas suspensas'!$A$6,'Listas suspensas'!$C$6,"")))))</f>
        <v>Indica a penetração uniforme, mas não total pela extensão do alburno.</v>
      </c>
      <c r="BD403" s="13">
        <v>0.80300000000000005</v>
      </c>
      <c r="BE403" s="18">
        <f t="shared" si="74"/>
        <v>803</v>
      </c>
      <c r="BF403" s="8">
        <v>0.35899999999999999</v>
      </c>
      <c r="BG403" s="8">
        <v>0.185</v>
      </c>
      <c r="BH403" s="8">
        <v>0.41799999999999998</v>
      </c>
      <c r="BI403" s="13">
        <f t="shared" si="75"/>
        <v>0.96199999999999997</v>
      </c>
      <c r="BJ403" s="14">
        <v>37.299999999999997</v>
      </c>
      <c r="BK403" s="14">
        <v>19.2</v>
      </c>
      <c r="BL403" s="14">
        <v>43.5</v>
      </c>
      <c r="BM403" s="16">
        <f t="shared" si="69"/>
        <v>100</v>
      </c>
      <c r="BN403" s="21">
        <f t="shared" si="70"/>
        <v>2.88</v>
      </c>
      <c r="BO403" s="21">
        <f t="shared" si="71"/>
        <v>1.49</v>
      </c>
      <c r="BP403" s="21">
        <f t="shared" si="72"/>
        <v>3.36</v>
      </c>
      <c r="BQ403" s="14">
        <f t="shared" si="73"/>
        <v>7.73</v>
      </c>
      <c r="BR403" s="22" t="str">
        <f>IF(OR(AND(X403="Mourões", BQ403&gt;=6.5),AND(X403="Postes", BQ403&gt;=9.6),AND(X403="Dormentes", BQ403&gt;=9.6),AND(X403="Estacas - Solo", BQ403&gt;=6.5),AND(X403="Estacas - Suspenso", BQ403&gt;=4),AND(X403="Cruzetas", BQ403&gt;=6.5),AND(X403="Outros - Solo", BQ403&gt;=6.5),AND(X403="Outros - Suspenso",BQ403&gt;=4),AND(X403="Deck",BQ403&gt;=4)),'Listas suspensas'!$C$21,'Listas suspensas'!$C$22)</f>
        <v>Os resultados da análise química apresentaram uma retenção do produto de acordo com o padrão mínimo exigido pela norma ABNT NBR 16143</v>
      </c>
    </row>
    <row r="404" spans="2:70" x14ac:dyDescent="0.25">
      <c r="B404" s="8" t="s">
        <v>1038</v>
      </c>
      <c r="C404" s="8" t="s">
        <v>71</v>
      </c>
      <c r="F404" s="11">
        <v>45939</v>
      </c>
      <c r="G404" s="11">
        <v>45940</v>
      </c>
      <c r="H404" s="11">
        <v>45946</v>
      </c>
      <c r="I404" s="8" t="s">
        <v>1032</v>
      </c>
      <c r="J404" s="8" t="s">
        <v>108</v>
      </c>
      <c r="K404" s="8" t="s">
        <v>109</v>
      </c>
      <c r="L404" s="8" t="s">
        <v>15</v>
      </c>
      <c r="M404" s="30" t="s">
        <v>1033</v>
      </c>
      <c r="N404" s="8" t="s">
        <v>75</v>
      </c>
      <c r="O404" s="8" t="s">
        <v>94</v>
      </c>
      <c r="P404" s="28" t="s">
        <v>146</v>
      </c>
      <c r="Q404" s="16" t="s">
        <v>1039</v>
      </c>
      <c r="X404" s="8" t="s">
        <v>79</v>
      </c>
      <c r="Y404" s="34">
        <f>IF(X404='Listas suspensas'!$A$21,'Listas suspensas'!$B$23,IF(X404='Listas suspensas'!$A$22,'Listas suspensas'!$B$23,IF(X404='Listas suspensas'!$A$23,'Listas suspensas'!$B$22,IF(X404='Listas suspensas'!$A$26,'Listas suspensas'!$B$22,IF(X404='Listas suspensas'!$A$32,'Listas suspensas'!$B$22,IF(X404='Listas suspensas'!$A$33,'Listas suspensas'!$B$21,IF(X404='Listas suspensas'!$A$24,'Listas suspensas'!$B$22,IF(X404='Listas suspensas'!$A$25,'Listas suspensas'!$B$21,IF(X404='Listas suspensas'!$A$30,'Listas suspensas'!$B$21,"")))))))))</f>
        <v>6.5</v>
      </c>
      <c r="Z404" s="8" t="s">
        <v>80</v>
      </c>
      <c r="AA404" s="8">
        <v>2</v>
      </c>
      <c r="AB404" s="8" t="str">
        <f>IF(AA404='Listas suspensas'!$A$2,'Listas suspensas'!$B$2,IF(AA404='Listas suspensas'!$A$3,'Listas suspensas'!$B$3,IF(AA404='Listas suspensas'!$A$4,'Listas suspensas'!$B$4,IF(AA404='Listas suspensas'!$A$5,'Listas suspensas'!$B$5,IF(AA404='Listas suspensas'!$A$6,'Listas suspensas'!$B$6,"")))))</f>
        <v>Profunda e irregular</v>
      </c>
      <c r="AC404" s="8" t="str">
        <f>IF(AA404='Listas suspensas'!$A$2,'Listas suspensas'!$C$2,IF(AA404='Listas suspensas'!$A$3,'Listas suspensas'!$C$3,IF(AA404='Listas suspensas'!$A$4,'Listas suspensas'!$C$4,IF(AA404='Listas suspensas'!$A$5,'Listas suspensas'!$C$5,IF(AA404='Listas suspensas'!$A$6,'Listas suspensas'!$C$6,"")))))</f>
        <v>Indica a penetração profunda, mas desuniforme em toda a extensão do alburno.</v>
      </c>
      <c r="BD404" s="13">
        <v>0.71599999999999997</v>
      </c>
      <c r="BE404" s="18">
        <f t="shared" si="74"/>
        <v>716</v>
      </c>
      <c r="BF404" s="8">
        <v>0.443</v>
      </c>
      <c r="BG404" s="8">
        <v>0.24</v>
      </c>
      <c r="BH404" s="8">
        <v>0.52800000000000002</v>
      </c>
      <c r="BI404" s="13">
        <f t="shared" si="75"/>
        <v>1.2110000000000001</v>
      </c>
      <c r="BJ404" s="14">
        <v>36.6</v>
      </c>
      <c r="BK404" s="14">
        <v>19.8</v>
      </c>
      <c r="BL404" s="14">
        <v>43.6</v>
      </c>
      <c r="BM404" s="16">
        <f t="shared" si="69"/>
        <v>100</v>
      </c>
      <c r="BN404" s="21">
        <f t="shared" si="70"/>
        <v>3.17</v>
      </c>
      <c r="BO404" s="21">
        <f t="shared" si="71"/>
        <v>1.72</v>
      </c>
      <c r="BP404" s="21">
        <f t="shared" si="72"/>
        <v>3.78</v>
      </c>
      <c r="BQ404" s="14">
        <f t="shared" si="73"/>
        <v>8.67</v>
      </c>
      <c r="BR404" s="22" t="str">
        <f>IF(OR(AND(X404="Mourões", BQ404&gt;=6.5),AND(X404="Postes", BQ404&gt;=9.6),AND(X404="Dormentes", BQ404&gt;=9.6),AND(X404="Estacas - Solo", BQ404&gt;=6.5),AND(X404="Estacas - Suspenso", BQ404&gt;=4),AND(X404="Cruzetas", BQ404&gt;=6.5),AND(X404="Outros - Solo", BQ404&gt;=6.5),AND(X404="Outros - Suspenso",BQ404&gt;=4),AND(X404="Deck",BQ404&gt;=4)),'Listas suspensas'!$C$21,'Listas suspensas'!$C$22)</f>
        <v>Os resultados da análise química apresentaram uma retenção do produto de acordo com o padrão mínimo exigido pela norma ABNT NBR 16143</v>
      </c>
    </row>
    <row r="405" spans="2:70" x14ac:dyDescent="0.25">
      <c r="B405" s="8" t="s">
        <v>1040</v>
      </c>
      <c r="C405" s="8" t="s">
        <v>71</v>
      </c>
      <c r="F405" s="11">
        <v>45939</v>
      </c>
      <c r="G405" s="11">
        <v>45940</v>
      </c>
      <c r="H405" s="11">
        <v>45946</v>
      </c>
      <c r="I405" s="8" t="s">
        <v>1032</v>
      </c>
      <c r="J405" s="8" t="s">
        <v>108</v>
      </c>
      <c r="K405" s="8" t="s">
        <v>109</v>
      </c>
      <c r="L405" s="8" t="s">
        <v>15</v>
      </c>
      <c r="M405" s="30" t="s">
        <v>1033</v>
      </c>
      <c r="N405" s="8" t="s">
        <v>75</v>
      </c>
      <c r="O405" s="8" t="s">
        <v>94</v>
      </c>
      <c r="P405" s="28" t="s">
        <v>146</v>
      </c>
      <c r="Q405" s="16" t="s">
        <v>1041</v>
      </c>
      <c r="X405" s="8" t="s">
        <v>79</v>
      </c>
      <c r="Y405" s="34">
        <f>IF(X405='Listas suspensas'!$A$21,'Listas suspensas'!$B$23,IF(X405='Listas suspensas'!$A$22,'Listas suspensas'!$B$23,IF(X405='Listas suspensas'!$A$23,'Listas suspensas'!$B$22,IF(X405='Listas suspensas'!$A$26,'Listas suspensas'!$B$22,IF(X405='Listas suspensas'!$A$32,'Listas suspensas'!$B$22,IF(X405='Listas suspensas'!$A$33,'Listas suspensas'!$B$21,IF(X405='Listas suspensas'!$A$24,'Listas suspensas'!$B$22,IF(X405='Listas suspensas'!$A$25,'Listas suspensas'!$B$21,IF(X405='Listas suspensas'!$A$30,'Listas suspensas'!$B$21,"")))))))))</f>
        <v>6.5</v>
      </c>
      <c r="Z405" s="8" t="s">
        <v>80</v>
      </c>
      <c r="AA405" s="8">
        <v>3</v>
      </c>
      <c r="AB405" s="8" t="str">
        <f>IF(AA405='Listas suspensas'!$A$2,'Listas suspensas'!$B$2,IF(AA405='Listas suspensas'!$A$3,'Listas suspensas'!$B$3,IF(AA405='Listas suspensas'!$A$4,'Listas suspensas'!$B$4,IF(AA405='Listas suspensas'!$A$5,'Listas suspensas'!$B$5,IF(AA405='Listas suspensas'!$A$6,'Listas suspensas'!$B$6,"")))))</f>
        <v xml:space="preserve"> Parcial e regular</v>
      </c>
      <c r="AC405" s="8" t="str">
        <f>IF(AA405='Listas suspensas'!$A$2,'Listas suspensas'!$C$2,IF(AA405='Listas suspensas'!$A$3,'Listas suspensas'!$C$3,IF(AA405='Listas suspensas'!$A$4,'Listas suspensas'!$C$4,IF(AA405='Listas suspensas'!$A$5,'Listas suspensas'!$C$5,IF(AA405='Listas suspensas'!$A$6,'Listas suspensas'!$C$6,"")))))</f>
        <v>Indica a penetração uniforme, mas não total pela extensão do alburno.</v>
      </c>
      <c r="BD405" s="13">
        <v>0.77</v>
      </c>
      <c r="BE405" s="18">
        <f t="shared" si="74"/>
        <v>770</v>
      </c>
      <c r="BF405" s="8">
        <v>0.40699999999999997</v>
      </c>
      <c r="BG405" s="8">
        <v>0.22700000000000001</v>
      </c>
      <c r="BH405" s="8">
        <v>0.51900000000000002</v>
      </c>
      <c r="BI405" s="13">
        <f t="shared" si="75"/>
        <v>1.153</v>
      </c>
      <c r="BJ405" s="14">
        <v>35.299999999999997</v>
      </c>
      <c r="BK405" s="14">
        <v>19.7</v>
      </c>
      <c r="BL405" s="14">
        <v>45</v>
      </c>
      <c r="BM405" s="16">
        <f t="shared" si="69"/>
        <v>100</v>
      </c>
      <c r="BN405" s="21">
        <f t="shared" si="70"/>
        <v>3.13</v>
      </c>
      <c r="BO405" s="21">
        <f t="shared" si="71"/>
        <v>1.75</v>
      </c>
      <c r="BP405" s="21">
        <f t="shared" si="72"/>
        <v>4</v>
      </c>
      <c r="BQ405" s="14">
        <f t="shared" si="73"/>
        <v>8.8800000000000008</v>
      </c>
      <c r="BR405" s="22" t="str">
        <f>IF(OR(AND(X405="Mourões", BQ405&gt;=6.5),AND(X405="Postes", BQ405&gt;=9.6),AND(X405="Dormentes", BQ405&gt;=9.6),AND(X405="Estacas - Solo", BQ405&gt;=6.5),AND(X405="Estacas - Suspenso", BQ405&gt;=4),AND(X405="Cruzetas", BQ405&gt;=6.5),AND(X405="Outros - Solo", BQ405&gt;=6.5),AND(X405="Outros - Suspenso",BQ405&gt;=4),AND(X405="Deck",BQ405&gt;=4)),'Listas suspensas'!$C$21,'Listas suspensas'!$C$22)</f>
        <v>Os resultados da análise química apresentaram uma retenção do produto de acordo com o padrão mínimo exigido pela norma ABNT NBR 16143</v>
      </c>
    </row>
    <row r="406" spans="2:70" x14ac:dyDescent="0.25">
      <c r="B406" s="8" t="s">
        <v>1042</v>
      </c>
      <c r="C406" s="8" t="s">
        <v>71</v>
      </c>
      <c r="F406" s="11">
        <v>45939</v>
      </c>
      <c r="G406" s="11">
        <v>45940</v>
      </c>
      <c r="H406" s="11">
        <v>45946</v>
      </c>
      <c r="I406" s="8" t="s">
        <v>1032</v>
      </c>
      <c r="J406" s="8" t="s">
        <v>108</v>
      </c>
      <c r="K406" s="8" t="s">
        <v>109</v>
      </c>
      <c r="L406" s="8" t="s">
        <v>15</v>
      </c>
      <c r="M406" s="30" t="s">
        <v>1033</v>
      </c>
      <c r="N406" s="8" t="s">
        <v>75</v>
      </c>
      <c r="O406" s="8" t="s">
        <v>94</v>
      </c>
      <c r="P406" s="28" t="s">
        <v>146</v>
      </c>
      <c r="Q406" s="16" t="s">
        <v>1043</v>
      </c>
      <c r="X406" s="8" t="s">
        <v>79</v>
      </c>
      <c r="Y406" s="34">
        <f>IF(X406='Listas suspensas'!$A$21,'Listas suspensas'!$B$23,IF(X406='Listas suspensas'!$A$22,'Listas suspensas'!$B$23,IF(X406='Listas suspensas'!$A$23,'Listas suspensas'!$B$22,IF(X406='Listas suspensas'!$A$26,'Listas suspensas'!$B$22,IF(X406='Listas suspensas'!$A$32,'Listas suspensas'!$B$22,IF(X406='Listas suspensas'!$A$33,'Listas suspensas'!$B$21,IF(X406='Listas suspensas'!$A$24,'Listas suspensas'!$B$22,IF(X406='Listas suspensas'!$A$25,'Listas suspensas'!$B$21,IF(X406='Listas suspensas'!$A$30,'Listas suspensas'!$B$21,"")))))))))</f>
        <v>6.5</v>
      </c>
      <c r="Z406" s="8" t="s">
        <v>80</v>
      </c>
      <c r="AA406" s="8">
        <v>2</v>
      </c>
      <c r="AB406" s="8" t="str">
        <f>IF(AA406='Listas suspensas'!$A$2,'Listas suspensas'!$B$2,IF(AA406='Listas suspensas'!$A$3,'Listas suspensas'!$B$3,IF(AA406='Listas suspensas'!$A$4,'Listas suspensas'!$B$4,IF(AA406='Listas suspensas'!$A$5,'Listas suspensas'!$B$5,IF(AA406='Listas suspensas'!$A$6,'Listas suspensas'!$B$6,"")))))</f>
        <v>Profunda e irregular</v>
      </c>
      <c r="AC406" s="8" t="str">
        <f>IF(AA406='Listas suspensas'!$A$2,'Listas suspensas'!$C$2,IF(AA406='Listas suspensas'!$A$3,'Listas suspensas'!$C$3,IF(AA406='Listas suspensas'!$A$4,'Listas suspensas'!$C$4,IF(AA406='Listas suspensas'!$A$5,'Listas suspensas'!$C$5,IF(AA406='Listas suspensas'!$A$6,'Listas suspensas'!$C$6,"")))))</f>
        <v>Indica a penetração profunda, mas desuniforme em toda a extensão do alburno.</v>
      </c>
      <c r="BD406" s="13">
        <v>0.65700000000000003</v>
      </c>
      <c r="BE406" s="18">
        <f t="shared" si="74"/>
        <v>657</v>
      </c>
      <c r="BF406" s="8">
        <v>0.57199999999999995</v>
      </c>
      <c r="BG406" s="8">
        <v>0.317</v>
      </c>
      <c r="BH406" s="8">
        <v>0.69</v>
      </c>
      <c r="BI406" s="13">
        <f t="shared" si="75"/>
        <v>1.579</v>
      </c>
      <c r="BJ406" s="14">
        <v>36.200000000000003</v>
      </c>
      <c r="BK406" s="14">
        <v>20.100000000000001</v>
      </c>
      <c r="BL406" s="14">
        <v>43.7</v>
      </c>
      <c r="BM406" s="16">
        <f t="shared" si="69"/>
        <v>100</v>
      </c>
      <c r="BN406" s="21">
        <f t="shared" si="70"/>
        <v>3.76</v>
      </c>
      <c r="BO406" s="21">
        <f t="shared" si="71"/>
        <v>2.08</v>
      </c>
      <c r="BP406" s="21">
        <f t="shared" si="72"/>
        <v>4.53</v>
      </c>
      <c r="BQ406" s="14">
        <f t="shared" si="73"/>
        <v>10.37</v>
      </c>
      <c r="BR406" s="22" t="str">
        <f>IF(OR(AND(X406="Mourões", BQ406&gt;=6.5),AND(X406="Postes", BQ406&gt;=9.6),AND(X406="Dormentes", BQ406&gt;=9.6),AND(X406="Estacas - Solo", BQ406&gt;=6.5),AND(X406="Estacas - Suspenso", BQ406&gt;=4),AND(X406="Cruzetas", BQ406&gt;=6.5),AND(X406="Outros - Solo", BQ406&gt;=6.5),AND(X406="Outros - Suspenso",BQ406&gt;=4),AND(X406="Deck",BQ406&gt;=4)),'Listas suspensas'!$C$21,'Listas suspensas'!$C$22)</f>
        <v>Os resultados da análise química apresentaram uma retenção do produto de acordo com o padrão mínimo exigido pela norma ABNT NBR 16143</v>
      </c>
    </row>
    <row r="407" spans="2:70" x14ac:dyDescent="0.25">
      <c r="B407" s="8" t="s">
        <v>1044</v>
      </c>
      <c r="C407" s="8" t="s">
        <v>71</v>
      </c>
      <c r="F407" s="11">
        <v>45939</v>
      </c>
      <c r="G407" s="11">
        <v>45940</v>
      </c>
      <c r="H407" s="11">
        <v>45946</v>
      </c>
      <c r="I407" s="8" t="s">
        <v>617</v>
      </c>
      <c r="J407" s="8" t="s">
        <v>618</v>
      </c>
      <c r="K407" s="8" t="s">
        <v>619</v>
      </c>
      <c r="L407" s="8" t="s">
        <v>15</v>
      </c>
      <c r="M407" s="30" t="s">
        <v>1045</v>
      </c>
      <c r="N407" s="8" t="s">
        <v>75</v>
      </c>
      <c r="O407" s="8" t="s">
        <v>94</v>
      </c>
      <c r="P407" s="28" t="s">
        <v>77</v>
      </c>
      <c r="Q407" s="16" t="s">
        <v>1046</v>
      </c>
      <c r="X407" s="8" t="s">
        <v>162</v>
      </c>
      <c r="Y407" s="34">
        <f>IF(X407='Listas suspensas'!$A$21,'Listas suspensas'!$B$23,IF(X407='Listas suspensas'!$A$22,'Listas suspensas'!$B$23,IF(X407='Listas suspensas'!$A$23,'Listas suspensas'!$B$22,IF(X407='Listas suspensas'!$A$26,'Listas suspensas'!$B$22,IF(X407='Listas suspensas'!$A$32,'Listas suspensas'!$B$22,IF(X407='Listas suspensas'!$A$33,'Listas suspensas'!$B$21,IF(X407='Listas suspensas'!$A$24,'Listas suspensas'!$B$22,IF(X407='Listas suspensas'!$A$25,'Listas suspensas'!$B$21,IF(X407='Listas suspensas'!$A$30,'Listas suspensas'!$B$21,"")))))))))</f>
        <v>9.6</v>
      </c>
      <c r="Z407" s="8" t="s">
        <v>80</v>
      </c>
      <c r="AA407" s="8">
        <v>2</v>
      </c>
      <c r="AB407" s="8" t="str">
        <f>IF(AA407='Listas suspensas'!$A$2,'Listas suspensas'!$B$2,IF(AA407='Listas suspensas'!$A$3,'Listas suspensas'!$B$3,IF(AA407='Listas suspensas'!$A$4,'Listas suspensas'!$B$4,IF(AA407='Listas suspensas'!$A$5,'Listas suspensas'!$B$5,IF(AA407='Listas suspensas'!$A$6,'Listas suspensas'!$B$6,"")))))</f>
        <v>Profunda e irregular</v>
      </c>
      <c r="AC407" s="8" t="str">
        <f>IF(AA407='Listas suspensas'!$A$2,'Listas suspensas'!$C$2,IF(AA407='Listas suspensas'!$A$3,'Listas suspensas'!$C$3,IF(AA407='Listas suspensas'!$A$4,'Listas suspensas'!$C$4,IF(AA407='Listas suspensas'!$A$5,'Listas suspensas'!$C$5,IF(AA407='Listas suspensas'!$A$6,'Listas suspensas'!$C$6,"")))))</f>
        <v>Indica a penetração profunda, mas desuniforme em toda a extensão do alburno.</v>
      </c>
      <c r="BD407" s="13">
        <v>0.65600000000000003</v>
      </c>
      <c r="BE407" s="18">
        <f t="shared" si="74"/>
        <v>656</v>
      </c>
      <c r="BF407" s="8">
        <v>0.83899999999999997</v>
      </c>
      <c r="BG407" s="8">
        <v>0.34100000000000003</v>
      </c>
      <c r="BH407" s="8">
        <v>0.502</v>
      </c>
      <c r="BI407" s="13">
        <f t="shared" si="75"/>
        <v>1.6819999999999999</v>
      </c>
      <c r="BJ407" s="14">
        <v>49.9</v>
      </c>
      <c r="BK407" s="14">
        <v>20.3</v>
      </c>
      <c r="BL407" s="14">
        <v>29.8</v>
      </c>
      <c r="BM407" s="16">
        <f t="shared" si="69"/>
        <v>100</v>
      </c>
      <c r="BN407" s="21">
        <f t="shared" si="70"/>
        <v>5.5</v>
      </c>
      <c r="BO407" s="21">
        <f t="shared" si="71"/>
        <v>2.2400000000000002</v>
      </c>
      <c r="BP407" s="21">
        <f t="shared" si="72"/>
        <v>3.29</v>
      </c>
      <c r="BQ407" s="14">
        <f t="shared" si="73"/>
        <v>11.03</v>
      </c>
      <c r="BR407" s="22" t="str">
        <f>IF(OR(AND(X407="Mourões", BQ407&gt;=6.5),AND(X407="Postes", BQ407&gt;=9.6),AND(X407="Dormentes", BQ407&gt;=9.6),AND(X407="Estacas - Solo", BQ407&gt;=6.5),AND(X407="Estacas - Suspenso", BQ407&gt;=4),AND(X407="Cruzetas", BQ407&gt;=6.5),AND(X407="Outros - Solo", BQ407&gt;=6.5),AND(X407="Outros - Suspenso",BQ407&gt;=4),AND(X407="Deck",BQ407&gt;=4)),'Listas suspensas'!$C$21,'Listas suspensas'!$C$22)</f>
        <v>Os resultados da análise química apresentaram uma retenção do produto de acordo com o padrão mínimo exigido pela norma ABNT NBR 16143</v>
      </c>
    </row>
    <row r="408" spans="2:70" x14ac:dyDescent="0.25">
      <c r="B408" s="8" t="s">
        <v>1047</v>
      </c>
      <c r="C408" s="8" t="s">
        <v>71</v>
      </c>
      <c r="F408" s="11">
        <v>45939</v>
      </c>
      <c r="G408" s="11">
        <v>45940</v>
      </c>
      <c r="H408" s="11">
        <v>45946</v>
      </c>
      <c r="I408" s="8" t="s">
        <v>617</v>
      </c>
      <c r="J408" s="8" t="s">
        <v>618</v>
      </c>
      <c r="K408" s="8" t="s">
        <v>619</v>
      </c>
      <c r="L408" s="8" t="s">
        <v>15</v>
      </c>
      <c r="M408" s="30" t="s">
        <v>1045</v>
      </c>
      <c r="N408" s="8" t="s">
        <v>75</v>
      </c>
      <c r="O408" s="8" t="s">
        <v>94</v>
      </c>
      <c r="P408" s="28" t="s">
        <v>77</v>
      </c>
      <c r="Q408" s="16" t="s">
        <v>622</v>
      </c>
      <c r="X408" s="8" t="s">
        <v>162</v>
      </c>
      <c r="Y408" s="34">
        <f>IF(X408='Listas suspensas'!$A$21,'Listas suspensas'!$B$23,IF(X408='Listas suspensas'!$A$22,'Listas suspensas'!$B$23,IF(X408='Listas suspensas'!$A$23,'Listas suspensas'!$B$22,IF(X408='Listas suspensas'!$A$26,'Listas suspensas'!$B$22,IF(X408='Listas suspensas'!$A$32,'Listas suspensas'!$B$22,IF(X408='Listas suspensas'!$A$33,'Listas suspensas'!$B$21,IF(X408='Listas suspensas'!$A$24,'Listas suspensas'!$B$22,IF(X408='Listas suspensas'!$A$25,'Listas suspensas'!$B$21,IF(X408='Listas suspensas'!$A$30,'Listas suspensas'!$B$21,"")))))))))</f>
        <v>9.6</v>
      </c>
      <c r="Z408" s="8" t="s">
        <v>80</v>
      </c>
      <c r="AA408" s="8">
        <v>2</v>
      </c>
      <c r="AB408" s="8" t="str">
        <f>IF(AA408='Listas suspensas'!$A$2,'Listas suspensas'!$B$2,IF(AA408='Listas suspensas'!$A$3,'Listas suspensas'!$B$3,IF(AA408='Listas suspensas'!$A$4,'Listas suspensas'!$B$4,IF(AA408='Listas suspensas'!$A$5,'Listas suspensas'!$B$5,IF(AA408='Listas suspensas'!$A$6,'Listas suspensas'!$B$6,"")))))</f>
        <v>Profunda e irregular</v>
      </c>
      <c r="AC408" s="8" t="str">
        <f>IF(AA408='Listas suspensas'!$A$2,'Listas suspensas'!$C$2,IF(AA408='Listas suspensas'!$A$3,'Listas suspensas'!$C$3,IF(AA408='Listas suspensas'!$A$4,'Listas suspensas'!$C$4,IF(AA408='Listas suspensas'!$A$5,'Listas suspensas'!$C$5,IF(AA408='Listas suspensas'!$A$6,'Listas suspensas'!$C$6,"")))))</f>
        <v>Indica a penetração profunda, mas desuniforme em toda a extensão do alburno.</v>
      </c>
      <c r="BD408" s="13">
        <v>0.73</v>
      </c>
      <c r="BE408" s="18">
        <f t="shared" si="74"/>
        <v>730</v>
      </c>
      <c r="BF408" s="8">
        <v>0.66200000000000003</v>
      </c>
      <c r="BG408" s="8">
        <v>0.35699999999999998</v>
      </c>
      <c r="BH408" s="8">
        <v>0.56200000000000006</v>
      </c>
      <c r="BI408" s="13">
        <f t="shared" si="75"/>
        <v>1.5810000000000002</v>
      </c>
      <c r="BJ408" s="14">
        <v>41.9</v>
      </c>
      <c r="BK408" s="14">
        <v>22.6</v>
      </c>
      <c r="BL408" s="14">
        <v>35.5</v>
      </c>
      <c r="BM408" s="16">
        <f t="shared" si="69"/>
        <v>100</v>
      </c>
      <c r="BN408" s="21">
        <f t="shared" si="70"/>
        <v>4.83</v>
      </c>
      <c r="BO408" s="21">
        <f t="shared" si="71"/>
        <v>2.61</v>
      </c>
      <c r="BP408" s="21">
        <f t="shared" si="72"/>
        <v>4.0999999999999996</v>
      </c>
      <c r="BQ408" s="14">
        <f t="shared" si="73"/>
        <v>11.54</v>
      </c>
      <c r="BR408" s="22" t="str">
        <f>IF(OR(AND(X408="Mourões", BQ408&gt;=6.5),AND(X408="Postes", BQ408&gt;=9.6),AND(X408="Dormentes", BQ408&gt;=9.6),AND(X408="Estacas - Solo", BQ408&gt;=6.5),AND(X408="Estacas - Suspenso", BQ408&gt;=4),AND(X408="Cruzetas", BQ408&gt;=6.5),AND(X408="Outros - Solo", BQ408&gt;=6.5),AND(X408="Outros - Suspenso",BQ408&gt;=4),AND(X408="Deck",BQ408&gt;=4)),'Listas suspensas'!$C$21,'Listas suspensas'!$C$22)</f>
        <v>Os resultados da análise química apresentaram uma retenção do produto de acordo com o padrão mínimo exigido pela norma ABNT NBR 16143</v>
      </c>
    </row>
    <row r="409" spans="2:70" x14ac:dyDescent="0.25">
      <c r="B409" s="8" t="s">
        <v>1048</v>
      </c>
      <c r="C409" s="8" t="s">
        <v>71</v>
      </c>
      <c r="F409" s="11">
        <v>45939</v>
      </c>
      <c r="G409" s="11">
        <v>45940</v>
      </c>
      <c r="H409" s="11">
        <v>45946</v>
      </c>
      <c r="I409" s="8" t="s">
        <v>617</v>
      </c>
      <c r="J409" s="8" t="s">
        <v>618</v>
      </c>
      <c r="K409" s="8" t="s">
        <v>619</v>
      </c>
      <c r="L409" s="8" t="s">
        <v>15</v>
      </c>
      <c r="M409" s="30" t="s">
        <v>1045</v>
      </c>
      <c r="N409" s="8" t="s">
        <v>75</v>
      </c>
      <c r="O409" s="8" t="s">
        <v>94</v>
      </c>
      <c r="P409" s="28" t="s">
        <v>77</v>
      </c>
      <c r="Q409" s="16" t="s">
        <v>624</v>
      </c>
      <c r="X409" s="8" t="s">
        <v>162</v>
      </c>
      <c r="Y409" s="34">
        <f>IF(X409='Listas suspensas'!$A$21,'Listas suspensas'!$B$23,IF(X409='Listas suspensas'!$A$22,'Listas suspensas'!$B$23,IF(X409='Listas suspensas'!$A$23,'Listas suspensas'!$B$22,IF(X409='Listas suspensas'!$A$26,'Listas suspensas'!$B$22,IF(X409='Listas suspensas'!$A$32,'Listas suspensas'!$B$22,IF(X409='Listas suspensas'!$A$33,'Listas suspensas'!$B$21,IF(X409='Listas suspensas'!$A$24,'Listas suspensas'!$B$22,IF(X409='Listas suspensas'!$A$25,'Listas suspensas'!$B$21,IF(X409='Listas suspensas'!$A$30,'Listas suspensas'!$B$21,"")))))))))</f>
        <v>9.6</v>
      </c>
      <c r="Z409" s="8" t="s">
        <v>80</v>
      </c>
      <c r="AA409" s="8">
        <v>2</v>
      </c>
      <c r="AB409" s="8" t="str">
        <f>IF(AA409='Listas suspensas'!$A$2,'Listas suspensas'!$B$2,IF(AA409='Listas suspensas'!$A$3,'Listas suspensas'!$B$3,IF(AA409='Listas suspensas'!$A$4,'Listas suspensas'!$B$4,IF(AA409='Listas suspensas'!$A$5,'Listas suspensas'!$B$5,IF(AA409='Listas suspensas'!$A$6,'Listas suspensas'!$B$6,"")))))</f>
        <v>Profunda e irregular</v>
      </c>
      <c r="AC409" s="8" t="str">
        <f>IF(AA409='Listas suspensas'!$A$2,'Listas suspensas'!$C$2,IF(AA409='Listas suspensas'!$A$3,'Listas suspensas'!$C$3,IF(AA409='Listas suspensas'!$A$4,'Listas suspensas'!$C$4,IF(AA409='Listas suspensas'!$A$5,'Listas suspensas'!$C$5,IF(AA409='Listas suspensas'!$A$6,'Listas suspensas'!$C$6,"")))))</f>
        <v>Indica a penetração profunda, mas desuniforme em toda a extensão do alburno.</v>
      </c>
      <c r="BD409" s="13">
        <v>0.77100000000000002</v>
      </c>
      <c r="BE409" s="18">
        <f t="shared" si="74"/>
        <v>771</v>
      </c>
      <c r="BF409" s="8">
        <v>1.085</v>
      </c>
      <c r="BG409" s="8">
        <v>0.433</v>
      </c>
      <c r="BH409" s="8">
        <v>0.754</v>
      </c>
      <c r="BI409" s="13">
        <f t="shared" si="75"/>
        <v>2.2720000000000002</v>
      </c>
      <c r="BJ409" s="14">
        <v>47.8</v>
      </c>
      <c r="BK409" s="14">
        <v>19.100000000000001</v>
      </c>
      <c r="BL409" s="14">
        <v>33.1</v>
      </c>
      <c r="BM409" s="16">
        <f t="shared" si="69"/>
        <v>100</v>
      </c>
      <c r="BN409" s="21">
        <f t="shared" si="70"/>
        <v>8.3699999999999992</v>
      </c>
      <c r="BO409" s="21">
        <f t="shared" si="71"/>
        <v>3.34</v>
      </c>
      <c r="BP409" s="21">
        <f t="shared" si="72"/>
        <v>5.81</v>
      </c>
      <c r="BQ409" s="14">
        <f t="shared" si="73"/>
        <v>17.52</v>
      </c>
      <c r="BR409" s="22" t="str">
        <f>IF(OR(AND(X409="Mourões", BQ409&gt;=6.5),AND(X409="Postes", BQ409&gt;=9.6),AND(X409="Dormentes", BQ409&gt;=9.6),AND(X409="Estacas - Solo", BQ409&gt;=6.5),AND(X409="Estacas - Suspenso", BQ409&gt;=4),AND(X409="Cruzetas", BQ409&gt;=6.5),AND(X409="Outros - Solo", BQ409&gt;=6.5),AND(X409="Outros - Suspenso",BQ409&gt;=4),AND(X409="Deck",BQ409&gt;=4)),'Listas suspensas'!$C$21,'Listas suspensas'!$C$22)</f>
        <v>Os resultados da análise química apresentaram uma retenção do produto de acordo com o padrão mínimo exigido pela norma ABNT NBR 16143</v>
      </c>
    </row>
    <row r="410" spans="2:70" x14ac:dyDescent="0.25">
      <c r="B410" s="8" t="s">
        <v>1049</v>
      </c>
      <c r="C410" s="8" t="s">
        <v>71</v>
      </c>
      <c r="F410" s="11">
        <v>45939</v>
      </c>
      <c r="G410" s="11">
        <v>45940</v>
      </c>
      <c r="H410" s="11">
        <v>45946</v>
      </c>
      <c r="I410" s="8" t="s">
        <v>617</v>
      </c>
      <c r="J410" s="8" t="s">
        <v>618</v>
      </c>
      <c r="K410" s="8" t="s">
        <v>619</v>
      </c>
      <c r="L410" s="8" t="s">
        <v>15</v>
      </c>
      <c r="M410" s="30" t="s">
        <v>1045</v>
      </c>
      <c r="N410" s="8" t="s">
        <v>75</v>
      </c>
      <c r="O410" s="8" t="s">
        <v>94</v>
      </c>
      <c r="P410" s="28" t="s">
        <v>77</v>
      </c>
      <c r="Q410" s="16" t="s">
        <v>626</v>
      </c>
      <c r="X410" s="8" t="s">
        <v>162</v>
      </c>
      <c r="Y410" s="34">
        <f>IF(X410='Listas suspensas'!$A$21,'Listas suspensas'!$B$23,IF(X410='Listas suspensas'!$A$22,'Listas suspensas'!$B$23,IF(X410='Listas suspensas'!$A$23,'Listas suspensas'!$B$22,IF(X410='Listas suspensas'!$A$26,'Listas suspensas'!$B$22,IF(X410='Listas suspensas'!$A$32,'Listas suspensas'!$B$22,IF(X410='Listas suspensas'!$A$33,'Listas suspensas'!$B$21,IF(X410='Listas suspensas'!$A$24,'Listas suspensas'!$B$22,IF(X410='Listas suspensas'!$A$25,'Listas suspensas'!$B$21,IF(X410='Listas suspensas'!$A$30,'Listas suspensas'!$B$21,"")))))))))</f>
        <v>9.6</v>
      </c>
      <c r="Z410" s="8" t="s">
        <v>80</v>
      </c>
      <c r="AA410" s="8">
        <v>2</v>
      </c>
      <c r="AB410" s="8" t="str">
        <f>IF(AA410='Listas suspensas'!$A$2,'Listas suspensas'!$B$2,IF(AA410='Listas suspensas'!$A$3,'Listas suspensas'!$B$3,IF(AA410='Listas suspensas'!$A$4,'Listas suspensas'!$B$4,IF(AA410='Listas suspensas'!$A$5,'Listas suspensas'!$B$5,IF(AA410='Listas suspensas'!$A$6,'Listas suspensas'!$B$6,"")))))</f>
        <v>Profunda e irregular</v>
      </c>
      <c r="AC410" s="8" t="str">
        <f>IF(AA410='Listas suspensas'!$A$2,'Listas suspensas'!$C$2,IF(AA410='Listas suspensas'!$A$3,'Listas suspensas'!$C$3,IF(AA410='Listas suspensas'!$A$4,'Listas suspensas'!$C$4,IF(AA410='Listas suspensas'!$A$5,'Listas suspensas'!$C$5,IF(AA410='Listas suspensas'!$A$6,'Listas suspensas'!$C$6,"")))))</f>
        <v>Indica a penetração profunda, mas desuniforme em toda a extensão do alburno.</v>
      </c>
      <c r="BD410" s="13">
        <v>0.60399999999999998</v>
      </c>
      <c r="BE410" s="18">
        <f t="shared" si="74"/>
        <v>604</v>
      </c>
      <c r="BF410" s="8">
        <v>0.93799999999999994</v>
      </c>
      <c r="BG410" s="8">
        <v>0.45700000000000002</v>
      </c>
      <c r="BH410" s="8">
        <v>0.72699999999999998</v>
      </c>
      <c r="BI410" s="13">
        <f t="shared" si="75"/>
        <v>2.1219999999999999</v>
      </c>
      <c r="BJ410" s="14">
        <v>44.2</v>
      </c>
      <c r="BK410" s="14">
        <v>21.5</v>
      </c>
      <c r="BL410" s="14">
        <v>34.299999999999997</v>
      </c>
      <c r="BM410" s="16">
        <f t="shared" si="69"/>
        <v>100</v>
      </c>
      <c r="BN410" s="21">
        <f t="shared" si="70"/>
        <v>5.67</v>
      </c>
      <c r="BO410" s="21">
        <f t="shared" si="71"/>
        <v>2.76</v>
      </c>
      <c r="BP410" s="21">
        <f t="shared" si="72"/>
        <v>4.3899999999999997</v>
      </c>
      <c r="BQ410" s="14">
        <f t="shared" si="73"/>
        <v>12.82</v>
      </c>
      <c r="BR410" s="22" t="str">
        <f>IF(OR(AND(X410="Mourões", BQ410&gt;=6.5),AND(X410="Postes", BQ410&gt;=9.6),AND(X410="Dormentes", BQ410&gt;=9.6),AND(X410="Estacas - Solo", BQ410&gt;=6.5),AND(X410="Estacas - Suspenso", BQ410&gt;=4),AND(X410="Cruzetas", BQ410&gt;=6.5),AND(X410="Outros - Solo", BQ410&gt;=6.5),AND(X410="Outros - Suspenso",BQ410&gt;=4),AND(X410="Deck",BQ410&gt;=4)),'Listas suspensas'!$C$21,'Listas suspensas'!$C$22)</f>
        <v>Os resultados da análise química apresentaram uma retenção do produto de acordo com o padrão mínimo exigido pela norma ABNT NBR 16143</v>
      </c>
    </row>
    <row r="411" spans="2:70" x14ac:dyDescent="0.25">
      <c r="B411" s="8" t="s">
        <v>1050</v>
      </c>
      <c r="C411" s="8" t="s">
        <v>71</v>
      </c>
      <c r="F411" s="11">
        <v>45939</v>
      </c>
      <c r="G411" s="11">
        <v>45940</v>
      </c>
      <c r="H411" s="11">
        <v>45946</v>
      </c>
      <c r="I411" s="8" t="s">
        <v>617</v>
      </c>
      <c r="J411" s="8" t="s">
        <v>618</v>
      </c>
      <c r="K411" s="8" t="s">
        <v>619</v>
      </c>
      <c r="L411" s="8" t="s">
        <v>15</v>
      </c>
      <c r="M411" s="30" t="s">
        <v>1045</v>
      </c>
      <c r="N411" s="8" t="s">
        <v>75</v>
      </c>
      <c r="O411" s="8" t="s">
        <v>94</v>
      </c>
      <c r="P411" s="28" t="s">
        <v>77</v>
      </c>
      <c r="Q411" s="16" t="s">
        <v>628</v>
      </c>
      <c r="X411" s="8" t="s">
        <v>162</v>
      </c>
      <c r="Y411" s="34">
        <f>IF(X411='Listas suspensas'!$A$21,'Listas suspensas'!$B$23,IF(X411='Listas suspensas'!$A$22,'Listas suspensas'!$B$23,IF(X411='Listas suspensas'!$A$23,'Listas suspensas'!$B$22,IF(X411='Listas suspensas'!$A$26,'Listas suspensas'!$B$22,IF(X411='Listas suspensas'!$A$32,'Listas suspensas'!$B$22,IF(X411='Listas suspensas'!$A$33,'Listas suspensas'!$B$21,IF(X411='Listas suspensas'!$A$24,'Listas suspensas'!$B$22,IF(X411='Listas suspensas'!$A$25,'Listas suspensas'!$B$21,IF(X411='Listas suspensas'!$A$30,'Listas suspensas'!$B$21,"")))))))))</f>
        <v>9.6</v>
      </c>
      <c r="Z411" s="8" t="s">
        <v>80</v>
      </c>
      <c r="AA411" s="8">
        <v>2</v>
      </c>
      <c r="AB411" s="8" t="str">
        <f>IF(AA411='Listas suspensas'!$A$2,'Listas suspensas'!$B$2,IF(AA411='Listas suspensas'!$A$3,'Listas suspensas'!$B$3,IF(AA411='Listas suspensas'!$A$4,'Listas suspensas'!$B$4,IF(AA411='Listas suspensas'!$A$5,'Listas suspensas'!$B$5,IF(AA411='Listas suspensas'!$A$6,'Listas suspensas'!$B$6,"")))))</f>
        <v>Profunda e irregular</v>
      </c>
      <c r="AC411" s="8" t="str">
        <f>IF(AA411='Listas suspensas'!$A$2,'Listas suspensas'!$C$2,IF(AA411='Listas suspensas'!$A$3,'Listas suspensas'!$C$3,IF(AA411='Listas suspensas'!$A$4,'Listas suspensas'!$C$4,IF(AA411='Listas suspensas'!$A$5,'Listas suspensas'!$C$5,IF(AA411='Listas suspensas'!$A$6,'Listas suspensas'!$C$6,"")))))</f>
        <v>Indica a penetração profunda, mas desuniforme em toda a extensão do alburno.</v>
      </c>
      <c r="BD411" s="13">
        <v>0.60499999999999998</v>
      </c>
      <c r="BE411" s="18">
        <f t="shared" si="74"/>
        <v>605</v>
      </c>
      <c r="BF411" s="8">
        <v>1.1259999999999999</v>
      </c>
      <c r="BG411" s="8">
        <v>0.49299999999999999</v>
      </c>
      <c r="BH411" s="8">
        <v>0.82099999999999995</v>
      </c>
      <c r="BI411" s="13">
        <f t="shared" si="75"/>
        <v>2.4399999999999995</v>
      </c>
      <c r="BJ411" s="14">
        <v>46.1</v>
      </c>
      <c r="BK411" s="14">
        <v>20.2</v>
      </c>
      <c r="BL411" s="14">
        <v>33.700000000000003</v>
      </c>
      <c r="BM411" s="16">
        <f t="shared" si="69"/>
        <v>100</v>
      </c>
      <c r="BN411" s="21">
        <f t="shared" si="70"/>
        <v>6.81</v>
      </c>
      <c r="BO411" s="21">
        <f t="shared" si="71"/>
        <v>2.98</v>
      </c>
      <c r="BP411" s="21">
        <f t="shared" si="72"/>
        <v>4.97</v>
      </c>
      <c r="BQ411" s="14">
        <f t="shared" si="73"/>
        <v>14.76</v>
      </c>
      <c r="BR411" s="22" t="str">
        <f>IF(OR(AND(X411="Mourões", BQ411&gt;=6.5),AND(X411="Postes", BQ411&gt;=9.6),AND(X411="Dormentes", BQ411&gt;=9.6),AND(X411="Estacas - Solo", BQ411&gt;=6.5),AND(X411="Estacas - Suspenso", BQ411&gt;=4),AND(X411="Cruzetas", BQ411&gt;=6.5),AND(X411="Outros - Solo", BQ411&gt;=6.5),AND(X411="Outros - Suspenso",BQ411&gt;=4),AND(X411="Deck",BQ411&gt;=4)),'Listas suspensas'!$C$21,'Listas suspensas'!$C$22)</f>
        <v>Os resultados da análise química apresentaram uma retenção do produto de acordo com o padrão mínimo exigido pela norma ABNT NBR 16143</v>
      </c>
    </row>
    <row r="412" spans="2:70" x14ac:dyDescent="0.25">
      <c r="B412" s="8" t="s">
        <v>1051</v>
      </c>
      <c r="C412" s="8" t="s">
        <v>71</v>
      </c>
      <c r="F412" s="11">
        <v>45939</v>
      </c>
      <c r="G412" s="11">
        <v>45940</v>
      </c>
      <c r="H412" s="11">
        <v>45946</v>
      </c>
      <c r="I412" s="8" t="s">
        <v>1052</v>
      </c>
      <c r="J412" s="8" t="s">
        <v>91</v>
      </c>
      <c r="K412" s="8" t="s">
        <v>92</v>
      </c>
      <c r="L412" s="8" t="s">
        <v>15</v>
      </c>
      <c r="N412" s="8" t="s">
        <v>75</v>
      </c>
      <c r="O412" s="8" t="s">
        <v>94</v>
      </c>
      <c r="P412" s="28" t="s">
        <v>77</v>
      </c>
      <c r="Q412" s="16" t="s">
        <v>1053</v>
      </c>
      <c r="X412" s="8" t="s">
        <v>79</v>
      </c>
      <c r="Y412" s="34">
        <f>IF(X412='Listas suspensas'!$A$21,'Listas suspensas'!$B$23,IF(X412='Listas suspensas'!$A$22,'Listas suspensas'!$B$23,IF(X412='Listas suspensas'!$A$23,'Listas suspensas'!$B$22,IF(X412='Listas suspensas'!$A$26,'Listas suspensas'!$B$22,IF(X412='Listas suspensas'!$A$32,'Listas suspensas'!$B$22,IF(X412='Listas suspensas'!$A$33,'Listas suspensas'!$B$21,IF(X412='Listas suspensas'!$A$24,'Listas suspensas'!$B$22,IF(X412='Listas suspensas'!$A$25,'Listas suspensas'!$B$21,IF(X412='Listas suspensas'!$A$30,'Listas suspensas'!$B$21,"")))))))))</f>
        <v>6.5</v>
      </c>
      <c r="Z412" s="8" t="s">
        <v>80</v>
      </c>
      <c r="AA412" s="8">
        <v>2</v>
      </c>
      <c r="AB412" s="8" t="str">
        <f>IF(AA412='Listas suspensas'!$A$2,'Listas suspensas'!$B$2,IF(AA412='Listas suspensas'!$A$3,'Listas suspensas'!$B$3,IF(AA412='Listas suspensas'!$A$4,'Listas suspensas'!$B$4,IF(AA412='Listas suspensas'!$A$5,'Listas suspensas'!$B$5,IF(AA412='Listas suspensas'!$A$6,'Listas suspensas'!$B$6,"")))))</f>
        <v>Profunda e irregular</v>
      </c>
      <c r="AC412" s="8" t="str">
        <f>IF(AA412='Listas suspensas'!$A$2,'Listas suspensas'!$C$2,IF(AA412='Listas suspensas'!$A$3,'Listas suspensas'!$C$3,IF(AA412='Listas suspensas'!$A$4,'Listas suspensas'!$C$4,IF(AA412='Listas suspensas'!$A$5,'Listas suspensas'!$C$5,IF(AA412='Listas suspensas'!$A$6,'Listas suspensas'!$C$6,"")))))</f>
        <v>Indica a penetração profunda, mas desuniforme em toda a extensão do alburno.</v>
      </c>
      <c r="BD412" s="13">
        <v>0.89</v>
      </c>
      <c r="BE412" s="18">
        <f t="shared" si="74"/>
        <v>890</v>
      </c>
      <c r="BF412" s="8">
        <v>0.34699999999999998</v>
      </c>
      <c r="BG412" s="8">
        <v>0.214</v>
      </c>
      <c r="BH412" s="8">
        <v>0.47899999999999998</v>
      </c>
      <c r="BI412" s="13">
        <f t="shared" si="75"/>
        <v>1.04</v>
      </c>
      <c r="BJ412" s="14">
        <v>33.4</v>
      </c>
      <c r="BK412" s="14">
        <v>20.6</v>
      </c>
      <c r="BL412" s="14">
        <v>46</v>
      </c>
      <c r="BM412" s="16">
        <f t="shared" si="69"/>
        <v>100</v>
      </c>
      <c r="BN412" s="21">
        <f t="shared" si="70"/>
        <v>3.09</v>
      </c>
      <c r="BO412" s="21">
        <f t="shared" si="71"/>
        <v>1.9</v>
      </c>
      <c r="BP412" s="21">
        <f t="shared" si="72"/>
        <v>4.26</v>
      </c>
      <c r="BQ412" s="14">
        <f t="shared" si="73"/>
        <v>9.25</v>
      </c>
      <c r="BR412" s="22" t="str">
        <f>IF(OR(AND(X412="Mourões", BQ412&gt;=6.5),AND(X412="Postes", BQ412&gt;=9.6),AND(X412="Dormentes", BQ412&gt;=9.6),AND(X412="Estacas - Solo", BQ412&gt;=6.5),AND(X412="Estacas - Suspenso", BQ412&gt;=4),AND(X412="Cruzetas", BQ412&gt;=6.5),AND(X412="Outros - Solo", BQ412&gt;=6.5),AND(X412="Outros - Suspenso",BQ412&gt;=4),AND(X412="Deck",BQ412&gt;=4)),'Listas suspensas'!$C$21,'Listas suspensas'!$C$22)</f>
        <v>Os resultados da análise química apresentaram uma retenção do produto de acordo com o padrão mínimo exigido pela norma ABNT NBR 16143</v>
      </c>
    </row>
    <row r="413" spans="2:70" x14ac:dyDescent="0.25">
      <c r="B413" s="8" t="s">
        <v>1054</v>
      </c>
      <c r="C413" s="8" t="s">
        <v>71</v>
      </c>
      <c r="F413" s="11">
        <v>45939</v>
      </c>
      <c r="G413" s="11">
        <v>45940</v>
      </c>
      <c r="H413" s="11">
        <v>45946</v>
      </c>
      <c r="I413" s="8" t="s">
        <v>1052</v>
      </c>
      <c r="J413" s="8" t="s">
        <v>91</v>
      </c>
      <c r="K413" s="8" t="s">
        <v>92</v>
      </c>
      <c r="L413" s="8" t="s">
        <v>15</v>
      </c>
      <c r="N413" s="8" t="s">
        <v>75</v>
      </c>
      <c r="O413" s="8" t="s">
        <v>94</v>
      </c>
      <c r="P413" s="28" t="s">
        <v>77</v>
      </c>
      <c r="Q413" s="16" t="s">
        <v>1055</v>
      </c>
      <c r="X413" s="8" t="s">
        <v>79</v>
      </c>
      <c r="Y413" s="34">
        <f>IF(X413='Listas suspensas'!$A$21,'Listas suspensas'!$B$23,IF(X413='Listas suspensas'!$A$22,'Listas suspensas'!$B$23,IF(X413='Listas suspensas'!$A$23,'Listas suspensas'!$B$22,IF(X413='Listas suspensas'!$A$26,'Listas suspensas'!$B$22,IF(X413='Listas suspensas'!$A$32,'Listas suspensas'!$B$22,IF(X413='Listas suspensas'!$A$33,'Listas suspensas'!$B$21,IF(X413='Listas suspensas'!$A$24,'Listas suspensas'!$B$22,IF(X413='Listas suspensas'!$A$25,'Listas suspensas'!$B$21,IF(X413='Listas suspensas'!$A$30,'Listas suspensas'!$B$21,"")))))))))</f>
        <v>6.5</v>
      </c>
      <c r="Z413" s="8" t="s">
        <v>80</v>
      </c>
      <c r="AA413" s="8">
        <v>5</v>
      </c>
      <c r="AB413" s="8" t="str">
        <f>IF(AA413='Listas suspensas'!$A$2,'Listas suspensas'!$B$2,IF(AA413='Listas suspensas'!$A$3,'Listas suspensas'!$B$3,IF(AA413='Listas suspensas'!$A$4,'Listas suspensas'!$B$4,IF(AA413='Listas suspensas'!$A$5,'Listas suspensas'!$B$5,IF(AA413='Listas suspensas'!$A$6,'Listas suspensas'!$B$6,"")))))</f>
        <v>Sem Reação do Cromoazurol</v>
      </c>
      <c r="AC413" s="8" t="str">
        <f>IF(AA413='Listas suspensas'!$A$2,'Listas suspensas'!$C$2,IF(AA413='Listas suspensas'!$A$3,'Listas suspensas'!$C$3,IF(AA413='Listas suspensas'!$A$4,'Listas suspensas'!$C$4,IF(AA413='Listas suspensas'!$A$5,'Listas suspensas'!$C$5,IF(AA413='Listas suspensas'!$A$6,'Listas suspensas'!$C$6,"")))))</f>
        <v>Sem Reação do Cromoazurol</v>
      </c>
      <c r="BD413" s="13">
        <v>1.0549999999999999</v>
      </c>
      <c r="BE413" s="18">
        <f t="shared" si="74"/>
        <v>1055</v>
      </c>
      <c r="BF413" s="8">
        <v>9.4E-2</v>
      </c>
      <c r="BG413" s="8">
        <v>1.4999999999999999E-2</v>
      </c>
      <c r="BH413" s="8">
        <v>7.5999999999999998E-2</v>
      </c>
      <c r="BI413" s="13">
        <f t="shared" si="75"/>
        <v>0.185</v>
      </c>
      <c r="BJ413" s="14">
        <v>51</v>
      </c>
      <c r="BK413" s="14">
        <v>8</v>
      </c>
      <c r="BL413" s="14">
        <v>41</v>
      </c>
      <c r="BM413" s="16">
        <f t="shared" si="69"/>
        <v>100</v>
      </c>
      <c r="BN413" s="21">
        <f t="shared" si="70"/>
        <v>0.99</v>
      </c>
      <c r="BO413" s="21">
        <f t="shared" si="71"/>
        <v>0.16</v>
      </c>
      <c r="BP413" s="21">
        <f t="shared" si="72"/>
        <v>0.8</v>
      </c>
      <c r="BQ413" s="14">
        <f t="shared" si="73"/>
        <v>1.95</v>
      </c>
      <c r="BR413" s="22" t="str">
        <f>IF(OR(AND(X413="Mourões", BQ413&gt;=6.5),AND(X413="Postes", BQ413&gt;=9.6),AND(X413="Dormentes", BQ413&gt;=9.6),AND(X413="Estacas - Solo", BQ413&gt;=6.5),AND(X413="Estacas - Suspenso", BQ413&gt;=4),AND(X413="Cruzetas", BQ413&gt;=6.5),AND(X413="Outros - Solo", BQ413&gt;=6.5),AND(X413="Outros - Suspenso",BQ413&gt;=4),AND(X413="Deck",BQ413&gt;=4)),'Listas suspensas'!$C$21,'Listas suspensas'!$C$22)</f>
        <v>Os resultados da análise química apresentaram uma retenção do produto inferior ao padrão mínimo exigido pela norma ABNT NBR 16143</v>
      </c>
    </row>
    <row r="414" spans="2:70" x14ac:dyDescent="0.25">
      <c r="B414" s="8" t="s">
        <v>1056</v>
      </c>
      <c r="C414" s="8" t="s">
        <v>71</v>
      </c>
      <c r="F414" s="11">
        <v>45939</v>
      </c>
      <c r="G414" s="11">
        <v>45940</v>
      </c>
      <c r="H414" s="11">
        <v>45946</v>
      </c>
      <c r="I414" s="8" t="s">
        <v>187</v>
      </c>
      <c r="J414" s="8" t="s">
        <v>188</v>
      </c>
      <c r="K414" s="8" t="s">
        <v>189</v>
      </c>
      <c r="L414" s="8" t="s">
        <v>15</v>
      </c>
      <c r="M414" s="30" t="s">
        <v>190</v>
      </c>
      <c r="N414" s="8" t="s">
        <v>75</v>
      </c>
      <c r="O414" s="8" t="s">
        <v>94</v>
      </c>
      <c r="P414" s="28" t="s">
        <v>77</v>
      </c>
      <c r="Q414" s="16" t="s">
        <v>1057</v>
      </c>
      <c r="X414" s="8" t="s">
        <v>79</v>
      </c>
      <c r="Y414" s="34">
        <f>IF(X414='Listas suspensas'!$A$21,'Listas suspensas'!$B$23,IF(X414='Listas suspensas'!$A$22,'Listas suspensas'!$B$23,IF(X414='Listas suspensas'!$A$23,'Listas suspensas'!$B$22,IF(X414='Listas suspensas'!$A$26,'Listas suspensas'!$B$22,IF(X414='Listas suspensas'!$A$32,'Listas suspensas'!$B$22,IF(X414='Listas suspensas'!$A$33,'Listas suspensas'!$B$21,IF(X414='Listas suspensas'!$A$24,'Listas suspensas'!$B$22,IF(X414='Listas suspensas'!$A$25,'Listas suspensas'!$B$21,IF(X414='Listas suspensas'!$A$30,'Listas suspensas'!$B$21,"")))))))))</f>
        <v>6.5</v>
      </c>
      <c r="Z414" s="8" t="s">
        <v>80</v>
      </c>
      <c r="AA414" s="8">
        <v>2</v>
      </c>
      <c r="AB414" s="8" t="str">
        <f>IF(AA414='Listas suspensas'!$A$2,'Listas suspensas'!$B$2,IF(AA414='Listas suspensas'!$A$3,'Listas suspensas'!$B$3,IF(AA414='Listas suspensas'!$A$4,'Listas suspensas'!$B$4,IF(AA414='Listas suspensas'!$A$5,'Listas suspensas'!$B$5,IF(AA414='Listas suspensas'!$A$6,'Listas suspensas'!$B$6,"")))))</f>
        <v>Profunda e irregular</v>
      </c>
      <c r="AC414" s="8" t="str">
        <f>IF(AA414='Listas suspensas'!$A$2,'Listas suspensas'!$C$2,IF(AA414='Listas suspensas'!$A$3,'Listas suspensas'!$C$3,IF(AA414='Listas suspensas'!$A$4,'Listas suspensas'!$C$4,IF(AA414='Listas suspensas'!$A$5,'Listas suspensas'!$C$5,IF(AA414='Listas suspensas'!$A$6,'Listas suspensas'!$C$6,"")))))</f>
        <v>Indica a penetração profunda, mas desuniforme em toda a extensão do alburno.</v>
      </c>
      <c r="BD414" s="13">
        <v>0.86699999999999999</v>
      </c>
      <c r="BE414" s="18">
        <f t="shared" si="74"/>
        <v>867</v>
      </c>
      <c r="BF414" s="8">
        <v>0.41299999999999998</v>
      </c>
      <c r="BG414" s="8">
        <v>0.23799999999999999</v>
      </c>
      <c r="BH414" s="8">
        <v>0.50900000000000001</v>
      </c>
      <c r="BI414" s="13">
        <f t="shared" si="75"/>
        <v>1.1600000000000001</v>
      </c>
      <c r="BJ414" s="14">
        <v>35.6</v>
      </c>
      <c r="BK414" s="14">
        <v>20.5</v>
      </c>
      <c r="BL414" s="14">
        <v>43.9</v>
      </c>
      <c r="BM414" s="16">
        <f t="shared" si="69"/>
        <v>100</v>
      </c>
      <c r="BN414" s="21">
        <f t="shared" si="70"/>
        <v>3.58</v>
      </c>
      <c r="BO414" s="21">
        <f t="shared" si="71"/>
        <v>2.06</v>
      </c>
      <c r="BP414" s="21">
        <f t="shared" si="72"/>
        <v>4.41</v>
      </c>
      <c r="BQ414" s="14">
        <f t="shared" si="73"/>
        <v>10.050000000000001</v>
      </c>
      <c r="BR414" s="22" t="str">
        <f>IF(OR(AND(X414="Mourões", BQ414&gt;=6.5),AND(X414="Postes", BQ414&gt;=9.6),AND(X414="Dormentes", BQ414&gt;=9.6),AND(X414="Estacas - Solo", BQ414&gt;=6.5),AND(X414="Estacas - Suspenso", BQ414&gt;=4),AND(X414="Cruzetas", BQ414&gt;=6.5),AND(X414="Outros - Solo", BQ414&gt;=6.5),AND(X414="Outros - Suspenso",BQ414&gt;=4),AND(X414="Deck",BQ414&gt;=4)),'Listas suspensas'!$C$21,'Listas suspensas'!$C$22)</f>
        <v>Os resultados da análise química apresentaram uma retenção do produto de acordo com o padrão mínimo exigido pela norma ABNT NBR 16143</v>
      </c>
    </row>
    <row r="415" spans="2:70" x14ac:dyDescent="0.25">
      <c r="B415" s="8" t="s">
        <v>1058</v>
      </c>
      <c r="C415" s="8" t="s">
        <v>71</v>
      </c>
      <c r="F415" s="11">
        <v>45939</v>
      </c>
      <c r="G415" s="11">
        <v>45939</v>
      </c>
      <c r="H415" s="11">
        <v>45944</v>
      </c>
      <c r="I415" s="8" t="s">
        <v>1059</v>
      </c>
      <c r="J415" s="8" t="s">
        <v>1060</v>
      </c>
      <c r="K415" s="8" t="s">
        <v>619</v>
      </c>
      <c r="L415" s="8" t="s">
        <v>15</v>
      </c>
      <c r="M415" s="30" t="s">
        <v>1061</v>
      </c>
      <c r="N415" s="8" t="s">
        <v>75</v>
      </c>
      <c r="O415" s="8" t="s">
        <v>94</v>
      </c>
      <c r="P415" s="28" t="s">
        <v>77</v>
      </c>
      <c r="Q415" s="16" t="s">
        <v>1062</v>
      </c>
      <c r="X415" s="8" t="s">
        <v>79</v>
      </c>
      <c r="Y415" s="34">
        <f>IF(X415='Listas suspensas'!$A$21,'Listas suspensas'!$B$23,IF(X415='Listas suspensas'!$A$22,'Listas suspensas'!$B$23,IF(X415='Listas suspensas'!$A$23,'Listas suspensas'!$B$22,IF(X415='Listas suspensas'!$A$26,'Listas suspensas'!$B$22,IF(X415='Listas suspensas'!$A$32,'Listas suspensas'!$B$22,IF(X415='Listas suspensas'!$A$33,'Listas suspensas'!$B$21,IF(X415='Listas suspensas'!$A$24,'Listas suspensas'!$B$22,IF(X415='Listas suspensas'!$A$25,'Listas suspensas'!$B$21,IF(X415='Listas suspensas'!$A$30,'Listas suspensas'!$B$21,"")))))))))</f>
        <v>6.5</v>
      </c>
      <c r="Z415" s="8" t="s">
        <v>80</v>
      </c>
      <c r="AA415" s="8">
        <v>3</v>
      </c>
      <c r="AB415" s="8" t="str">
        <f>IF(AA415='Listas suspensas'!$A$2,'Listas suspensas'!$B$2,IF(AA415='Listas suspensas'!$A$3,'Listas suspensas'!$B$3,IF(AA415='Listas suspensas'!$A$4,'Listas suspensas'!$B$4,IF(AA415='Listas suspensas'!$A$5,'Listas suspensas'!$B$5,IF(AA415='Listas suspensas'!$A$6,'Listas suspensas'!$B$6,"")))))</f>
        <v xml:space="preserve"> Parcial e regular</v>
      </c>
      <c r="AC415" s="8" t="str">
        <f>IF(AA415='Listas suspensas'!$A$2,'Listas suspensas'!$C$2,IF(AA415='Listas suspensas'!$A$3,'Listas suspensas'!$C$3,IF(AA415='Listas suspensas'!$A$4,'Listas suspensas'!$C$4,IF(AA415='Listas suspensas'!$A$5,'Listas suspensas'!$C$5,IF(AA415='Listas suspensas'!$A$6,'Listas suspensas'!$C$6,"")))))</f>
        <v>Indica a penetração uniforme, mas não total pela extensão do alburno.</v>
      </c>
      <c r="BD415" s="13">
        <v>0.81200000000000006</v>
      </c>
      <c r="BE415" s="18">
        <f t="shared" si="74"/>
        <v>812</v>
      </c>
      <c r="BF415" s="8">
        <v>0.38700000000000001</v>
      </c>
      <c r="BG415" s="8">
        <v>0.18</v>
      </c>
      <c r="BH415" s="8">
        <v>0.39300000000000002</v>
      </c>
      <c r="BI415" s="13">
        <f t="shared" si="75"/>
        <v>0.96</v>
      </c>
      <c r="BJ415" s="14">
        <v>40.299999999999997</v>
      </c>
      <c r="BK415" s="14">
        <v>18.7</v>
      </c>
      <c r="BL415" s="14">
        <v>41</v>
      </c>
      <c r="BM415" s="16">
        <f t="shared" si="69"/>
        <v>100</v>
      </c>
      <c r="BN415" s="21">
        <f t="shared" si="70"/>
        <v>3.14</v>
      </c>
      <c r="BO415" s="21">
        <f t="shared" si="71"/>
        <v>1.46</v>
      </c>
      <c r="BP415" s="21">
        <f t="shared" si="72"/>
        <v>3.19</v>
      </c>
      <c r="BQ415" s="14">
        <f t="shared" si="73"/>
        <v>7.79</v>
      </c>
      <c r="BR415" s="22" t="str">
        <f>IF(OR(AND(X415="Mourões", BQ415&gt;=6.5),AND(X415="Postes", BQ415&gt;=9.6),AND(X415="Dormentes", BQ415&gt;=9.6),AND(X415="Estacas - Solo", BQ415&gt;=6.5),AND(X415="Estacas - Suspenso", BQ415&gt;=4),AND(X415="Cruzetas", BQ415&gt;=6.5),AND(X415="Outros - Solo", BQ415&gt;=6.5),AND(X415="Outros - Suspenso",BQ415&gt;=4),AND(X415="Deck",BQ415&gt;=4)),'Listas suspensas'!$C$21,'Listas suspensas'!$C$22)</f>
        <v>Os resultados da análise química apresentaram uma retenção do produto de acordo com o padrão mínimo exigido pela norma ABNT NBR 16143</v>
      </c>
    </row>
    <row r="416" spans="2:70" x14ac:dyDescent="0.25">
      <c r="B416" s="8" t="s">
        <v>1063</v>
      </c>
      <c r="C416" s="8" t="s">
        <v>71</v>
      </c>
      <c r="F416" s="11">
        <v>45939</v>
      </c>
      <c r="G416" s="11">
        <v>45939</v>
      </c>
      <c r="H416" s="11">
        <v>45944</v>
      </c>
      <c r="I416" s="8" t="s">
        <v>1059</v>
      </c>
      <c r="J416" s="8" t="s">
        <v>1060</v>
      </c>
      <c r="K416" s="8" t="s">
        <v>619</v>
      </c>
      <c r="L416" s="8" t="s">
        <v>15</v>
      </c>
      <c r="M416" s="30" t="s">
        <v>1061</v>
      </c>
      <c r="N416" s="8" t="s">
        <v>75</v>
      </c>
      <c r="O416" s="8" t="s">
        <v>94</v>
      </c>
      <c r="P416" s="28" t="s">
        <v>77</v>
      </c>
      <c r="Q416" s="16" t="s">
        <v>1064</v>
      </c>
      <c r="X416" s="8" t="s">
        <v>79</v>
      </c>
      <c r="Y416" s="34">
        <f>IF(X416='Listas suspensas'!$A$21,'Listas suspensas'!$B$23,IF(X416='Listas suspensas'!$A$22,'Listas suspensas'!$B$23,IF(X416='Listas suspensas'!$A$23,'Listas suspensas'!$B$22,IF(X416='Listas suspensas'!$A$26,'Listas suspensas'!$B$22,IF(X416='Listas suspensas'!$A$32,'Listas suspensas'!$B$22,IF(X416='Listas suspensas'!$A$33,'Listas suspensas'!$B$21,IF(X416='Listas suspensas'!$A$24,'Listas suspensas'!$B$22,IF(X416='Listas suspensas'!$A$25,'Listas suspensas'!$B$21,IF(X416='Listas suspensas'!$A$30,'Listas suspensas'!$B$21,"")))))))))</f>
        <v>6.5</v>
      </c>
      <c r="Z416" s="8" t="s">
        <v>80</v>
      </c>
      <c r="AA416" s="8">
        <v>3</v>
      </c>
      <c r="AB416" s="8" t="str">
        <f>IF(AA416='Listas suspensas'!$A$2,'Listas suspensas'!$B$2,IF(AA416='Listas suspensas'!$A$3,'Listas suspensas'!$B$3,IF(AA416='Listas suspensas'!$A$4,'Listas suspensas'!$B$4,IF(AA416='Listas suspensas'!$A$5,'Listas suspensas'!$B$5,IF(AA416='Listas suspensas'!$A$6,'Listas suspensas'!$B$6,"")))))</f>
        <v xml:space="preserve"> Parcial e regular</v>
      </c>
      <c r="AC416" s="8" t="str">
        <f>IF(AA416='Listas suspensas'!$A$2,'Listas suspensas'!$C$2,IF(AA416='Listas suspensas'!$A$3,'Listas suspensas'!$C$3,IF(AA416='Listas suspensas'!$A$4,'Listas suspensas'!$C$4,IF(AA416='Listas suspensas'!$A$5,'Listas suspensas'!$C$5,IF(AA416='Listas suspensas'!$A$6,'Listas suspensas'!$C$6,"")))))</f>
        <v>Indica a penetração uniforme, mas não total pela extensão do alburno.</v>
      </c>
      <c r="BD416" s="13">
        <v>0.84499999999999997</v>
      </c>
      <c r="BE416" s="18">
        <f t="shared" si="74"/>
        <v>845</v>
      </c>
      <c r="BF416" s="8">
        <v>0.21199999999999999</v>
      </c>
      <c r="BG416" s="8">
        <v>8.2000000000000003E-2</v>
      </c>
      <c r="BH416" s="8">
        <v>0.154</v>
      </c>
      <c r="BI416" s="13">
        <f t="shared" si="75"/>
        <v>0.44799999999999995</v>
      </c>
      <c r="BJ416" s="14">
        <v>47.4</v>
      </c>
      <c r="BK416" s="14">
        <v>18.2</v>
      </c>
      <c r="BL416" s="14">
        <v>34.4</v>
      </c>
      <c r="BM416" s="16">
        <f t="shared" si="69"/>
        <v>100</v>
      </c>
      <c r="BN416" s="21">
        <f t="shared" si="70"/>
        <v>1.79</v>
      </c>
      <c r="BO416" s="21">
        <f t="shared" si="71"/>
        <v>0.69</v>
      </c>
      <c r="BP416" s="21">
        <f t="shared" si="72"/>
        <v>1.3</v>
      </c>
      <c r="BQ416" s="14">
        <f t="shared" si="73"/>
        <v>3.78</v>
      </c>
      <c r="BR416" s="22" t="str">
        <f>IF(OR(AND(X416="Mourões", BQ416&gt;=6.5),AND(X416="Postes", BQ416&gt;=9.6),AND(X416="Dormentes", BQ416&gt;=9.6),AND(X416="Estacas - Solo", BQ416&gt;=6.5),AND(X416="Estacas - Suspenso", BQ416&gt;=4),AND(X416="Cruzetas", BQ416&gt;=6.5),AND(X416="Outros - Solo", BQ416&gt;=6.5),AND(X416="Outros - Suspenso",BQ416&gt;=4),AND(X416="Deck",BQ416&gt;=4)),'Listas suspensas'!$C$21,'Listas suspensas'!$C$22)</f>
        <v>Os resultados da análise química apresentaram uma retenção do produto inferior ao padrão mínimo exigido pela norma ABNT NBR 16143</v>
      </c>
    </row>
    <row r="417" spans="2:70" x14ac:dyDescent="0.25">
      <c r="B417" s="8" t="s">
        <v>1065</v>
      </c>
      <c r="C417" s="8" t="s">
        <v>71</v>
      </c>
      <c r="F417" s="11">
        <v>45940</v>
      </c>
      <c r="G417" s="11">
        <v>45944</v>
      </c>
      <c r="H417" s="11">
        <v>45946</v>
      </c>
      <c r="I417" s="8" t="s">
        <v>1336</v>
      </c>
      <c r="J417" s="8" t="s">
        <v>1337</v>
      </c>
      <c r="K417" s="8" t="s">
        <v>74</v>
      </c>
      <c r="L417" s="8" t="s">
        <v>15</v>
      </c>
      <c r="M417" s="30" t="s">
        <v>1338</v>
      </c>
      <c r="N417" s="8" t="s">
        <v>75</v>
      </c>
      <c r="O417" s="8" t="s">
        <v>76</v>
      </c>
      <c r="P417" s="28" t="s">
        <v>215</v>
      </c>
      <c r="Q417" s="16" t="s">
        <v>1344</v>
      </c>
      <c r="X417" s="8" t="s">
        <v>79</v>
      </c>
      <c r="Y417" s="34">
        <f>IF(X417='Listas suspensas'!$A$21,'Listas suspensas'!$B$23,IF(X417='Listas suspensas'!$A$22,'Listas suspensas'!$B$23,IF(X417='Listas suspensas'!$A$23,'Listas suspensas'!$B$22,IF(X417='Listas suspensas'!$A$26,'Listas suspensas'!$B$22,IF(X417='Listas suspensas'!$A$32,'Listas suspensas'!$B$22,IF(X417='Listas suspensas'!$A$33,'Listas suspensas'!$B$21,IF(X417='Listas suspensas'!$A$24,'Listas suspensas'!$B$22,IF(X417='Listas suspensas'!$A$25,'Listas suspensas'!$B$21,IF(X417='Listas suspensas'!$A$30,'Listas suspensas'!$B$21,"")))))))))</f>
        <v>6.5</v>
      </c>
      <c r="Z417" s="8" t="s">
        <v>80</v>
      </c>
      <c r="AA417" s="8">
        <v>4</v>
      </c>
      <c r="AB417" s="8" t="str">
        <f>IF(AA417='Listas suspensas'!$A$2,'Listas suspensas'!$B$2,IF(AA417='Listas suspensas'!$A$3,'Listas suspensas'!$B$3,IF(AA417='Listas suspensas'!$A$4,'Listas suspensas'!$B$4,IF(AA417='Listas suspensas'!$A$5,'Listas suspensas'!$B$5,IF(AA417='Listas suspensas'!$A$6,'Listas suspensas'!$B$6,"")))))</f>
        <v>Parcial e irregular</v>
      </c>
      <c r="AC417" s="8" t="str">
        <f>IF(AA417='Listas suspensas'!$A$2,'Listas suspensas'!$C$2,IF(AA417='Listas suspensas'!$A$3,'Listas suspensas'!$C$3,IF(AA417='Listas suspensas'!$A$4,'Listas suspensas'!$C$4,IF(AA417='Listas suspensas'!$A$5,'Listas suspensas'!$C$5,IF(AA417='Listas suspensas'!$A$6,'Listas suspensas'!$C$6,"")))))</f>
        <v>Indica a penetração desuniforme e não total pela extensão do alburno.</v>
      </c>
      <c r="BD417" s="13">
        <v>0.76300000000000001</v>
      </c>
      <c r="BE417" s="18">
        <f t="shared" si="74"/>
        <v>763</v>
      </c>
      <c r="BF417" s="8">
        <v>0.224</v>
      </c>
      <c r="BG417" s="8">
        <v>0.127</v>
      </c>
      <c r="BH417" s="8">
        <v>0.26300000000000001</v>
      </c>
      <c r="BI417" s="13">
        <f t="shared" si="75"/>
        <v>0.61399999999999999</v>
      </c>
      <c r="BJ417" s="14">
        <v>36.5</v>
      </c>
      <c r="BK417" s="14">
        <v>20.6</v>
      </c>
      <c r="BL417" s="14">
        <v>42.9</v>
      </c>
      <c r="BM417" s="16">
        <f t="shared" si="69"/>
        <v>100</v>
      </c>
      <c r="BN417" s="21">
        <f t="shared" si="70"/>
        <v>1.71</v>
      </c>
      <c r="BO417" s="21">
        <f t="shared" si="71"/>
        <v>0.97</v>
      </c>
      <c r="BP417" s="21">
        <f t="shared" si="72"/>
        <v>2.0099999999999998</v>
      </c>
      <c r="BQ417" s="14">
        <f t="shared" si="73"/>
        <v>4.6900000000000004</v>
      </c>
      <c r="BR417" s="22" t="str">
        <f>IF(OR(AND(X417="Mourões", BQ417&gt;=6.5),AND(X417="Postes", BQ417&gt;=9.6),AND(X417="Dormentes", BQ417&gt;=9.6),AND(X417="Estacas - Solo", BQ417&gt;=6.5),AND(X417="Estacas - Suspenso", BQ417&gt;=4),AND(X417="Cruzetas", BQ417&gt;=6.5),AND(X417="Outros - Solo", BQ417&gt;=6.5),AND(X417="Outros - Suspenso",BQ417&gt;=4),AND(X417="Deck",BQ417&gt;=4)),'Listas suspensas'!$C$21,'Listas suspensas'!$C$22)</f>
        <v>Os resultados da análise química apresentaram uma retenção do produto inferior ao padrão mínimo exigido pela norma ABNT NBR 16143</v>
      </c>
    </row>
    <row r="418" spans="2:70" x14ac:dyDescent="0.25">
      <c r="B418" s="8" t="s">
        <v>1066</v>
      </c>
      <c r="C418" s="8" t="s">
        <v>71</v>
      </c>
      <c r="F418" s="11">
        <v>45940</v>
      </c>
      <c r="G418" s="11">
        <v>45944</v>
      </c>
      <c r="H418" s="11">
        <v>45946</v>
      </c>
      <c r="I418" s="8" t="s">
        <v>1336</v>
      </c>
      <c r="J418" s="8" t="s">
        <v>1337</v>
      </c>
      <c r="K418" s="8" t="s">
        <v>74</v>
      </c>
      <c r="L418" s="8" t="s">
        <v>15</v>
      </c>
      <c r="M418" s="30" t="s">
        <v>1338</v>
      </c>
      <c r="N418" s="8" t="s">
        <v>75</v>
      </c>
      <c r="O418" s="8" t="s">
        <v>76</v>
      </c>
      <c r="P418" s="28" t="s">
        <v>215</v>
      </c>
      <c r="Q418" s="16" t="s">
        <v>1339</v>
      </c>
      <c r="X418" s="8" t="s">
        <v>79</v>
      </c>
      <c r="Y418" s="34">
        <f>IF(X418='Listas suspensas'!$A$21,'Listas suspensas'!$B$23,IF(X418='Listas suspensas'!$A$22,'Listas suspensas'!$B$23,IF(X418='Listas suspensas'!$A$23,'Listas suspensas'!$B$22,IF(X418='Listas suspensas'!$A$26,'Listas suspensas'!$B$22,IF(X418='Listas suspensas'!$A$32,'Listas suspensas'!$B$22,IF(X418='Listas suspensas'!$A$33,'Listas suspensas'!$B$21,IF(X418='Listas suspensas'!$A$24,'Listas suspensas'!$B$22,IF(X418='Listas suspensas'!$A$25,'Listas suspensas'!$B$21,IF(X418='Listas suspensas'!$A$30,'Listas suspensas'!$B$21,"")))))))))</f>
        <v>6.5</v>
      </c>
      <c r="Z418" s="8" t="s">
        <v>80</v>
      </c>
      <c r="AA418" s="8">
        <v>4</v>
      </c>
      <c r="AB418" s="8" t="str">
        <f>IF(AA418='Listas suspensas'!$A$2,'Listas suspensas'!$B$2,IF(AA418='Listas suspensas'!$A$3,'Listas suspensas'!$B$3,IF(AA418='Listas suspensas'!$A$4,'Listas suspensas'!$B$4,IF(AA418='Listas suspensas'!$A$5,'Listas suspensas'!$B$5,IF(AA418='Listas suspensas'!$A$6,'Listas suspensas'!$B$6,"")))))</f>
        <v>Parcial e irregular</v>
      </c>
      <c r="AC418" s="8" t="str">
        <f>IF(AA418='Listas suspensas'!$A$2,'Listas suspensas'!$C$2,IF(AA418='Listas suspensas'!$A$3,'Listas suspensas'!$C$3,IF(AA418='Listas suspensas'!$A$4,'Listas suspensas'!$C$4,IF(AA418='Listas suspensas'!$A$5,'Listas suspensas'!$C$5,IF(AA418='Listas suspensas'!$A$6,'Listas suspensas'!$C$6,"")))))</f>
        <v>Indica a penetração desuniforme e não total pela extensão do alburno.</v>
      </c>
      <c r="BD418" s="13">
        <v>0.79200000000000004</v>
      </c>
      <c r="BE418" s="18">
        <f t="shared" si="74"/>
        <v>792</v>
      </c>
      <c r="BF418" s="8">
        <v>0.16700000000000001</v>
      </c>
      <c r="BG418" s="8">
        <v>0.09</v>
      </c>
      <c r="BH418" s="8">
        <v>0.218</v>
      </c>
      <c r="BI418" s="13">
        <f t="shared" si="75"/>
        <v>0.47499999999999998</v>
      </c>
      <c r="BJ418" s="14">
        <v>35.200000000000003</v>
      </c>
      <c r="BK418" s="14">
        <v>18.899999999999999</v>
      </c>
      <c r="BL418" s="14">
        <v>45.9</v>
      </c>
      <c r="BM418" s="16">
        <f t="shared" si="69"/>
        <v>100</v>
      </c>
      <c r="BN418" s="21">
        <f t="shared" si="70"/>
        <v>1.32</v>
      </c>
      <c r="BO418" s="21">
        <f t="shared" si="71"/>
        <v>0.71</v>
      </c>
      <c r="BP418" s="21">
        <f t="shared" si="72"/>
        <v>1.73</v>
      </c>
      <c r="BQ418" s="14">
        <f t="shared" si="73"/>
        <v>3.76</v>
      </c>
      <c r="BR418" s="22" t="str">
        <f>IF(OR(AND(X418="Mourões", BQ418&gt;=6.5),AND(X418="Postes", BQ418&gt;=9.6),AND(X418="Dormentes", BQ418&gt;=9.6),AND(X418="Estacas - Solo", BQ418&gt;=6.5),AND(X418="Estacas - Suspenso", BQ418&gt;=4),AND(X418="Cruzetas", BQ418&gt;=6.5),AND(X418="Outros - Solo", BQ418&gt;=6.5),AND(X418="Outros - Suspenso",BQ418&gt;=4),AND(X418="Deck",BQ418&gt;=4)),'Listas suspensas'!$C$21,'Listas suspensas'!$C$22)</f>
        <v>Os resultados da análise química apresentaram uma retenção do produto inferior ao padrão mínimo exigido pela norma ABNT NBR 16143</v>
      </c>
    </row>
    <row r="419" spans="2:70" x14ac:dyDescent="0.25">
      <c r="B419" s="8" t="s">
        <v>1067</v>
      </c>
      <c r="C419" s="8" t="s">
        <v>71</v>
      </c>
      <c r="F419" s="11">
        <v>45940</v>
      </c>
      <c r="G419" s="11">
        <v>45944</v>
      </c>
      <c r="H419" s="11">
        <v>45946</v>
      </c>
      <c r="I419" s="8" t="s">
        <v>1336</v>
      </c>
      <c r="J419" s="8" t="s">
        <v>1337</v>
      </c>
      <c r="K419" s="8" t="s">
        <v>74</v>
      </c>
      <c r="L419" s="8" t="s">
        <v>15</v>
      </c>
      <c r="M419" s="30" t="s">
        <v>1338</v>
      </c>
      <c r="N419" s="8" t="s">
        <v>75</v>
      </c>
      <c r="O419" s="8" t="s">
        <v>76</v>
      </c>
      <c r="P419" s="28" t="s">
        <v>215</v>
      </c>
      <c r="Q419" s="16" t="s">
        <v>1340</v>
      </c>
      <c r="X419" s="8" t="s">
        <v>79</v>
      </c>
      <c r="Y419" s="34">
        <f>IF(X419='Listas suspensas'!$A$21,'Listas suspensas'!$B$23,IF(X419='Listas suspensas'!$A$22,'Listas suspensas'!$B$23,IF(X419='Listas suspensas'!$A$23,'Listas suspensas'!$B$22,IF(X419='Listas suspensas'!$A$26,'Listas suspensas'!$B$22,IF(X419='Listas suspensas'!$A$32,'Listas suspensas'!$B$22,IF(X419='Listas suspensas'!$A$33,'Listas suspensas'!$B$21,IF(X419='Listas suspensas'!$A$24,'Listas suspensas'!$B$22,IF(X419='Listas suspensas'!$A$25,'Listas suspensas'!$B$21,IF(X419='Listas suspensas'!$A$30,'Listas suspensas'!$B$21,"")))))))))</f>
        <v>6.5</v>
      </c>
      <c r="Z419" s="8" t="s">
        <v>80</v>
      </c>
      <c r="AA419" s="8">
        <v>4</v>
      </c>
      <c r="AB419" s="8" t="str">
        <f>IF(AA419='Listas suspensas'!$A$2,'Listas suspensas'!$B$2,IF(AA419='Listas suspensas'!$A$3,'Listas suspensas'!$B$3,IF(AA419='Listas suspensas'!$A$4,'Listas suspensas'!$B$4,IF(AA419='Listas suspensas'!$A$5,'Listas suspensas'!$B$5,IF(AA419='Listas suspensas'!$A$6,'Listas suspensas'!$B$6,"")))))</f>
        <v>Parcial e irregular</v>
      </c>
      <c r="AC419" s="8" t="str">
        <f>IF(AA419='Listas suspensas'!$A$2,'Listas suspensas'!$C$2,IF(AA419='Listas suspensas'!$A$3,'Listas suspensas'!$C$3,IF(AA419='Listas suspensas'!$A$4,'Listas suspensas'!$C$4,IF(AA419='Listas suspensas'!$A$5,'Listas suspensas'!$C$5,IF(AA419='Listas suspensas'!$A$6,'Listas suspensas'!$C$6,"")))))</f>
        <v>Indica a penetração desuniforme e não total pela extensão do alburno.</v>
      </c>
      <c r="BD419" s="13">
        <v>0.91100000000000003</v>
      </c>
      <c r="BE419" s="18">
        <f t="shared" si="74"/>
        <v>911</v>
      </c>
      <c r="BF419" s="8">
        <v>0.28000000000000003</v>
      </c>
      <c r="BG419" s="8">
        <v>0.16200000000000001</v>
      </c>
      <c r="BH419" s="8">
        <v>0.375</v>
      </c>
      <c r="BI419" s="13">
        <f t="shared" si="75"/>
        <v>0.81700000000000006</v>
      </c>
      <c r="BJ419" s="14">
        <v>34.299999999999997</v>
      </c>
      <c r="BK419" s="14">
        <v>19.899999999999999</v>
      </c>
      <c r="BL419" s="14">
        <v>45.8</v>
      </c>
      <c r="BM419" s="16">
        <f t="shared" si="69"/>
        <v>100</v>
      </c>
      <c r="BN419" s="21">
        <f t="shared" si="70"/>
        <v>2.5499999999999998</v>
      </c>
      <c r="BO419" s="21">
        <f t="shared" si="71"/>
        <v>1.48</v>
      </c>
      <c r="BP419" s="21">
        <f t="shared" si="72"/>
        <v>3.42</v>
      </c>
      <c r="BQ419" s="14">
        <f t="shared" si="73"/>
        <v>7.45</v>
      </c>
      <c r="BR419" s="22" t="str">
        <f>IF(OR(AND(X419="Mourões", BQ419&gt;=6.5),AND(X419="Postes", BQ419&gt;=9.6),AND(X419="Dormentes", BQ419&gt;=9.6),AND(X419="Estacas - Solo", BQ419&gt;=6.5),AND(X419="Estacas - Suspenso", BQ419&gt;=4),AND(X419="Cruzetas", BQ419&gt;=6.5),AND(X419="Outros - Solo", BQ419&gt;=6.5),AND(X419="Outros - Suspenso",BQ419&gt;=4),AND(X419="Deck",BQ419&gt;=4)),'Listas suspensas'!$C$21,'Listas suspensas'!$C$22)</f>
        <v>Os resultados da análise química apresentaram uma retenção do produto de acordo com o padrão mínimo exigido pela norma ABNT NBR 16143</v>
      </c>
    </row>
    <row r="420" spans="2:70" x14ac:dyDescent="0.25">
      <c r="B420" s="8" t="s">
        <v>1068</v>
      </c>
      <c r="C420" s="8" t="s">
        <v>71</v>
      </c>
      <c r="F420" s="11">
        <v>45940</v>
      </c>
      <c r="G420" s="11">
        <v>45944</v>
      </c>
      <c r="H420" s="11">
        <v>45946</v>
      </c>
      <c r="I420" s="8" t="s">
        <v>1336</v>
      </c>
      <c r="J420" s="8" t="s">
        <v>1337</v>
      </c>
      <c r="K420" s="8" t="s">
        <v>74</v>
      </c>
      <c r="L420" s="8" t="s">
        <v>15</v>
      </c>
      <c r="M420" s="30" t="s">
        <v>1338</v>
      </c>
      <c r="N420" s="8" t="s">
        <v>75</v>
      </c>
      <c r="O420" s="8" t="s">
        <v>76</v>
      </c>
      <c r="P420" s="28" t="s">
        <v>77</v>
      </c>
      <c r="Q420" s="16" t="s">
        <v>1341</v>
      </c>
      <c r="X420" s="8" t="s">
        <v>79</v>
      </c>
      <c r="Y420" s="34">
        <f>IF(X420='Listas suspensas'!$A$21,'Listas suspensas'!$B$23,IF(X420='Listas suspensas'!$A$22,'Listas suspensas'!$B$23,IF(X420='Listas suspensas'!$A$23,'Listas suspensas'!$B$22,IF(X420='Listas suspensas'!$A$26,'Listas suspensas'!$B$22,IF(X420='Listas suspensas'!$A$32,'Listas suspensas'!$B$22,IF(X420='Listas suspensas'!$A$33,'Listas suspensas'!$B$21,IF(X420='Listas suspensas'!$A$24,'Listas suspensas'!$B$22,IF(X420='Listas suspensas'!$A$25,'Listas suspensas'!$B$21,IF(X420='Listas suspensas'!$A$30,'Listas suspensas'!$B$21,"")))))))))</f>
        <v>6.5</v>
      </c>
      <c r="Z420" s="8" t="s">
        <v>80</v>
      </c>
      <c r="AA420" s="8">
        <v>2</v>
      </c>
      <c r="AB420" s="8" t="str">
        <f>IF(AA420='Listas suspensas'!$A$2,'Listas suspensas'!$B$2,IF(AA420='Listas suspensas'!$A$3,'Listas suspensas'!$B$3,IF(AA420='Listas suspensas'!$A$4,'Listas suspensas'!$B$4,IF(AA420='Listas suspensas'!$A$5,'Listas suspensas'!$B$5,IF(AA420='Listas suspensas'!$A$6,'Listas suspensas'!$B$6,"")))))</f>
        <v>Profunda e irregular</v>
      </c>
      <c r="AC420" s="8" t="str">
        <f>IF(AA420='Listas suspensas'!$A$2,'Listas suspensas'!$C$2,IF(AA420='Listas suspensas'!$A$3,'Listas suspensas'!$C$3,IF(AA420='Listas suspensas'!$A$4,'Listas suspensas'!$C$4,IF(AA420='Listas suspensas'!$A$5,'Listas suspensas'!$C$5,IF(AA420='Listas suspensas'!$A$6,'Listas suspensas'!$C$6,"")))))</f>
        <v>Indica a penetração profunda, mas desuniforme em toda a extensão do alburno.</v>
      </c>
      <c r="BD420" s="13">
        <v>0.502</v>
      </c>
      <c r="BE420" s="18">
        <f t="shared" si="74"/>
        <v>502</v>
      </c>
      <c r="BF420" s="8">
        <v>0.42499999999999999</v>
      </c>
      <c r="BG420" s="8">
        <v>0.21199999999999999</v>
      </c>
      <c r="BH420" s="8">
        <v>0.36899999999999999</v>
      </c>
      <c r="BI420" s="13">
        <f t="shared" si="75"/>
        <v>1.006</v>
      </c>
      <c r="BJ420" s="14">
        <v>42.2</v>
      </c>
      <c r="BK420" s="14">
        <v>21.1</v>
      </c>
      <c r="BL420" s="14">
        <v>36.700000000000003</v>
      </c>
      <c r="BM420" s="16">
        <f t="shared" si="69"/>
        <v>100</v>
      </c>
      <c r="BN420" s="21">
        <f t="shared" si="70"/>
        <v>2.13</v>
      </c>
      <c r="BO420" s="21">
        <f t="shared" si="71"/>
        <v>1.06</v>
      </c>
      <c r="BP420" s="21">
        <f t="shared" si="72"/>
        <v>1.85</v>
      </c>
      <c r="BQ420" s="14">
        <f t="shared" si="73"/>
        <v>5.04</v>
      </c>
      <c r="BR420" s="22" t="str">
        <f>IF(OR(AND(X420="Mourões", BQ420&gt;=6.5),AND(X420="Postes", BQ420&gt;=9.6),AND(X420="Dormentes", BQ420&gt;=9.6),AND(X420="Estacas - Solo", BQ420&gt;=6.5),AND(X420="Estacas - Suspenso", BQ420&gt;=4),AND(X420="Cruzetas", BQ420&gt;=6.5),AND(X420="Outros - Solo", BQ420&gt;=6.5),AND(X420="Outros - Suspenso",BQ420&gt;=4),AND(X420="Deck",BQ420&gt;=4)),'Listas suspensas'!$C$21,'Listas suspensas'!$C$22)</f>
        <v>Os resultados da análise química apresentaram uma retenção do produto inferior ao padrão mínimo exigido pela norma ABNT NBR 16143</v>
      </c>
    </row>
    <row r="421" spans="2:70" x14ac:dyDescent="0.25">
      <c r="B421" s="8" t="s">
        <v>1069</v>
      </c>
      <c r="C421" s="8" t="s">
        <v>71</v>
      </c>
      <c r="F421" s="11">
        <v>45940</v>
      </c>
      <c r="G421" s="11">
        <v>45944</v>
      </c>
      <c r="H421" s="11">
        <v>45946</v>
      </c>
      <c r="I421" s="8" t="s">
        <v>1336</v>
      </c>
      <c r="J421" s="8" t="s">
        <v>1337</v>
      </c>
      <c r="K421" s="8" t="s">
        <v>74</v>
      </c>
      <c r="L421" s="8" t="s">
        <v>15</v>
      </c>
      <c r="M421" s="30" t="s">
        <v>1338</v>
      </c>
      <c r="N421" s="8" t="s">
        <v>75</v>
      </c>
      <c r="O421" s="8" t="s">
        <v>76</v>
      </c>
      <c r="P421" s="28" t="s">
        <v>77</v>
      </c>
      <c r="Q421" s="16" t="s">
        <v>1342</v>
      </c>
      <c r="X421" s="8" t="s">
        <v>79</v>
      </c>
      <c r="Y421" s="34">
        <f>IF(X421='Listas suspensas'!$A$21,'Listas suspensas'!$B$23,IF(X421='Listas suspensas'!$A$22,'Listas suspensas'!$B$23,IF(X421='Listas suspensas'!$A$23,'Listas suspensas'!$B$22,IF(X421='Listas suspensas'!$A$26,'Listas suspensas'!$B$22,IF(X421='Listas suspensas'!$A$32,'Listas suspensas'!$B$22,IF(X421='Listas suspensas'!$A$33,'Listas suspensas'!$B$21,IF(X421='Listas suspensas'!$A$24,'Listas suspensas'!$B$22,IF(X421='Listas suspensas'!$A$25,'Listas suspensas'!$B$21,IF(X421='Listas suspensas'!$A$30,'Listas suspensas'!$B$21,"")))))))))</f>
        <v>6.5</v>
      </c>
      <c r="Z421" s="8" t="s">
        <v>80</v>
      </c>
      <c r="AA421" s="8">
        <v>2</v>
      </c>
      <c r="AB421" s="8" t="str">
        <f>IF(AA421='Listas suspensas'!$A$2,'Listas suspensas'!$B$2,IF(AA421='Listas suspensas'!$A$3,'Listas suspensas'!$B$3,IF(AA421='Listas suspensas'!$A$4,'Listas suspensas'!$B$4,IF(AA421='Listas suspensas'!$A$5,'Listas suspensas'!$B$5,IF(AA421='Listas suspensas'!$A$6,'Listas suspensas'!$B$6,"")))))</f>
        <v>Profunda e irregular</v>
      </c>
      <c r="AC421" s="8" t="str">
        <f>IF(AA421='Listas suspensas'!$A$2,'Listas suspensas'!$C$2,IF(AA421='Listas suspensas'!$A$3,'Listas suspensas'!$C$3,IF(AA421='Listas suspensas'!$A$4,'Listas suspensas'!$C$4,IF(AA421='Listas suspensas'!$A$5,'Listas suspensas'!$C$5,IF(AA421='Listas suspensas'!$A$6,'Listas suspensas'!$C$6,"")))))</f>
        <v>Indica a penetração profunda, mas desuniforme em toda a extensão do alburno.</v>
      </c>
      <c r="BD421" s="13">
        <v>0.65100000000000002</v>
      </c>
      <c r="BE421" s="18">
        <f t="shared" si="74"/>
        <v>651</v>
      </c>
      <c r="BF421" s="8">
        <v>0.32700000000000001</v>
      </c>
      <c r="BG421" s="8">
        <v>0.19</v>
      </c>
      <c r="BH421" s="8">
        <v>0.40200000000000002</v>
      </c>
      <c r="BI421" s="13">
        <f t="shared" si="75"/>
        <v>0.91900000000000004</v>
      </c>
      <c r="BJ421" s="14">
        <v>35.6</v>
      </c>
      <c r="BK421" s="14">
        <v>20.7</v>
      </c>
      <c r="BL421" s="14">
        <v>43.7</v>
      </c>
      <c r="BM421" s="16">
        <f t="shared" si="69"/>
        <v>100</v>
      </c>
      <c r="BN421" s="21">
        <f t="shared" si="70"/>
        <v>2.13</v>
      </c>
      <c r="BO421" s="21">
        <f t="shared" si="71"/>
        <v>1.24</v>
      </c>
      <c r="BP421" s="21">
        <f t="shared" si="72"/>
        <v>2.62</v>
      </c>
      <c r="BQ421" s="14">
        <f t="shared" si="73"/>
        <v>5.99</v>
      </c>
      <c r="BR421" s="22" t="str">
        <f>IF(OR(AND(X421="Mourões", BQ421&gt;=6.5),AND(X421="Postes", BQ421&gt;=9.6),AND(X421="Dormentes", BQ421&gt;=9.6),AND(X421="Estacas - Solo", BQ421&gt;=6.5),AND(X421="Estacas - Suspenso", BQ421&gt;=4),AND(X421="Cruzetas", BQ421&gt;=6.5),AND(X421="Outros - Solo", BQ421&gt;=6.5),AND(X421="Outros - Suspenso",BQ421&gt;=4),AND(X421="Deck",BQ421&gt;=4)),'Listas suspensas'!$C$21,'Listas suspensas'!$C$22)</f>
        <v>Os resultados da análise química apresentaram uma retenção do produto inferior ao padrão mínimo exigido pela norma ABNT NBR 16143</v>
      </c>
    </row>
    <row r="422" spans="2:70" x14ac:dyDescent="0.25">
      <c r="B422" s="8" t="s">
        <v>1070</v>
      </c>
      <c r="C422" s="8" t="s">
        <v>71</v>
      </c>
      <c r="F422" s="11">
        <v>45940</v>
      </c>
      <c r="G422" s="11">
        <v>45944</v>
      </c>
      <c r="H422" s="11">
        <v>45946</v>
      </c>
      <c r="I422" s="8" t="s">
        <v>1336</v>
      </c>
      <c r="J422" s="8" t="s">
        <v>1337</v>
      </c>
      <c r="K422" s="8" t="s">
        <v>74</v>
      </c>
      <c r="L422" s="8" t="s">
        <v>15</v>
      </c>
      <c r="M422" s="30" t="s">
        <v>1338</v>
      </c>
      <c r="N422" s="8" t="s">
        <v>75</v>
      </c>
      <c r="O422" s="8" t="s">
        <v>76</v>
      </c>
      <c r="P422" s="28" t="s">
        <v>77</v>
      </c>
      <c r="Q422" s="16" t="s">
        <v>1343</v>
      </c>
      <c r="X422" s="8" t="s">
        <v>79</v>
      </c>
      <c r="Y422" s="34">
        <f>IF(X422='Listas suspensas'!$A$21,'Listas suspensas'!$B$23,IF(X422='Listas suspensas'!$A$22,'Listas suspensas'!$B$23,IF(X422='Listas suspensas'!$A$23,'Listas suspensas'!$B$22,IF(X422='Listas suspensas'!$A$26,'Listas suspensas'!$B$22,IF(X422='Listas suspensas'!$A$32,'Listas suspensas'!$B$22,IF(X422='Listas suspensas'!$A$33,'Listas suspensas'!$B$21,IF(X422='Listas suspensas'!$A$24,'Listas suspensas'!$B$22,IF(X422='Listas suspensas'!$A$25,'Listas suspensas'!$B$21,IF(X422='Listas suspensas'!$A$30,'Listas suspensas'!$B$21,"")))))))))</f>
        <v>6.5</v>
      </c>
      <c r="Z422" s="8" t="s">
        <v>80</v>
      </c>
      <c r="AA422" s="8">
        <v>3</v>
      </c>
      <c r="AB422" s="8" t="str">
        <f>IF(AA422='Listas suspensas'!$A$2,'Listas suspensas'!$B$2,IF(AA422='Listas suspensas'!$A$3,'Listas suspensas'!$B$3,IF(AA422='Listas suspensas'!$A$4,'Listas suspensas'!$B$4,IF(AA422='Listas suspensas'!$A$5,'Listas suspensas'!$B$5,IF(AA422='Listas suspensas'!$A$6,'Listas suspensas'!$B$6,"")))))</f>
        <v xml:space="preserve"> Parcial e regular</v>
      </c>
      <c r="AC422" s="8" t="str">
        <f>IF(AA422='Listas suspensas'!$A$2,'Listas suspensas'!$C$2,IF(AA422='Listas suspensas'!$A$3,'Listas suspensas'!$C$3,IF(AA422='Listas suspensas'!$A$4,'Listas suspensas'!$C$4,IF(AA422='Listas suspensas'!$A$5,'Listas suspensas'!$C$5,IF(AA422='Listas suspensas'!$A$6,'Listas suspensas'!$C$6,"")))))</f>
        <v>Indica a penetração uniforme, mas não total pela extensão do alburno.</v>
      </c>
      <c r="BD422" s="13">
        <v>0.54100000000000004</v>
      </c>
      <c r="BE422" s="18">
        <f t="shared" si="74"/>
        <v>541</v>
      </c>
      <c r="BF422" s="8">
        <v>0.22</v>
      </c>
      <c r="BG422" s="8">
        <v>0.13100000000000001</v>
      </c>
      <c r="BH422" s="8">
        <v>0.26700000000000002</v>
      </c>
      <c r="BI422" s="13">
        <f t="shared" si="75"/>
        <v>0.61799999999999999</v>
      </c>
      <c r="BJ422" s="14">
        <v>35.6</v>
      </c>
      <c r="BK422" s="14">
        <v>21.2</v>
      </c>
      <c r="BL422" s="14">
        <v>43.2</v>
      </c>
      <c r="BM422" s="16">
        <f t="shared" si="69"/>
        <v>100</v>
      </c>
      <c r="BN422" s="21">
        <f t="shared" si="70"/>
        <v>1.19</v>
      </c>
      <c r="BO422" s="21">
        <f t="shared" si="71"/>
        <v>0.71</v>
      </c>
      <c r="BP422" s="21">
        <f t="shared" si="72"/>
        <v>1.44</v>
      </c>
      <c r="BQ422" s="14">
        <f t="shared" si="73"/>
        <v>3.34</v>
      </c>
      <c r="BR422" s="22" t="str">
        <f>IF(OR(AND(X422="Mourões", BQ422&gt;=6.5),AND(X422="Postes", BQ422&gt;=9.6),AND(X422="Dormentes", BQ422&gt;=9.6),AND(X422="Estacas - Solo", BQ422&gt;=6.5),AND(X422="Estacas - Suspenso", BQ422&gt;=4),AND(X422="Cruzetas", BQ422&gt;=6.5),AND(X422="Outros - Solo", BQ422&gt;=6.5),AND(X422="Outros - Suspenso",BQ422&gt;=4),AND(X422="Deck",BQ422&gt;=4)),'Listas suspensas'!$C$21,'Listas suspensas'!$C$22)</f>
        <v>Os resultados da análise química apresentaram uma retenção do produto inferior ao padrão mínimo exigido pela norma ABNT NBR 16143</v>
      </c>
    </row>
    <row r="423" spans="2:70" x14ac:dyDescent="0.25">
      <c r="B423" s="8" t="s">
        <v>1071</v>
      </c>
      <c r="C423" s="8" t="s">
        <v>71</v>
      </c>
      <c r="F423" s="11">
        <v>45944</v>
      </c>
      <c r="G423" s="11">
        <v>45945</v>
      </c>
      <c r="H423" s="11">
        <v>45946</v>
      </c>
      <c r="I423" s="8" t="s">
        <v>241</v>
      </c>
      <c r="J423" s="8" t="s">
        <v>242</v>
      </c>
      <c r="K423" s="8" t="s">
        <v>243</v>
      </c>
      <c r="L423" s="8" t="s">
        <v>15</v>
      </c>
      <c r="M423" s="30" t="s">
        <v>361</v>
      </c>
      <c r="N423" s="8" t="s">
        <v>75</v>
      </c>
      <c r="O423" s="8" t="s">
        <v>94</v>
      </c>
      <c r="P423" s="28" t="s">
        <v>77</v>
      </c>
      <c r="Q423" s="16" t="s">
        <v>1345</v>
      </c>
      <c r="X423" s="8" t="s">
        <v>994</v>
      </c>
      <c r="Y423" s="34">
        <f>IF(X423='Listas suspensas'!$A$21,'Listas suspensas'!$B$23,IF(X423='Listas suspensas'!$A$22,'Listas suspensas'!$B$23,IF(X423='Listas suspensas'!$A$23,'Listas suspensas'!$B$22,IF(X423='Listas suspensas'!$A$26,'Listas suspensas'!$B$22,IF(X423='Listas suspensas'!$A$32,'Listas suspensas'!$B$22,IF(X423='Listas suspensas'!$A$33,'Listas suspensas'!$B$21,IF(X423='Listas suspensas'!$A$24,'Listas suspensas'!$B$22,IF(X423='Listas suspensas'!$A$25,'Listas suspensas'!$B$21,IF(X423='Listas suspensas'!$A$30,'Listas suspensas'!$B$21,"")))))))))</f>
        <v>4</v>
      </c>
      <c r="Z423" s="8" t="s">
        <v>80</v>
      </c>
      <c r="AA423" s="8">
        <v>3</v>
      </c>
      <c r="AB423" s="8" t="str">
        <f>IF(AA423='Listas suspensas'!$A$2,'Listas suspensas'!$B$2,IF(AA423='Listas suspensas'!$A$3,'Listas suspensas'!$B$3,IF(AA423='Listas suspensas'!$A$4,'Listas suspensas'!$B$4,IF(AA423='Listas suspensas'!$A$5,'Listas suspensas'!$B$5,IF(AA423='Listas suspensas'!$A$6,'Listas suspensas'!$B$6,"")))))</f>
        <v xml:space="preserve"> Parcial e regular</v>
      </c>
      <c r="AC423" s="8" t="str">
        <f>IF(AA423='Listas suspensas'!$A$2,'Listas suspensas'!$C$2,IF(AA423='Listas suspensas'!$A$3,'Listas suspensas'!$C$3,IF(AA423='Listas suspensas'!$A$4,'Listas suspensas'!$C$4,IF(AA423='Listas suspensas'!$A$5,'Listas suspensas'!$C$5,IF(AA423='Listas suspensas'!$A$6,'Listas suspensas'!$C$6,"")))))</f>
        <v>Indica a penetração uniforme, mas não total pela extensão do alburno.</v>
      </c>
      <c r="BD423" s="13">
        <v>0.68400000000000005</v>
      </c>
      <c r="BE423" s="18">
        <f t="shared" si="74"/>
        <v>684</v>
      </c>
      <c r="BF423" s="8">
        <v>0.40100000000000002</v>
      </c>
      <c r="BG423" s="8">
        <v>0.17799999999999999</v>
      </c>
      <c r="BH423" s="8">
        <v>0.33800000000000002</v>
      </c>
      <c r="BI423" s="13">
        <f t="shared" si="75"/>
        <v>0.91700000000000004</v>
      </c>
      <c r="BJ423" s="14">
        <v>43.7</v>
      </c>
      <c r="BK423" s="14">
        <v>19.399999999999999</v>
      </c>
      <c r="BL423" s="14">
        <v>36.9</v>
      </c>
      <c r="BM423" s="16">
        <f t="shared" si="69"/>
        <v>100</v>
      </c>
      <c r="BN423" s="21">
        <f t="shared" si="70"/>
        <v>2.74</v>
      </c>
      <c r="BO423" s="21">
        <f t="shared" si="71"/>
        <v>1.22</v>
      </c>
      <c r="BP423" s="21">
        <f t="shared" si="72"/>
        <v>2.31</v>
      </c>
      <c r="BQ423" s="14">
        <f t="shared" si="73"/>
        <v>6.27</v>
      </c>
      <c r="BR423" s="22" t="str">
        <f>IF(OR(AND(X423="Mourões", BQ423&gt;=6.5),AND(X423="Postes", BQ423&gt;=9.6),AND(X423="Dormentes", BQ423&gt;=9.6),AND(X423="Estacas - Solo", BQ423&gt;=6.5),AND(X423="Estacas - Suspenso", BQ423&gt;=4),AND(X423="Cruzetas", BQ423&gt;=6.5),AND(X423="Outros - Solo", BQ423&gt;=6.5),AND(X423="Outros - Suspenso",BQ423&gt;=4),AND(X423="Deck",BQ423&gt;=4)),'Listas suspensas'!$C$21,'Listas suspensas'!$C$22)</f>
        <v>Os resultados da análise química apresentaram uma retenção do produto de acordo com o padrão mínimo exigido pela norma ABNT NBR 16143</v>
      </c>
    </row>
    <row r="424" spans="2:70" x14ac:dyDescent="0.25">
      <c r="B424" s="8" t="s">
        <v>1072</v>
      </c>
      <c r="C424" s="8" t="s">
        <v>71</v>
      </c>
      <c r="F424" s="11">
        <v>45944</v>
      </c>
      <c r="G424" s="11">
        <v>45945</v>
      </c>
      <c r="H424" s="11">
        <v>45946</v>
      </c>
      <c r="I424" s="8" t="s">
        <v>241</v>
      </c>
      <c r="J424" s="8" t="s">
        <v>242</v>
      </c>
      <c r="K424" s="8" t="s">
        <v>243</v>
      </c>
      <c r="L424" s="8" t="s">
        <v>15</v>
      </c>
      <c r="M424" s="30" t="s">
        <v>361</v>
      </c>
      <c r="N424" s="8" t="s">
        <v>75</v>
      </c>
      <c r="O424" s="8" t="s">
        <v>94</v>
      </c>
      <c r="P424" s="28" t="s">
        <v>77</v>
      </c>
      <c r="Q424" s="16" t="s">
        <v>1346</v>
      </c>
      <c r="X424" s="8" t="s">
        <v>994</v>
      </c>
      <c r="Y424" s="34">
        <f>IF(X424='Listas suspensas'!$A$21,'Listas suspensas'!$B$23,IF(X424='Listas suspensas'!$A$22,'Listas suspensas'!$B$23,IF(X424='Listas suspensas'!$A$23,'Listas suspensas'!$B$22,IF(X424='Listas suspensas'!$A$26,'Listas suspensas'!$B$22,IF(X424='Listas suspensas'!$A$32,'Listas suspensas'!$B$22,IF(X424='Listas suspensas'!$A$33,'Listas suspensas'!$B$21,IF(X424='Listas suspensas'!$A$24,'Listas suspensas'!$B$22,IF(X424='Listas suspensas'!$A$25,'Listas suspensas'!$B$21,IF(X424='Listas suspensas'!$A$30,'Listas suspensas'!$B$21,"")))))))))</f>
        <v>4</v>
      </c>
      <c r="Z424" s="8" t="s">
        <v>80</v>
      </c>
      <c r="AA424" s="8">
        <v>3</v>
      </c>
      <c r="AB424" s="8" t="str">
        <f>IF(AA424='Listas suspensas'!$A$2,'Listas suspensas'!$B$2,IF(AA424='Listas suspensas'!$A$3,'Listas suspensas'!$B$3,IF(AA424='Listas suspensas'!$A$4,'Listas suspensas'!$B$4,IF(AA424='Listas suspensas'!$A$5,'Listas suspensas'!$B$5,IF(AA424='Listas suspensas'!$A$6,'Listas suspensas'!$B$6,"")))))</f>
        <v xml:space="preserve"> Parcial e regular</v>
      </c>
      <c r="AC424" s="8" t="str">
        <f>IF(AA424='Listas suspensas'!$A$2,'Listas suspensas'!$C$2,IF(AA424='Listas suspensas'!$A$3,'Listas suspensas'!$C$3,IF(AA424='Listas suspensas'!$A$4,'Listas suspensas'!$C$4,IF(AA424='Listas suspensas'!$A$5,'Listas suspensas'!$C$5,IF(AA424='Listas suspensas'!$A$6,'Listas suspensas'!$C$6,"")))))</f>
        <v>Indica a penetração uniforme, mas não total pela extensão do alburno.</v>
      </c>
      <c r="BD424" s="13">
        <v>0.72399999999999998</v>
      </c>
      <c r="BE424" s="18">
        <f t="shared" si="74"/>
        <v>724</v>
      </c>
      <c r="BF424" s="8">
        <v>0.32800000000000001</v>
      </c>
      <c r="BG424" s="8">
        <v>0.14399999999999999</v>
      </c>
      <c r="BH424" s="8">
        <v>0.252</v>
      </c>
      <c r="BI424" s="13">
        <f t="shared" si="75"/>
        <v>0.72399999999999998</v>
      </c>
      <c r="BJ424" s="14">
        <v>45.3</v>
      </c>
      <c r="BK424" s="14">
        <v>19.899999999999999</v>
      </c>
      <c r="BL424" s="14">
        <v>34.799999999999997</v>
      </c>
      <c r="BM424" s="16">
        <f t="shared" ref="BM424:BM486" si="76">ROUND(SUM(BJ424:BL424),2)</f>
        <v>100</v>
      </c>
      <c r="BN424" s="21">
        <f t="shared" ref="BN424:BN486" si="77">ROUND((BF424/100)*BE424,2)</f>
        <v>2.37</v>
      </c>
      <c r="BO424" s="21">
        <f t="shared" ref="BO424:BO486" si="78">ROUND((BG424/100)*BE424,2)</f>
        <v>1.04</v>
      </c>
      <c r="BP424" s="21">
        <f t="shared" ref="BP424:BP486" si="79">ROUND((BH424/100)*BE424,2)</f>
        <v>1.82</v>
      </c>
      <c r="BQ424" s="14">
        <f t="shared" ref="BQ424:BQ486" si="80">ROUND(SUM(BN424:BP424),2)</f>
        <v>5.23</v>
      </c>
      <c r="BR424" s="22" t="str">
        <f>IF(OR(AND(X424="Mourões", BQ424&gt;=6.5),AND(X424="Postes", BQ424&gt;=9.6),AND(X424="Dormentes", BQ424&gt;=9.6),AND(X424="Estacas - Solo", BQ424&gt;=6.5),AND(X424="Estacas - Suspenso", BQ424&gt;=4),AND(X424="Cruzetas", BQ424&gt;=6.5),AND(X424="Outros - Solo", BQ424&gt;=6.5),AND(X424="Outros - Suspenso",BQ424&gt;=4),AND(X424="Deck",BQ424&gt;=4)),'Listas suspensas'!$C$21,'Listas suspensas'!$C$22)</f>
        <v>Os resultados da análise química apresentaram uma retenção do produto de acordo com o padrão mínimo exigido pela norma ABNT NBR 16143</v>
      </c>
    </row>
    <row r="425" spans="2:70" x14ac:dyDescent="0.25">
      <c r="B425" s="8" t="s">
        <v>1073</v>
      </c>
      <c r="C425" s="8" t="s">
        <v>71</v>
      </c>
      <c r="F425" s="11">
        <v>45944</v>
      </c>
      <c r="G425" s="11">
        <v>45945</v>
      </c>
      <c r="H425" s="11">
        <v>45946</v>
      </c>
      <c r="I425" s="8" t="s">
        <v>241</v>
      </c>
      <c r="J425" s="8" t="s">
        <v>242</v>
      </c>
      <c r="K425" s="8" t="s">
        <v>243</v>
      </c>
      <c r="L425" s="8" t="s">
        <v>15</v>
      </c>
      <c r="M425" s="30" t="s">
        <v>361</v>
      </c>
      <c r="N425" s="8" t="s">
        <v>75</v>
      </c>
      <c r="O425" s="8" t="s">
        <v>94</v>
      </c>
      <c r="P425" s="28" t="s">
        <v>77</v>
      </c>
      <c r="Q425" s="16" t="s">
        <v>1347</v>
      </c>
      <c r="X425" s="8" t="s">
        <v>994</v>
      </c>
      <c r="Y425" s="34">
        <f>IF(X425='Listas suspensas'!$A$21,'Listas suspensas'!$B$23,IF(X425='Listas suspensas'!$A$22,'Listas suspensas'!$B$23,IF(X425='Listas suspensas'!$A$23,'Listas suspensas'!$B$22,IF(X425='Listas suspensas'!$A$26,'Listas suspensas'!$B$22,IF(X425='Listas suspensas'!$A$32,'Listas suspensas'!$B$22,IF(X425='Listas suspensas'!$A$33,'Listas suspensas'!$B$21,IF(X425='Listas suspensas'!$A$24,'Listas suspensas'!$B$22,IF(X425='Listas suspensas'!$A$25,'Listas suspensas'!$B$21,IF(X425='Listas suspensas'!$A$30,'Listas suspensas'!$B$21,"")))))))))</f>
        <v>4</v>
      </c>
      <c r="Z425" s="8" t="s">
        <v>80</v>
      </c>
      <c r="AA425" s="8">
        <v>2</v>
      </c>
      <c r="AB425" s="8" t="str">
        <f>IF(AA425='Listas suspensas'!$A$2,'Listas suspensas'!$B$2,IF(AA425='Listas suspensas'!$A$3,'Listas suspensas'!$B$3,IF(AA425='Listas suspensas'!$A$4,'Listas suspensas'!$B$4,IF(AA425='Listas suspensas'!$A$5,'Listas suspensas'!$B$5,IF(AA425='Listas suspensas'!$A$6,'Listas suspensas'!$B$6,"")))))</f>
        <v>Profunda e irregular</v>
      </c>
      <c r="AC425" s="8" t="str">
        <f>IF(AA425='Listas suspensas'!$A$2,'Listas suspensas'!$C$2,IF(AA425='Listas suspensas'!$A$3,'Listas suspensas'!$C$3,IF(AA425='Listas suspensas'!$A$4,'Listas suspensas'!$C$4,IF(AA425='Listas suspensas'!$A$5,'Listas suspensas'!$C$5,IF(AA425='Listas suspensas'!$A$6,'Listas suspensas'!$C$6,"")))))</f>
        <v>Indica a penetração profunda, mas desuniforme em toda a extensão do alburno.</v>
      </c>
      <c r="BD425" s="13">
        <v>0.745</v>
      </c>
      <c r="BE425" s="18">
        <f t="shared" si="74"/>
        <v>745</v>
      </c>
      <c r="BF425" s="8">
        <v>0.32400000000000001</v>
      </c>
      <c r="BG425" s="8">
        <v>0.188</v>
      </c>
      <c r="BH425" s="8">
        <v>0.32200000000000001</v>
      </c>
      <c r="BI425" s="13">
        <f t="shared" si="75"/>
        <v>0.83400000000000007</v>
      </c>
      <c r="BJ425" s="14">
        <v>38.799999999999997</v>
      </c>
      <c r="BK425" s="14">
        <v>22.5</v>
      </c>
      <c r="BL425" s="14">
        <v>38.700000000000003</v>
      </c>
      <c r="BM425" s="16">
        <f t="shared" si="76"/>
        <v>100</v>
      </c>
      <c r="BN425" s="21">
        <f t="shared" si="77"/>
        <v>2.41</v>
      </c>
      <c r="BO425" s="21">
        <f t="shared" si="78"/>
        <v>1.4</v>
      </c>
      <c r="BP425" s="21">
        <f t="shared" si="79"/>
        <v>2.4</v>
      </c>
      <c r="BQ425" s="14">
        <f t="shared" si="80"/>
        <v>6.21</v>
      </c>
      <c r="BR425" s="22" t="str">
        <f>IF(OR(AND(X425="Mourões", BQ425&gt;=6.5),AND(X425="Postes", BQ425&gt;=9.6),AND(X425="Dormentes", BQ425&gt;=9.6),AND(X425="Estacas - Solo", BQ425&gt;=6.5),AND(X425="Estacas - Suspenso", BQ425&gt;=4),AND(X425="Cruzetas", BQ425&gt;=6.5),AND(X425="Outros - Solo", BQ425&gt;=6.5),AND(X425="Outros - Suspenso",BQ425&gt;=4),AND(X425="Deck",BQ425&gt;=4)),'Listas suspensas'!$C$21,'Listas suspensas'!$C$22)</f>
        <v>Os resultados da análise química apresentaram uma retenção do produto de acordo com o padrão mínimo exigido pela norma ABNT NBR 16143</v>
      </c>
    </row>
    <row r="426" spans="2:70" x14ac:dyDescent="0.25">
      <c r="B426" s="8" t="s">
        <v>1074</v>
      </c>
      <c r="C426" s="8" t="s">
        <v>71</v>
      </c>
      <c r="F426" s="11">
        <v>45944</v>
      </c>
      <c r="G426" s="11">
        <v>45945</v>
      </c>
      <c r="H426" s="11">
        <v>45946</v>
      </c>
      <c r="I426" s="8" t="s">
        <v>241</v>
      </c>
      <c r="J426" s="8" t="s">
        <v>242</v>
      </c>
      <c r="K426" s="8" t="s">
        <v>243</v>
      </c>
      <c r="L426" s="8" t="s">
        <v>15</v>
      </c>
      <c r="M426" s="30" t="s">
        <v>361</v>
      </c>
      <c r="N426" s="8" t="s">
        <v>75</v>
      </c>
      <c r="O426" s="8" t="s">
        <v>94</v>
      </c>
      <c r="P426" s="28" t="s">
        <v>77</v>
      </c>
      <c r="Q426" s="16" t="s">
        <v>1349</v>
      </c>
      <c r="R426" s="8" t="s">
        <v>1348</v>
      </c>
      <c r="X426" s="8" t="s">
        <v>994</v>
      </c>
      <c r="Y426" s="34">
        <f>IF(X426='Listas suspensas'!$A$21,'Listas suspensas'!$B$23,IF(X426='Listas suspensas'!$A$22,'Listas suspensas'!$B$23,IF(X426='Listas suspensas'!$A$23,'Listas suspensas'!$B$22,IF(X426='Listas suspensas'!$A$26,'Listas suspensas'!$B$22,IF(X426='Listas suspensas'!$A$32,'Listas suspensas'!$B$22,IF(X426='Listas suspensas'!$A$33,'Listas suspensas'!$B$21,IF(X426='Listas suspensas'!$A$24,'Listas suspensas'!$B$22,IF(X426='Listas suspensas'!$A$25,'Listas suspensas'!$B$21,IF(X426='Listas suspensas'!$A$30,'Listas suspensas'!$B$21,"")))))))))</f>
        <v>4</v>
      </c>
      <c r="Z426" s="8" t="s">
        <v>80</v>
      </c>
      <c r="AA426" s="8">
        <v>2</v>
      </c>
      <c r="AB426" s="8" t="str">
        <f>IF(AA426='Listas suspensas'!$A$2,'Listas suspensas'!$B$2,IF(AA426='Listas suspensas'!$A$3,'Listas suspensas'!$B$3,IF(AA426='Listas suspensas'!$A$4,'Listas suspensas'!$B$4,IF(AA426='Listas suspensas'!$A$5,'Listas suspensas'!$B$5,IF(AA426='Listas suspensas'!$A$6,'Listas suspensas'!$B$6,"")))))</f>
        <v>Profunda e irregular</v>
      </c>
      <c r="AC426" s="8" t="str">
        <f>IF(AA426='Listas suspensas'!$A$2,'Listas suspensas'!$C$2,IF(AA426='Listas suspensas'!$A$3,'Listas suspensas'!$C$3,IF(AA426='Listas suspensas'!$A$4,'Listas suspensas'!$C$4,IF(AA426='Listas suspensas'!$A$5,'Listas suspensas'!$C$5,IF(AA426='Listas suspensas'!$A$6,'Listas suspensas'!$C$6,"")))))</f>
        <v>Indica a penetração profunda, mas desuniforme em toda a extensão do alburno.</v>
      </c>
      <c r="BD426" s="13">
        <v>0.72799999999999998</v>
      </c>
      <c r="BE426" s="18">
        <f t="shared" si="74"/>
        <v>728</v>
      </c>
      <c r="BF426" s="8">
        <v>0.35699999999999998</v>
      </c>
      <c r="BG426" s="8">
        <v>0.16300000000000001</v>
      </c>
      <c r="BH426" s="8">
        <v>0.29899999999999999</v>
      </c>
      <c r="BI426" s="13">
        <f t="shared" si="75"/>
        <v>0.81899999999999995</v>
      </c>
      <c r="BJ426" s="14">
        <v>43.6</v>
      </c>
      <c r="BK426" s="14">
        <v>19.899999999999999</v>
      </c>
      <c r="BL426" s="14">
        <v>36.5</v>
      </c>
      <c r="BM426" s="16">
        <f t="shared" si="76"/>
        <v>100</v>
      </c>
      <c r="BN426" s="21">
        <f t="shared" si="77"/>
        <v>2.6</v>
      </c>
      <c r="BO426" s="21">
        <f t="shared" si="78"/>
        <v>1.19</v>
      </c>
      <c r="BP426" s="21">
        <f t="shared" si="79"/>
        <v>2.1800000000000002</v>
      </c>
      <c r="BQ426" s="14">
        <f t="shared" si="80"/>
        <v>5.97</v>
      </c>
      <c r="BR426" s="22" t="str">
        <f>IF(OR(AND(X426="Mourões", BQ426&gt;=6.5),AND(X426="Postes", BQ426&gt;=9.6),AND(X426="Dormentes", BQ426&gt;=9.6),AND(X426="Estacas - Solo", BQ426&gt;=6.5),AND(X426="Estacas - Suspenso", BQ426&gt;=4),AND(X426="Cruzetas", BQ426&gt;=6.5),AND(X426="Outros - Solo", BQ426&gt;=6.5),AND(X426="Outros - Suspenso",BQ426&gt;=4),AND(X426="Deck",BQ426&gt;=4)),'Listas suspensas'!$C$21,'Listas suspensas'!$C$22)</f>
        <v>Os resultados da análise química apresentaram uma retenção do produto de acordo com o padrão mínimo exigido pela norma ABNT NBR 16143</v>
      </c>
    </row>
    <row r="427" spans="2:70" x14ac:dyDescent="0.25">
      <c r="B427" s="8" t="s">
        <v>1075</v>
      </c>
      <c r="C427" s="8" t="s">
        <v>71</v>
      </c>
      <c r="F427" s="11">
        <v>45937</v>
      </c>
      <c r="G427" s="11">
        <v>45939</v>
      </c>
      <c r="H427" s="11">
        <v>45944</v>
      </c>
      <c r="I427" s="8" t="s">
        <v>1359</v>
      </c>
      <c r="J427" s="8" t="s">
        <v>201</v>
      </c>
      <c r="K427" s="8" t="s">
        <v>202</v>
      </c>
      <c r="L427" s="8" t="s">
        <v>15</v>
      </c>
      <c r="N427" s="8" t="s">
        <v>1165</v>
      </c>
      <c r="O427" s="8" t="s">
        <v>545</v>
      </c>
      <c r="P427" s="28" t="s">
        <v>146</v>
      </c>
      <c r="Q427" s="16" t="s">
        <v>1350</v>
      </c>
      <c r="X427" s="14" t="s">
        <v>98</v>
      </c>
      <c r="Y427" s="34">
        <v>9.6</v>
      </c>
      <c r="Z427" s="8" t="s">
        <v>80</v>
      </c>
      <c r="AA427" s="8">
        <v>1</v>
      </c>
      <c r="AB427" s="8" t="str">
        <f>IF(AA427='[1]Listas suspensas'!$A$2,'[1]Listas suspensas'!$B$2,IF(AA427='[1]Listas suspensas'!$A$3,'[1]Listas suspensas'!$B$3,IF(AA427='[1]Listas suspensas'!$A$4,'[1]Listas suspensas'!$B$4,IF(AA427='[1]Listas suspensas'!$A$5,'[1]Listas suspensas'!$B$5,IF(AA427='[1]Listas suspensas'!$A$6,'[1]Listas suspensas'!$B$6,"")))))</f>
        <v>Profunda e regular</v>
      </c>
      <c r="AC427" s="8" t="str">
        <f>IF(AA427='[1]Listas suspensas'!$A$2,'[1]Listas suspensas'!$C$2,IF(AA427='[1]Listas suspensas'!$A$3,'[1]Listas suspensas'!$C$3,IF(AA427='[1]Listas suspensas'!$A$4,'[1]Listas suspensas'!$C$4,IF(AA427='[1]Listas suspensas'!$A$5,'[1]Listas suspensas'!$C$5,IF(AA427='[1]Listas suspensas'!$A$6,'[1]Listas suspensas'!$C$6,"")))))</f>
        <v>Indica a penetração profunda e uniforme em toda a extensão do alburno.</v>
      </c>
      <c r="BD427" s="13">
        <v>0.61399999999999999</v>
      </c>
      <c r="BE427" s="18">
        <f t="shared" si="74"/>
        <v>614</v>
      </c>
      <c r="BF427" s="8">
        <v>0.82499999999999996</v>
      </c>
      <c r="BG427" s="8">
        <v>0.33500000000000002</v>
      </c>
      <c r="BH427" s="8">
        <v>0.61399999999999999</v>
      </c>
      <c r="BI427" s="13">
        <f t="shared" ref="BI427:BI429" si="81">SUM(BF427:BH427)</f>
        <v>1.774</v>
      </c>
      <c r="BJ427" s="14">
        <v>46.5</v>
      </c>
      <c r="BK427" s="14">
        <v>18.899999999999999</v>
      </c>
      <c r="BL427" s="14">
        <v>34.6</v>
      </c>
      <c r="BM427" s="16">
        <f t="shared" ref="BM427:BM429" si="82">ROUND(SUM(BJ427:BL427),2)</f>
        <v>100</v>
      </c>
      <c r="BN427" s="21">
        <f t="shared" si="77"/>
        <v>5.07</v>
      </c>
      <c r="BO427" s="21">
        <f t="shared" si="78"/>
        <v>2.06</v>
      </c>
      <c r="BP427" s="21">
        <f t="shared" si="79"/>
        <v>3.77</v>
      </c>
      <c r="BQ427" s="16">
        <f t="shared" si="80"/>
        <v>10.9</v>
      </c>
      <c r="BR427" s="22" t="str">
        <f>IF(OR(AND(X427="Mourões", BQ427&gt;=6.5),AND(X427="Postes", BQ427&gt;=9.6),AND(X427="Dormentes", BQ427&gt;=9.6),AND(X427="Estacas - Solo", BQ427&gt;=6.5),AND(X427="Estacas - Suspenso", BQ427&gt;=4),AND(X427="Cruzetas", BQ427&gt;=6.5),AND(X427="Outros - Solo", BQ427&gt;=6.5),AND(X427="Outros - Suspenso",BQ427&gt;=4),AND(X427="Deck",BQ427&gt;=4)),'Listas suspensas'!$C$21,'Listas suspensas'!$C$22)</f>
        <v>Os resultados da análise química apresentaram uma retenção do produto de acordo com o padrão mínimo exigido pela norma ABNT NBR 16143</v>
      </c>
    </row>
    <row r="428" spans="2:70" x14ac:dyDescent="0.25">
      <c r="B428" s="8" t="s">
        <v>1076</v>
      </c>
      <c r="C428" s="8" t="s">
        <v>71</v>
      </c>
      <c r="F428" s="11">
        <v>45937</v>
      </c>
      <c r="G428" s="11">
        <v>45939</v>
      </c>
      <c r="H428" s="11">
        <v>45944</v>
      </c>
      <c r="I428" s="8" t="s">
        <v>1359</v>
      </c>
      <c r="J428" s="8" t="s">
        <v>201</v>
      </c>
      <c r="K428" s="8" t="s">
        <v>202</v>
      </c>
      <c r="L428" s="8" t="s">
        <v>15</v>
      </c>
      <c r="N428" s="8" t="s">
        <v>1165</v>
      </c>
      <c r="O428" s="8" t="s">
        <v>545</v>
      </c>
      <c r="P428" s="28" t="s">
        <v>146</v>
      </c>
      <c r="Q428" s="16" t="s">
        <v>1351</v>
      </c>
      <c r="X428" s="14" t="s">
        <v>98</v>
      </c>
      <c r="Y428" s="34">
        <v>9.6</v>
      </c>
      <c r="Z428" s="8" t="s">
        <v>80</v>
      </c>
      <c r="AA428" s="8">
        <v>1</v>
      </c>
      <c r="AB428" s="8" t="str">
        <f>IF(AA428='[1]Listas suspensas'!$A$2,'[1]Listas suspensas'!$B$2,IF(AA428='[1]Listas suspensas'!$A$3,'[1]Listas suspensas'!$B$3,IF(AA428='[1]Listas suspensas'!$A$4,'[1]Listas suspensas'!$B$4,IF(AA428='[1]Listas suspensas'!$A$5,'[1]Listas suspensas'!$B$5,IF(AA428='[1]Listas suspensas'!$A$6,'[1]Listas suspensas'!$B$6,"")))))</f>
        <v>Profunda e regular</v>
      </c>
      <c r="AC428" s="8" t="str">
        <f>IF(AA428='[1]Listas suspensas'!$A$2,'[1]Listas suspensas'!$C$2,IF(AA428='[1]Listas suspensas'!$A$3,'[1]Listas suspensas'!$C$3,IF(AA428='[1]Listas suspensas'!$A$4,'[1]Listas suspensas'!$C$4,IF(AA428='[1]Listas suspensas'!$A$5,'[1]Listas suspensas'!$C$5,IF(AA428='[1]Listas suspensas'!$A$6,'[1]Listas suspensas'!$C$6,"")))))</f>
        <v>Indica a penetração profunda e uniforme em toda a extensão do alburno.</v>
      </c>
      <c r="BD428" s="13">
        <v>0.64100000000000001</v>
      </c>
      <c r="BE428" s="18">
        <f t="shared" si="74"/>
        <v>641</v>
      </c>
      <c r="BF428" s="8">
        <v>0.92700000000000005</v>
      </c>
      <c r="BG428" s="8">
        <v>0.36599999999999999</v>
      </c>
      <c r="BH428" s="8">
        <v>0.69499999999999995</v>
      </c>
      <c r="BI428" s="13">
        <f t="shared" si="81"/>
        <v>1.988</v>
      </c>
      <c r="BJ428" s="14">
        <v>46.6</v>
      </c>
      <c r="BK428" s="14">
        <v>18.399999999999999</v>
      </c>
      <c r="BL428" s="14">
        <v>35</v>
      </c>
      <c r="BM428" s="16">
        <f t="shared" si="82"/>
        <v>100</v>
      </c>
      <c r="BN428" s="21">
        <f t="shared" si="77"/>
        <v>5.94</v>
      </c>
      <c r="BO428" s="21">
        <f t="shared" si="78"/>
        <v>2.35</v>
      </c>
      <c r="BP428" s="21">
        <f t="shared" si="79"/>
        <v>4.45</v>
      </c>
      <c r="BQ428" s="16">
        <f t="shared" si="80"/>
        <v>12.74</v>
      </c>
      <c r="BR428" s="22" t="str">
        <f>IF(OR(AND(X428="Mourões", BQ428&gt;=6.5),AND(X428="Postes", BQ428&gt;=9.6),AND(X428="Dormentes", BQ428&gt;=9.6),AND(X428="Estacas - Solo", BQ428&gt;=6.5),AND(X428="Estacas - Suspenso", BQ428&gt;=4),AND(X428="Cruzetas", BQ428&gt;=6.5),AND(X428="Outros - Solo", BQ428&gt;=6.5),AND(X428="Outros - Suspenso",BQ428&gt;=4),AND(X428="Deck",BQ428&gt;=4)),'Listas suspensas'!$C$21,'Listas suspensas'!$C$22)</f>
        <v>Os resultados da análise química apresentaram uma retenção do produto de acordo com o padrão mínimo exigido pela norma ABNT NBR 16143</v>
      </c>
    </row>
    <row r="429" spans="2:70" x14ac:dyDescent="0.25">
      <c r="B429" s="8" t="s">
        <v>1077</v>
      </c>
      <c r="C429" s="8" t="s">
        <v>71</v>
      </c>
      <c r="F429" s="11">
        <v>45937</v>
      </c>
      <c r="G429" s="11">
        <v>45939</v>
      </c>
      <c r="H429" s="11">
        <v>45944</v>
      </c>
      <c r="I429" s="8" t="s">
        <v>1359</v>
      </c>
      <c r="J429" s="8" t="s">
        <v>201</v>
      </c>
      <c r="K429" s="8" t="s">
        <v>202</v>
      </c>
      <c r="L429" s="8" t="s">
        <v>15</v>
      </c>
      <c r="N429" s="8" t="s">
        <v>1165</v>
      </c>
      <c r="O429" s="8" t="s">
        <v>545</v>
      </c>
      <c r="P429" s="28" t="s">
        <v>146</v>
      </c>
      <c r="Q429" s="16" t="s">
        <v>1352</v>
      </c>
      <c r="X429" s="14" t="s">
        <v>98</v>
      </c>
      <c r="Y429" s="34">
        <v>9.6</v>
      </c>
      <c r="Z429" s="8" t="s">
        <v>80</v>
      </c>
      <c r="AA429" s="8">
        <v>1</v>
      </c>
      <c r="AB429" s="8" t="str">
        <f>IF(AA429='[1]Listas suspensas'!$A$2,'[1]Listas suspensas'!$B$2,IF(AA429='[1]Listas suspensas'!$A$3,'[1]Listas suspensas'!$B$3,IF(AA429='[1]Listas suspensas'!$A$4,'[1]Listas suspensas'!$B$4,IF(AA429='[1]Listas suspensas'!$A$5,'[1]Listas suspensas'!$B$5,IF(AA429='[1]Listas suspensas'!$A$6,'[1]Listas suspensas'!$B$6,"")))))</f>
        <v>Profunda e regular</v>
      </c>
      <c r="AC429" s="8" t="str">
        <f>IF(AA429='[1]Listas suspensas'!$A$2,'[1]Listas suspensas'!$C$2,IF(AA429='[1]Listas suspensas'!$A$3,'[1]Listas suspensas'!$C$3,IF(AA429='[1]Listas suspensas'!$A$4,'[1]Listas suspensas'!$C$4,IF(AA429='[1]Listas suspensas'!$A$5,'[1]Listas suspensas'!$C$5,IF(AA429='[1]Listas suspensas'!$A$6,'[1]Listas suspensas'!$C$6,"")))))</f>
        <v>Indica a penetração profunda e uniforme em toda a extensão do alburno.</v>
      </c>
      <c r="BD429" s="13">
        <v>0.56299999999999994</v>
      </c>
      <c r="BE429" s="18">
        <f t="shared" si="74"/>
        <v>563</v>
      </c>
      <c r="BF429" s="8">
        <v>1.996</v>
      </c>
      <c r="BG429" s="8">
        <v>0.32400000000000001</v>
      </c>
      <c r="BH429" s="8">
        <v>1.2130000000000001</v>
      </c>
      <c r="BI429" s="13">
        <f t="shared" si="81"/>
        <v>3.5329999999999999</v>
      </c>
      <c r="BJ429" s="14">
        <v>56.5</v>
      </c>
      <c r="BK429" s="14">
        <v>9.1999999999999993</v>
      </c>
      <c r="BL429" s="14">
        <v>34.299999999999997</v>
      </c>
      <c r="BM429" s="16">
        <f t="shared" si="82"/>
        <v>100</v>
      </c>
      <c r="BN429" s="21">
        <f t="shared" si="77"/>
        <v>11.24</v>
      </c>
      <c r="BO429" s="21">
        <f t="shared" si="78"/>
        <v>1.82</v>
      </c>
      <c r="BP429" s="21">
        <f t="shared" si="79"/>
        <v>6.83</v>
      </c>
      <c r="BQ429" s="16">
        <f t="shared" si="80"/>
        <v>19.89</v>
      </c>
      <c r="BR429" s="22" t="str">
        <f>IF(OR(AND(X429="Mourões", BQ429&gt;=6.5),AND(X429="Postes", BQ429&gt;=9.6),AND(X429="Dormentes", BQ429&gt;=9.6),AND(X429="Estacas - Solo", BQ429&gt;=6.5),AND(X429="Estacas - Suspenso", BQ429&gt;=4),AND(X429="Cruzetas", BQ429&gt;=6.5),AND(X429="Outros - Solo", BQ429&gt;=6.5),AND(X429="Outros - Suspenso",BQ429&gt;=4),AND(X429="Deck",BQ429&gt;=4)),'Listas suspensas'!$C$21,'Listas suspensas'!$C$22)</f>
        <v>Os resultados da análise química apresentaram uma retenção do produto de acordo com o padrão mínimo exigido pela norma ABNT NBR 16143</v>
      </c>
    </row>
    <row r="430" spans="2:70" x14ac:dyDescent="0.25">
      <c r="B430" s="8" t="s">
        <v>1078</v>
      </c>
      <c r="C430" s="8" t="s">
        <v>71</v>
      </c>
      <c r="F430" s="11">
        <v>45937</v>
      </c>
      <c r="G430" s="11">
        <v>45939</v>
      </c>
      <c r="H430" s="11">
        <v>45944</v>
      </c>
      <c r="I430" s="8" t="s">
        <v>1359</v>
      </c>
      <c r="J430" s="8" t="s">
        <v>201</v>
      </c>
      <c r="K430" s="8" t="s">
        <v>202</v>
      </c>
      <c r="L430" s="8" t="s">
        <v>15</v>
      </c>
      <c r="N430" s="8" t="s">
        <v>1165</v>
      </c>
      <c r="O430" s="8" t="s">
        <v>545</v>
      </c>
      <c r="P430" s="28" t="s">
        <v>146</v>
      </c>
      <c r="Q430" s="16" t="s">
        <v>1353</v>
      </c>
      <c r="X430" s="14" t="s">
        <v>98</v>
      </c>
      <c r="Y430" s="34">
        <v>9.6</v>
      </c>
      <c r="Z430" s="8" t="s">
        <v>80</v>
      </c>
      <c r="AA430" s="8">
        <v>2</v>
      </c>
      <c r="AB430" s="8" t="str">
        <f>IF(AA430='[1]Listas suspensas'!$A$2,'[1]Listas suspensas'!$B$2,IF(AA430='[1]Listas suspensas'!$A$3,'[1]Listas suspensas'!$B$3,IF(AA430='[1]Listas suspensas'!$A$4,'[1]Listas suspensas'!$B$4,IF(AA430='[1]Listas suspensas'!$A$5,'[1]Listas suspensas'!$B$5,IF(AA430='[1]Listas suspensas'!$A$6,'[1]Listas suspensas'!$B$6,"")))))</f>
        <v>Profunda e irregular</v>
      </c>
      <c r="AC430" s="8" t="str">
        <f>IF(AA430='[1]Listas suspensas'!$A$2,'[1]Listas suspensas'!$C$2,IF(AA430='[1]Listas suspensas'!$A$3,'[1]Listas suspensas'!$C$3,IF(AA430='[1]Listas suspensas'!$A$4,'[1]Listas suspensas'!$C$4,IF(AA430='[1]Listas suspensas'!$A$5,'[1]Listas suspensas'!$C$5,IF(AA430='[1]Listas suspensas'!$A$6,'[1]Listas suspensas'!$C$6,"")))))</f>
        <v>Indica a penetração profunda, mas desuniforme em toda a extensão do alburno.</v>
      </c>
      <c r="BD430" s="13">
        <v>0.57399999999999995</v>
      </c>
      <c r="BE430" s="18">
        <f t="shared" si="74"/>
        <v>574</v>
      </c>
      <c r="BF430" s="8">
        <v>0.53900000000000003</v>
      </c>
      <c r="BG430" s="8">
        <v>0.186</v>
      </c>
      <c r="BH430" s="8">
        <v>0.376</v>
      </c>
      <c r="BI430" s="13">
        <f t="shared" ref="BI430:BI435" si="83">SUM(BF430:BH430)</f>
        <v>1.101</v>
      </c>
      <c r="BJ430" s="14">
        <v>49</v>
      </c>
      <c r="BK430" s="14">
        <v>16.899999999999999</v>
      </c>
      <c r="BL430" s="14">
        <v>34.1</v>
      </c>
      <c r="BM430" s="16">
        <f t="shared" ref="BM430:BM435" si="84">ROUND(SUM(BJ430:BL430),2)</f>
        <v>100</v>
      </c>
      <c r="BN430" s="21">
        <f t="shared" si="77"/>
        <v>3.09</v>
      </c>
      <c r="BO430" s="21">
        <f t="shared" si="78"/>
        <v>1.07</v>
      </c>
      <c r="BP430" s="21">
        <f t="shared" si="79"/>
        <v>2.16</v>
      </c>
      <c r="BQ430" s="16">
        <f t="shared" si="80"/>
        <v>6.32</v>
      </c>
      <c r="BR430" s="22" t="str">
        <f>IF(OR(AND(X430="Mourões", BQ430&gt;=6.5),AND(X430="Postes", BQ430&gt;=9.6),AND(X430="Dormentes", BQ430&gt;=9.6),AND(X430="Estacas - Solo", BQ430&gt;=6.5),AND(X430="Estacas - Suspenso", BQ430&gt;=4),AND(X430="Cruzetas", BQ430&gt;=6.5),AND(X430="Outros - Solo", BQ430&gt;=6.5),AND(X430="Outros - Suspenso",BQ430&gt;=4),AND(X430="Deck",BQ430&gt;=4)),'Listas suspensas'!$C$21,'Listas suspensas'!$C$22)</f>
        <v>Os resultados da análise química apresentaram uma retenção do produto inferior ao padrão mínimo exigido pela norma ABNT NBR 16143</v>
      </c>
    </row>
    <row r="431" spans="2:70" x14ac:dyDescent="0.25">
      <c r="B431" s="8" t="s">
        <v>1079</v>
      </c>
      <c r="C431" s="8" t="s">
        <v>71</v>
      </c>
      <c r="F431" s="11">
        <v>45937</v>
      </c>
      <c r="G431" s="11">
        <v>45939</v>
      </c>
      <c r="H431" s="11">
        <v>45944</v>
      </c>
      <c r="I431" s="8" t="s">
        <v>1359</v>
      </c>
      <c r="J431" s="8" t="s">
        <v>201</v>
      </c>
      <c r="K431" s="8" t="s">
        <v>202</v>
      </c>
      <c r="L431" s="8" t="s">
        <v>15</v>
      </c>
      <c r="N431" s="8" t="s">
        <v>1165</v>
      </c>
      <c r="O431" s="8" t="s">
        <v>545</v>
      </c>
      <c r="P431" s="28" t="s">
        <v>146</v>
      </c>
      <c r="Q431" s="16" t="s">
        <v>1354</v>
      </c>
      <c r="X431" s="14" t="s">
        <v>98</v>
      </c>
      <c r="Y431" s="34">
        <v>9.6</v>
      </c>
      <c r="Z431" s="8" t="s">
        <v>80</v>
      </c>
      <c r="AA431" s="8">
        <v>2</v>
      </c>
      <c r="AB431" s="8" t="str">
        <f>IF(AA431='[1]Listas suspensas'!$A$2,'[1]Listas suspensas'!$B$2,IF(AA431='[1]Listas suspensas'!$A$3,'[1]Listas suspensas'!$B$3,IF(AA431='[1]Listas suspensas'!$A$4,'[1]Listas suspensas'!$B$4,IF(AA431='[1]Listas suspensas'!$A$5,'[1]Listas suspensas'!$B$5,IF(AA431='[1]Listas suspensas'!$A$6,'[1]Listas suspensas'!$B$6,"")))))</f>
        <v>Profunda e irregular</v>
      </c>
      <c r="AC431" s="8" t="str">
        <f>IF(AA431='[1]Listas suspensas'!$A$2,'[1]Listas suspensas'!$C$2,IF(AA431='[1]Listas suspensas'!$A$3,'[1]Listas suspensas'!$C$3,IF(AA431='[1]Listas suspensas'!$A$4,'[1]Listas suspensas'!$C$4,IF(AA431='[1]Listas suspensas'!$A$5,'[1]Listas suspensas'!$C$5,IF(AA431='[1]Listas suspensas'!$A$6,'[1]Listas suspensas'!$C$6,"")))))</f>
        <v>Indica a penetração profunda, mas desuniforme em toda a extensão do alburno.</v>
      </c>
      <c r="BD431" s="13">
        <v>0.55700000000000005</v>
      </c>
      <c r="BE431" s="18">
        <f t="shared" si="74"/>
        <v>557</v>
      </c>
      <c r="BF431" s="8">
        <v>0.45500000000000002</v>
      </c>
      <c r="BG431" s="8">
        <v>0.184</v>
      </c>
      <c r="BH431" s="8">
        <v>0.307</v>
      </c>
      <c r="BI431" s="13">
        <f t="shared" si="83"/>
        <v>0.94599999999999995</v>
      </c>
      <c r="BJ431" s="14">
        <v>48.1</v>
      </c>
      <c r="BK431" s="14">
        <v>19.5</v>
      </c>
      <c r="BL431" s="14">
        <v>32.4</v>
      </c>
      <c r="BM431" s="16">
        <f t="shared" si="84"/>
        <v>100</v>
      </c>
      <c r="BN431" s="21">
        <f t="shared" si="77"/>
        <v>2.5299999999999998</v>
      </c>
      <c r="BO431" s="21">
        <f t="shared" si="78"/>
        <v>1.02</v>
      </c>
      <c r="BP431" s="21">
        <f t="shared" si="79"/>
        <v>1.71</v>
      </c>
      <c r="BQ431" s="16">
        <f t="shared" si="80"/>
        <v>5.26</v>
      </c>
      <c r="BR431" s="22" t="str">
        <f>IF(OR(AND(X431="Mourões", BQ431&gt;=6.5),AND(X431="Postes", BQ431&gt;=9.6),AND(X431="Dormentes", BQ431&gt;=9.6),AND(X431="Estacas - Solo", BQ431&gt;=6.5),AND(X431="Estacas - Suspenso", BQ431&gt;=4),AND(X431="Cruzetas", BQ431&gt;=6.5),AND(X431="Outros - Solo", BQ431&gt;=6.5),AND(X431="Outros - Suspenso",BQ431&gt;=4),AND(X431="Deck",BQ431&gt;=4)),'Listas suspensas'!$C$21,'Listas suspensas'!$C$22)</f>
        <v>Os resultados da análise química apresentaram uma retenção do produto inferior ao padrão mínimo exigido pela norma ABNT NBR 16143</v>
      </c>
    </row>
    <row r="432" spans="2:70" x14ac:dyDescent="0.25">
      <c r="B432" s="8" t="s">
        <v>1080</v>
      </c>
      <c r="C432" s="8" t="s">
        <v>71</v>
      </c>
      <c r="F432" s="11">
        <v>45937</v>
      </c>
      <c r="G432" s="11">
        <v>45939</v>
      </c>
      <c r="H432" s="11">
        <v>45944</v>
      </c>
      <c r="I432" s="8" t="s">
        <v>1359</v>
      </c>
      <c r="J432" s="8" t="s">
        <v>201</v>
      </c>
      <c r="K432" s="8" t="s">
        <v>202</v>
      </c>
      <c r="L432" s="8" t="s">
        <v>15</v>
      </c>
      <c r="N432" s="8" t="s">
        <v>1165</v>
      </c>
      <c r="O432" s="8" t="s">
        <v>545</v>
      </c>
      <c r="P432" s="28" t="s">
        <v>146</v>
      </c>
      <c r="Q432" s="16" t="s">
        <v>1355</v>
      </c>
      <c r="X432" s="14" t="s">
        <v>98</v>
      </c>
      <c r="Y432" s="34">
        <v>9.6</v>
      </c>
      <c r="Z432" s="8" t="s">
        <v>80</v>
      </c>
      <c r="AA432" s="8">
        <v>3</v>
      </c>
      <c r="AB432" s="8" t="str">
        <f>IF(AA432='[1]Listas suspensas'!$A$2,'[1]Listas suspensas'!$B$2,IF(AA432='[1]Listas suspensas'!$A$3,'[1]Listas suspensas'!$B$3,IF(AA432='[1]Listas suspensas'!$A$4,'[1]Listas suspensas'!$B$4,IF(AA432='[1]Listas suspensas'!$A$5,'[1]Listas suspensas'!$B$5,IF(AA432='[1]Listas suspensas'!$A$6,'[1]Listas suspensas'!$B$6,"")))))</f>
        <v xml:space="preserve"> Parcial e regular</v>
      </c>
      <c r="AC432" s="8" t="str">
        <f>IF(AA432='[1]Listas suspensas'!$A$2,'[1]Listas suspensas'!$C$2,IF(AA432='[1]Listas suspensas'!$A$3,'[1]Listas suspensas'!$C$3,IF(AA432='[1]Listas suspensas'!$A$4,'[1]Listas suspensas'!$C$4,IF(AA432='[1]Listas suspensas'!$A$5,'[1]Listas suspensas'!$C$5,IF(AA432='[1]Listas suspensas'!$A$6,'[1]Listas suspensas'!$C$6,"")))))</f>
        <v>Indica a penetração uniforme, mas não total pela extensão do alburno.</v>
      </c>
      <c r="BD432" s="13">
        <v>0.623</v>
      </c>
      <c r="BE432" s="18">
        <f t="shared" si="74"/>
        <v>623</v>
      </c>
      <c r="BF432" s="8">
        <v>0.495</v>
      </c>
      <c r="BG432" s="8">
        <v>0.186</v>
      </c>
      <c r="BH432" s="8">
        <v>0.35499999999999998</v>
      </c>
      <c r="BI432" s="13">
        <f t="shared" si="83"/>
        <v>1.036</v>
      </c>
      <c r="BJ432" s="14">
        <v>47.8</v>
      </c>
      <c r="BK432" s="14">
        <v>18</v>
      </c>
      <c r="BL432" s="14">
        <v>34.200000000000003</v>
      </c>
      <c r="BM432" s="16">
        <f t="shared" si="84"/>
        <v>100</v>
      </c>
      <c r="BN432" s="21">
        <f t="shared" si="77"/>
        <v>3.08</v>
      </c>
      <c r="BO432" s="21">
        <f t="shared" si="78"/>
        <v>1.1599999999999999</v>
      </c>
      <c r="BP432" s="21">
        <f t="shared" si="79"/>
        <v>2.21</v>
      </c>
      <c r="BQ432" s="16">
        <f t="shared" si="80"/>
        <v>6.45</v>
      </c>
      <c r="BR432" s="22" t="str">
        <f>IF(OR(AND(X432="Mourões", BQ432&gt;=6.5),AND(X432="Postes", BQ432&gt;=9.6),AND(X432="Dormentes", BQ432&gt;=9.6),AND(X432="Estacas - Solo", BQ432&gt;=6.5),AND(X432="Estacas - Suspenso", BQ432&gt;=4),AND(X432="Cruzetas", BQ432&gt;=6.5),AND(X432="Outros - Solo", BQ432&gt;=6.5),AND(X432="Outros - Suspenso",BQ432&gt;=4),AND(X432="Deck",BQ432&gt;=4)),'Listas suspensas'!$C$21,'Listas suspensas'!$C$22)</f>
        <v>Os resultados da análise química apresentaram uma retenção do produto inferior ao padrão mínimo exigido pela norma ABNT NBR 16143</v>
      </c>
    </row>
    <row r="433" spans="2:70" x14ac:dyDescent="0.25">
      <c r="B433" s="8" t="s">
        <v>1081</v>
      </c>
      <c r="C433" s="8" t="s">
        <v>71</v>
      </c>
      <c r="F433" s="11">
        <v>45937</v>
      </c>
      <c r="G433" s="11">
        <v>45939</v>
      </c>
      <c r="H433" s="11">
        <v>45944</v>
      </c>
      <c r="I433" s="8" t="s">
        <v>1359</v>
      </c>
      <c r="J433" s="8" t="s">
        <v>201</v>
      </c>
      <c r="K433" s="8" t="s">
        <v>202</v>
      </c>
      <c r="L433" s="8" t="s">
        <v>15</v>
      </c>
      <c r="N433" s="8" t="s">
        <v>1165</v>
      </c>
      <c r="O433" s="8" t="s">
        <v>545</v>
      </c>
      <c r="P433" s="28" t="s">
        <v>146</v>
      </c>
      <c r="Q433" s="16" t="s">
        <v>1356</v>
      </c>
      <c r="X433" s="14" t="s">
        <v>98</v>
      </c>
      <c r="Y433" s="34">
        <v>9.6</v>
      </c>
      <c r="Z433" s="8" t="s">
        <v>80</v>
      </c>
      <c r="AA433" s="8">
        <v>1</v>
      </c>
      <c r="AB433" s="8" t="str">
        <f>IF(AA433='[1]Listas suspensas'!$A$2,'[1]Listas suspensas'!$B$2,IF(AA433='[1]Listas suspensas'!$A$3,'[1]Listas suspensas'!$B$3,IF(AA433='[1]Listas suspensas'!$A$4,'[1]Listas suspensas'!$B$4,IF(AA433='[1]Listas suspensas'!$A$5,'[1]Listas suspensas'!$B$5,IF(AA433='[1]Listas suspensas'!$A$6,'[1]Listas suspensas'!$B$6,"")))))</f>
        <v>Profunda e regular</v>
      </c>
      <c r="AC433" s="8" t="str">
        <f>IF(AA433='[1]Listas suspensas'!$A$2,'[1]Listas suspensas'!$C$2,IF(AA433='[1]Listas suspensas'!$A$3,'[1]Listas suspensas'!$C$3,IF(AA433='[1]Listas suspensas'!$A$4,'[1]Listas suspensas'!$C$4,IF(AA433='[1]Listas suspensas'!$A$5,'[1]Listas suspensas'!$C$5,IF(AA433='[1]Listas suspensas'!$A$6,'[1]Listas suspensas'!$C$6,"")))))</f>
        <v>Indica a penetração profunda e uniforme em toda a extensão do alburno.</v>
      </c>
      <c r="BD433" s="13">
        <v>0.79800000000000004</v>
      </c>
      <c r="BE433" s="18">
        <f t="shared" si="74"/>
        <v>798</v>
      </c>
      <c r="BF433" s="8">
        <v>0.71099999999999997</v>
      </c>
      <c r="BG433" s="8">
        <v>0.21</v>
      </c>
      <c r="BH433" s="8">
        <v>0.56299999999999994</v>
      </c>
      <c r="BI433" s="13">
        <f t="shared" si="83"/>
        <v>1.484</v>
      </c>
      <c r="BJ433" s="14">
        <v>47.9</v>
      </c>
      <c r="BK433" s="14">
        <v>14.2</v>
      </c>
      <c r="BL433" s="14">
        <v>37.9</v>
      </c>
      <c r="BM433" s="16">
        <f t="shared" si="84"/>
        <v>100</v>
      </c>
      <c r="BN433" s="21">
        <f t="shared" si="77"/>
        <v>5.67</v>
      </c>
      <c r="BO433" s="21">
        <f t="shared" si="78"/>
        <v>1.68</v>
      </c>
      <c r="BP433" s="21">
        <f t="shared" si="79"/>
        <v>4.49</v>
      </c>
      <c r="BQ433" s="16">
        <f t="shared" si="80"/>
        <v>11.84</v>
      </c>
      <c r="BR433" s="22" t="str">
        <f>IF(OR(AND(X433="Mourões", BQ433&gt;=6.5),AND(X433="Postes", BQ433&gt;=9.6),AND(X433="Dormentes", BQ433&gt;=9.6),AND(X433="Estacas - Solo", BQ433&gt;=6.5),AND(X433="Estacas - Suspenso", BQ433&gt;=4),AND(X433="Cruzetas", BQ433&gt;=6.5),AND(X433="Outros - Solo", BQ433&gt;=6.5),AND(X433="Outros - Suspenso",BQ433&gt;=4),AND(X433="Deck",BQ433&gt;=4)),'Listas suspensas'!$C$21,'Listas suspensas'!$C$22)</f>
        <v>Os resultados da análise química apresentaram uma retenção do produto de acordo com o padrão mínimo exigido pela norma ABNT NBR 16143</v>
      </c>
    </row>
    <row r="434" spans="2:70" x14ac:dyDescent="0.25">
      <c r="B434" s="8" t="s">
        <v>1082</v>
      </c>
      <c r="C434" s="8" t="s">
        <v>71</v>
      </c>
      <c r="F434" s="11">
        <v>45937</v>
      </c>
      <c r="G434" s="11">
        <v>45939</v>
      </c>
      <c r="H434" s="11">
        <v>45944</v>
      </c>
      <c r="I434" s="8" t="s">
        <v>1359</v>
      </c>
      <c r="J434" s="8" t="s">
        <v>201</v>
      </c>
      <c r="K434" s="8" t="s">
        <v>202</v>
      </c>
      <c r="L434" s="8" t="s">
        <v>15</v>
      </c>
      <c r="N434" s="8" t="s">
        <v>1165</v>
      </c>
      <c r="O434" s="8" t="s">
        <v>545</v>
      </c>
      <c r="P434" s="28" t="s">
        <v>146</v>
      </c>
      <c r="Q434" s="16" t="s">
        <v>1357</v>
      </c>
      <c r="X434" s="14" t="s">
        <v>98</v>
      </c>
      <c r="Y434" s="34">
        <v>9.6</v>
      </c>
      <c r="Z434" s="8" t="s">
        <v>80</v>
      </c>
      <c r="AA434" s="8">
        <v>1</v>
      </c>
      <c r="AB434" s="8" t="str">
        <f>IF(AA434='[1]Listas suspensas'!$A$2,'[1]Listas suspensas'!$B$2,IF(AA434='[1]Listas suspensas'!$A$3,'[1]Listas suspensas'!$B$3,IF(AA434='[1]Listas suspensas'!$A$4,'[1]Listas suspensas'!$B$4,IF(AA434='[1]Listas suspensas'!$A$5,'[1]Listas suspensas'!$B$5,IF(AA434='[1]Listas suspensas'!$A$6,'[1]Listas suspensas'!$B$6,"")))))</f>
        <v>Profunda e regular</v>
      </c>
      <c r="AC434" s="8" t="str">
        <f>IF(AA434='[1]Listas suspensas'!$A$2,'[1]Listas suspensas'!$C$2,IF(AA434='[1]Listas suspensas'!$A$3,'[1]Listas suspensas'!$C$3,IF(AA434='[1]Listas suspensas'!$A$4,'[1]Listas suspensas'!$C$4,IF(AA434='[1]Listas suspensas'!$A$5,'[1]Listas suspensas'!$C$5,IF(AA434='[1]Listas suspensas'!$A$6,'[1]Listas suspensas'!$C$6,"")))))</f>
        <v>Indica a penetração profunda e uniforme em toda a extensão do alburno.</v>
      </c>
      <c r="BD434" s="13">
        <v>0.82399999999999995</v>
      </c>
      <c r="BE434" s="18">
        <f t="shared" si="74"/>
        <v>824</v>
      </c>
      <c r="BF434" s="8">
        <v>0.51400000000000001</v>
      </c>
      <c r="BG434" s="8">
        <v>0.23599999999999999</v>
      </c>
      <c r="BH434" s="8">
        <v>0.44900000000000001</v>
      </c>
      <c r="BI434" s="13">
        <f t="shared" si="83"/>
        <v>1.1990000000000001</v>
      </c>
      <c r="BJ434" s="14">
        <v>42.9</v>
      </c>
      <c r="BK434" s="14">
        <v>19.7</v>
      </c>
      <c r="BL434" s="14">
        <v>37.4</v>
      </c>
      <c r="BM434" s="16">
        <f t="shared" si="84"/>
        <v>100</v>
      </c>
      <c r="BN434" s="21">
        <f t="shared" si="77"/>
        <v>4.24</v>
      </c>
      <c r="BO434" s="21">
        <f t="shared" si="78"/>
        <v>1.94</v>
      </c>
      <c r="BP434" s="21">
        <f t="shared" si="79"/>
        <v>3.7</v>
      </c>
      <c r="BQ434" s="16">
        <f t="shared" si="80"/>
        <v>9.8800000000000008</v>
      </c>
      <c r="BR434" s="22" t="str">
        <f>IF(OR(AND(X434="Mourões", BQ434&gt;=6.5),AND(X434="Postes", BQ434&gt;=9.6),AND(X434="Dormentes", BQ434&gt;=9.6),AND(X434="Estacas - Solo", BQ434&gt;=6.5),AND(X434="Estacas - Suspenso", BQ434&gt;=4),AND(X434="Cruzetas", BQ434&gt;=6.5),AND(X434="Outros - Solo", BQ434&gt;=6.5),AND(X434="Outros - Suspenso",BQ434&gt;=4),AND(X434="Deck",BQ434&gt;=4)),'Listas suspensas'!$C$21,'Listas suspensas'!$C$22)</f>
        <v>Os resultados da análise química apresentaram uma retenção do produto de acordo com o padrão mínimo exigido pela norma ABNT NBR 16143</v>
      </c>
    </row>
    <row r="435" spans="2:70" x14ac:dyDescent="0.25">
      <c r="B435" s="8" t="s">
        <v>1083</v>
      </c>
      <c r="C435" s="8" t="s">
        <v>71</v>
      </c>
      <c r="F435" s="11">
        <v>45937</v>
      </c>
      <c r="G435" s="11">
        <v>45939</v>
      </c>
      <c r="H435" s="11">
        <v>45944</v>
      </c>
      <c r="I435" s="8" t="s">
        <v>1359</v>
      </c>
      <c r="J435" s="8" t="s">
        <v>201</v>
      </c>
      <c r="K435" s="8" t="s">
        <v>202</v>
      </c>
      <c r="L435" s="8" t="s">
        <v>15</v>
      </c>
      <c r="N435" s="8" t="s">
        <v>1165</v>
      </c>
      <c r="O435" s="8" t="s">
        <v>545</v>
      </c>
      <c r="P435" s="28" t="s">
        <v>146</v>
      </c>
      <c r="Q435" s="16" t="s">
        <v>1358</v>
      </c>
      <c r="X435" s="14" t="s">
        <v>98</v>
      </c>
      <c r="Y435" s="34">
        <v>9.6</v>
      </c>
      <c r="Z435" s="8" t="s">
        <v>80</v>
      </c>
      <c r="AA435" s="8">
        <v>2</v>
      </c>
      <c r="AB435" s="8" t="str">
        <f>IF(AA435='[1]Listas suspensas'!$A$2,'[1]Listas suspensas'!$B$2,IF(AA435='[1]Listas suspensas'!$A$3,'[1]Listas suspensas'!$B$3,IF(AA435='[1]Listas suspensas'!$A$4,'[1]Listas suspensas'!$B$4,IF(AA435='[1]Listas suspensas'!$A$5,'[1]Listas suspensas'!$B$5,IF(AA435='[1]Listas suspensas'!$A$6,'[1]Listas suspensas'!$B$6,"")))))</f>
        <v>Profunda e irregular</v>
      </c>
      <c r="AC435" s="8" t="str">
        <f>IF(AA435='[1]Listas suspensas'!$A$2,'[1]Listas suspensas'!$C$2,IF(AA435='[1]Listas suspensas'!$A$3,'[1]Listas suspensas'!$C$3,IF(AA435='[1]Listas suspensas'!$A$4,'[1]Listas suspensas'!$C$4,IF(AA435='[1]Listas suspensas'!$A$5,'[1]Listas suspensas'!$C$5,IF(AA435='[1]Listas suspensas'!$A$6,'[1]Listas suspensas'!$C$6,"")))))</f>
        <v>Indica a penetração profunda, mas desuniforme em toda a extensão do alburno.</v>
      </c>
      <c r="BD435" s="13">
        <v>0.96599999999999997</v>
      </c>
      <c r="BE435" s="18">
        <f t="shared" si="74"/>
        <v>966</v>
      </c>
      <c r="BF435" s="8">
        <v>0.34399999999999997</v>
      </c>
      <c r="BG435" s="8">
        <v>0.157</v>
      </c>
      <c r="BH435" s="8">
        <v>0.379</v>
      </c>
      <c r="BI435" s="13">
        <f t="shared" si="83"/>
        <v>0.88</v>
      </c>
      <c r="BJ435" s="14">
        <v>39.1</v>
      </c>
      <c r="BK435" s="14">
        <v>17.8</v>
      </c>
      <c r="BL435" s="14">
        <v>43.1</v>
      </c>
      <c r="BM435" s="16">
        <f t="shared" si="84"/>
        <v>100</v>
      </c>
      <c r="BN435" s="21">
        <f t="shared" si="77"/>
        <v>3.32</v>
      </c>
      <c r="BO435" s="21">
        <f t="shared" si="78"/>
        <v>1.52</v>
      </c>
      <c r="BP435" s="21">
        <f t="shared" si="79"/>
        <v>3.66</v>
      </c>
      <c r="BQ435" s="16">
        <f t="shared" si="80"/>
        <v>8.5</v>
      </c>
      <c r="BR435" s="22" t="str">
        <f>IF(OR(AND(X435="Mourões", BQ435&gt;=6.5),AND(X435="Postes", BQ435&gt;=9.6),AND(X435="Dormentes", BQ435&gt;=9.6),AND(X435="Estacas - Solo", BQ435&gt;=6.5),AND(X435="Estacas - Suspenso", BQ435&gt;=4),AND(X435="Cruzetas", BQ435&gt;=6.5),AND(X435="Outros - Solo", BQ435&gt;=6.5),AND(X435="Outros - Suspenso",BQ435&gt;=4),AND(X435="Deck",BQ435&gt;=4)),'Listas suspensas'!$C$21,'Listas suspensas'!$C$22)</f>
        <v>Os resultados da análise química apresentaram uma retenção do produto inferior ao padrão mínimo exigido pela norma ABNT NBR 16143</v>
      </c>
    </row>
    <row r="436" spans="2:70" x14ac:dyDescent="0.25">
      <c r="B436" s="8" t="s">
        <v>1084</v>
      </c>
      <c r="C436" s="8" t="s">
        <v>71</v>
      </c>
      <c r="F436" s="11">
        <v>45959</v>
      </c>
      <c r="G436" s="11">
        <v>45964</v>
      </c>
      <c r="H436" s="11">
        <v>45968</v>
      </c>
      <c r="I436" s="8" t="s">
        <v>896</v>
      </c>
      <c r="J436" s="8" t="s">
        <v>1016</v>
      </c>
      <c r="K436" s="8" t="s">
        <v>619</v>
      </c>
      <c r="L436" s="8" t="s">
        <v>15</v>
      </c>
      <c r="M436" s="30" t="s">
        <v>898</v>
      </c>
      <c r="N436" s="8" t="s">
        <v>1165</v>
      </c>
      <c r="O436" s="8" t="s">
        <v>94</v>
      </c>
      <c r="P436" s="28" t="s">
        <v>471</v>
      </c>
      <c r="Q436" s="16" t="s">
        <v>1360</v>
      </c>
      <c r="X436" s="8" t="s">
        <v>473</v>
      </c>
      <c r="Y436" s="34">
        <f>IF(X436='Listas suspensas'!$A$21,'Listas suspensas'!$B$23,IF(X436='Listas suspensas'!$A$22,'Listas suspensas'!$B$23,IF(X436='Listas suspensas'!$A$23,'Listas suspensas'!$B$22,IF(X436='Listas suspensas'!$A$26,'Listas suspensas'!$B$22,IF(X436='Listas suspensas'!$A$32,'Listas suspensas'!$B$22,IF(X436='Listas suspensas'!$A$33,'Listas suspensas'!$B$21,IF(X436='Listas suspensas'!$A$24,'Listas suspensas'!$B$22,IF(X436='Listas suspensas'!$A$25,'Listas suspensas'!$B$21,IF(X436='Listas suspensas'!$A$30,'Listas suspensas'!$B$21,"")))))))))</f>
        <v>4</v>
      </c>
      <c r="Z436" s="8" t="s">
        <v>80</v>
      </c>
      <c r="AA436" s="8">
        <v>2</v>
      </c>
      <c r="AB436" s="8" t="str">
        <f>IF(AA436='Listas suspensas'!$A$2,'Listas suspensas'!$B$2,IF(AA436='Listas suspensas'!$A$3,'Listas suspensas'!$B$3,IF(AA436='Listas suspensas'!$A$4,'Listas suspensas'!$B$4,IF(AA436='Listas suspensas'!$A$5,'Listas suspensas'!$B$5,IF(AA436='Listas suspensas'!$A$6,'Listas suspensas'!$B$6,"")))))</f>
        <v>Profunda e irregular</v>
      </c>
      <c r="AC436" s="8" t="str">
        <f>IF(AA436='Listas suspensas'!$A$2,'Listas suspensas'!$C$2,IF(AA436='Listas suspensas'!$A$3,'Listas suspensas'!$C$3,IF(AA436='Listas suspensas'!$A$4,'Listas suspensas'!$C$4,IF(AA436='Listas suspensas'!$A$5,'Listas suspensas'!$C$5,IF(AA436='Listas suspensas'!$A$6,'Listas suspensas'!$C$6,"")))))</f>
        <v>Indica a penetração profunda, mas desuniforme em toda a extensão do alburno.</v>
      </c>
      <c r="BD436" s="13">
        <v>0.41</v>
      </c>
      <c r="BE436" s="18">
        <f t="shared" si="74"/>
        <v>410</v>
      </c>
      <c r="BF436" s="8">
        <v>0.48099999999999998</v>
      </c>
      <c r="BG436" s="8">
        <v>0.224</v>
      </c>
      <c r="BH436" s="8">
        <v>0.505</v>
      </c>
      <c r="BI436" s="13">
        <f t="shared" si="75"/>
        <v>1.21</v>
      </c>
      <c r="BJ436" s="14">
        <v>39.700000000000003</v>
      </c>
      <c r="BK436" s="14">
        <v>18.5</v>
      </c>
      <c r="BL436" s="14">
        <v>41.8</v>
      </c>
      <c r="BM436" s="16">
        <f t="shared" si="76"/>
        <v>100</v>
      </c>
      <c r="BN436" s="21">
        <f t="shared" si="77"/>
        <v>1.97</v>
      </c>
      <c r="BO436" s="21">
        <f t="shared" si="78"/>
        <v>0.92</v>
      </c>
      <c r="BP436" s="21">
        <f t="shared" si="79"/>
        <v>2.0699999999999998</v>
      </c>
      <c r="BQ436" s="14">
        <f t="shared" si="80"/>
        <v>4.96</v>
      </c>
      <c r="BR436" s="22" t="str">
        <f>IF(OR(AND(X436="Mourões", BQ436&gt;=6.5),AND(X436="Postes", BQ436&gt;=9.6),AND(X436="Dormentes", BQ436&gt;=9.6),AND(X436="Estacas - Solo", BQ436&gt;=6.5),AND(X436="Estacas - Suspenso", BQ436&gt;=4),AND(X436="Cruzetas", BQ436&gt;=6.5),AND(X436="Outros - Solo", BQ436&gt;=6.5),AND(X436="Outros - Suspenso",BQ436&gt;=4),AND(X436="Deck",BQ436&gt;=4)),'Listas suspensas'!$C$21,'Listas suspensas'!$C$22)</f>
        <v>Os resultados da análise química apresentaram uma retenção do produto de acordo com o padrão mínimo exigido pela norma ABNT NBR 16143</v>
      </c>
    </row>
    <row r="437" spans="2:70" x14ac:dyDescent="0.25">
      <c r="B437" s="8" t="s">
        <v>1085</v>
      </c>
      <c r="C437" s="8" t="s">
        <v>71</v>
      </c>
      <c r="F437" s="11">
        <v>45959</v>
      </c>
      <c r="G437" s="11">
        <v>45964</v>
      </c>
      <c r="H437" s="11">
        <v>45968</v>
      </c>
      <c r="I437" s="8" t="s">
        <v>896</v>
      </c>
      <c r="J437" s="8" t="s">
        <v>1016</v>
      </c>
      <c r="K437" s="8" t="s">
        <v>619</v>
      </c>
      <c r="L437" s="8" t="s">
        <v>15</v>
      </c>
      <c r="M437" s="30" t="s">
        <v>898</v>
      </c>
      <c r="N437" s="8" t="s">
        <v>1165</v>
      </c>
      <c r="O437" s="8" t="s">
        <v>94</v>
      </c>
      <c r="P437" s="28" t="s">
        <v>471</v>
      </c>
      <c r="Q437" s="16" t="s">
        <v>1361</v>
      </c>
      <c r="X437" s="8" t="s">
        <v>473</v>
      </c>
      <c r="Y437" s="34">
        <f>IF(X437='Listas suspensas'!$A$21,'Listas suspensas'!$B$23,IF(X437='Listas suspensas'!$A$22,'Listas suspensas'!$B$23,IF(X437='Listas suspensas'!$A$23,'Listas suspensas'!$B$22,IF(X437='Listas suspensas'!$A$26,'Listas suspensas'!$B$22,IF(X437='Listas suspensas'!$A$32,'Listas suspensas'!$B$22,IF(X437='Listas suspensas'!$A$33,'Listas suspensas'!$B$21,IF(X437='Listas suspensas'!$A$24,'Listas suspensas'!$B$22,IF(X437='Listas suspensas'!$A$25,'Listas suspensas'!$B$21,IF(X437='Listas suspensas'!$A$30,'Listas suspensas'!$B$21,"")))))))))</f>
        <v>4</v>
      </c>
      <c r="Z437" s="8" t="s">
        <v>80</v>
      </c>
      <c r="AA437" s="8">
        <v>3</v>
      </c>
      <c r="AB437" s="8" t="str">
        <f>IF(AA437='Listas suspensas'!$A$2,'Listas suspensas'!$B$2,IF(AA437='Listas suspensas'!$A$3,'Listas suspensas'!$B$3,IF(AA437='Listas suspensas'!$A$4,'Listas suspensas'!$B$4,IF(AA437='Listas suspensas'!$A$5,'Listas suspensas'!$B$5,IF(AA437='Listas suspensas'!$A$6,'Listas suspensas'!$B$6,"")))))</f>
        <v xml:space="preserve"> Parcial e regular</v>
      </c>
      <c r="AC437" s="8" t="str">
        <f>IF(AA437='Listas suspensas'!$A$2,'Listas suspensas'!$C$2,IF(AA437='Listas suspensas'!$A$3,'Listas suspensas'!$C$3,IF(AA437='Listas suspensas'!$A$4,'Listas suspensas'!$C$4,IF(AA437='Listas suspensas'!$A$5,'Listas suspensas'!$C$5,IF(AA437='Listas suspensas'!$A$6,'Listas suspensas'!$C$6,"")))))</f>
        <v>Indica a penetração uniforme, mas não total pela extensão do alburno.</v>
      </c>
      <c r="BD437" s="13">
        <v>0.443</v>
      </c>
      <c r="BE437" s="18">
        <f t="shared" si="74"/>
        <v>443</v>
      </c>
      <c r="BF437" s="8">
        <v>0.33900000000000002</v>
      </c>
      <c r="BG437" s="8">
        <v>0.182</v>
      </c>
      <c r="BH437" s="8">
        <v>0.379</v>
      </c>
      <c r="BI437" s="13">
        <f t="shared" si="75"/>
        <v>0.9</v>
      </c>
      <c r="BJ437" s="14">
        <v>37.700000000000003</v>
      </c>
      <c r="BK437" s="14">
        <v>20.2</v>
      </c>
      <c r="BL437" s="14">
        <v>42.1</v>
      </c>
      <c r="BM437" s="16">
        <f t="shared" si="76"/>
        <v>100</v>
      </c>
      <c r="BN437" s="21">
        <f t="shared" si="77"/>
        <v>1.5</v>
      </c>
      <c r="BO437" s="21">
        <f t="shared" si="78"/>
        <v>0.81</v>
      </c>
      <c r="BP437" s="21">
        <f t="shared" si="79"/>
        <v>1.68</v>
      </c>
      <c r="BQ437" s="14">
        <f t="shared" si="80"/>
        <v>3.99</v>
      </c>
      <c r="BR437" s="22" t="str">
        <f>IF(OR(AND(X437="Mourões", BQ437&gt;=6.5),AND(X437="Postes", BQ437&gt;=9.6),AND(X437="Dormentes", BQ437&gt;=9.6),AND(X437="Estacas - Solo", BQ437&gt;=6.5),AND(X437="Estacas - Suspenso", BQ437&gt;=4),AND(X437="Cruzetas", BQ437&gt;=6.5),AND(X437="Outros - Solo", BQ437&gt;=6.5),AND(X437="Outros - Suspenso",BQ437&gt;=4),AND(X437="Deck",BQ437&gt;=4)),'Listas suspensas'!$C$21,'Listas suspensas'!$C$22)</f>
        <v>Os resultados da análise química apresentaram uma retenção do produto inferior ao padrão mínimo exigido pela norma ABNT NBR 16143</v>
      </c>
    </row>
    <row r="438" spans="2:70" x14ac:dyDescent="0.25">
      <c r="B438" s="8" t="s">
        <v>1086</v>
      </c>
      <c r="C438" s="8" t="s">
        <v>71</v>
      </c>
      <c r="F438" s="11">
        <v>45959</v>
      </c>
      <c r="G438" s="11">
        <v>45964</v>
      </c>
      <c r="H438" s="11">
        <v>45968</v>
      </c>
      <c r="I438" s="8" t="s">
        <v>896</v>
      </c>
      <c r="J438" s="8" t="s">
        <v>1016</v>
      </c>
      <c r="K438" s="8" t="s">
        <v>619</v>
      </c>
      <c r="L438" s="8" t="s">
        <v>15</v>
      </c>
      <c r="M438" s="30" t="s">
        <v>898</v>
      </c>
      <c r="N438" s="8" t="s">
        <v>1165</v>
      </c>
      <c r="O438" s="8" t="s">
        <v>94</v>
      </c>
      <c r="P438" s="28" t="s">
        <v>471</v>
      </c>
      <c r="Q438" s="16" t="s">
        <v>1362</v>
      </c>
      <c r="X438" s="8" t="s">
        <v>473</v>
      </c>
      <c r="Y438" s="34">
        <f>IF(X438='Listas suspensas'!$A$21,'Listas suspensas'!$B$23,IF(X438='Listas suspensas'!$A$22,'Listas suspensas'!$B$23,IF(X438='Listas suspensas'!$A$23,'Listas suspensas'!$B$22,IF(X438='Listas suspensas'!$A$26,'Listas suspensas'!$B$22,IF(X438='Listas suspensas'!$A$32,'Listas suspensas'!$B$22,IF(X438='Listas suspensas'!$A$33,'Listas suspensas'!$B$21,IF(X438='Listas suspensas'!$A$24,'Listas suspensas'!$B$22,IF(X438='Listas suspensas'!$A$25,'Listas suspensas'!$B$21,IF(X438='Listas suspensas'!$A$30,'Listas suspensas'!$B$21,"")))))))))</f>
        <v>4</v>
      </c>
      <c r="Z438" s="8" t="s">
        <v>80</v>
      </c>
      <c r="AA438" s="8">
        <v>3</v>
      </c>
      <c r="AB438" s="8" t="str">
        <f>IF(AA438='Listas suspensas'!$A$2,'Listas suspensas'!$B$2,IF(AA438='Listas suspensas'!$A$3,'Listas suspensas'!$B$3,IF(AA438='Listas suspensas'!$A$4,'Listas suspensas'!$B$4,IF(AA438='Listas suspensas'!$A$5,'Listas suspensas'!$B$5,IF(AA438='Listas suspensas'!$A$6,'Listas suspensas'!$B$6,"")))))</f>
        <v xml:space="preserve"> Parcial e regular</v>
      </c>
      <c r="AC438" s="8" t="str">
        <f>IF(AA438='Listas suspensas'!$A$2,'Listas suspensas'!$C$2,IF(AA438='Listas suspensas'!$A$3,'Listas suspensas'!$C$3,IF(AA438='Listas suspensas'!$A$4,'Listas suspensas'!$C$4,IF(AA438='Listas suspensas'!$A$5,'Listas suspensas'!$C$5,IF(AA438='Listas suspensas'!$A$6,'Listas suspensas'!$C$6,"")))))</f>
        <v>Indica a penetração uniforme, mas não total pela extensão do alburno.</v>
      </c>
      <c r="BD438" s="13">
        <v>0.62</v>
      </c>
      <c r="BE438" s="18">
        <f t="shared" si="74"/>
        <v>620</v>
      </c>
      <c r="BF438" s="8">
        <v>0.27</v>
      </c>
      <c r="BG438" s="8">
        <v>0.14699999999999999</v>
      </c>
      <c r="BH438" s="8">
        <v>0.32300000000000001</v>
      </c>
      <c r="BI438" s="13">
        <f t="shared" si="75"/>
        <v>0.74</v>
      </c>
      <c r="BJ438" s="14">
        <v>36.5</v>
      </c>
      <c r="BK438" s="14">
        <v>19.899999999999999</v>
      </c>
      <c r="BL438" s="14">
        <v>43.6</v>
      </c>
      <c r="BM438" s="16">
        <f t="shared" si="76"/>
        <v>100</v>
      </c>
      <c r="BN438" s="21">
        <f t="shared" si="77"/>
        <v>1.67</v>
      </c>
      <c r="BO438" s="21">
        <f t="shared" si="78"/>
        <v>0.91</v>
      </c>
      <c r="BP438" s="21">
        <f t="shared" si="79"/>
        <v>2</v>
      </c>
      <c r="BQ438" s="14">
        <f t="shared" si="80"/>
        <v>4.58</v>
      </c>
      <c r="BR438" s="22" t="str">
        <f>IF(OR(AND(X438="Mourões", BQ438&gt;=6.5),AND(X438="Postes", BQ438&gt;=9.6),AND(X438="Dormentes", BQ438&gt;=9.6),AND(X438="Estacas - Solo", BQ438&gt;=6.5),AND(X438="Estacas - Suspenso", BQ438&gt;=4),AND(X438="Cruzetas", BQ438&gt;=6.5),AND(X438="Outros - Solo", BQ438&gt;=6.5),AND(X438="Outros - Suspenso",BQ438&gt;=4),AND(X438="Deck",BQ438&gt;=4)),'Listas suspensas'!$C$21,'Listas suspensas'!$C$22)</f>
        <v>Os resultados da análise química apresentaram uma retenção do produto de acordo com o padrão mínimo exigido pela norma ABNT NBR 16143</v>
      </c>
    </row>
    <row r="439" spans="2:70" x14ac:dyDescent="0.25">
      <c r="B439" s="8" t="s">
        <v>1087</v>
      </c>
      <c r="C439" s="8" t="s">
        <v>71</v>
      </c>
      <c r="F439" s="11">
        <v>45959</v>
      </c>
      <c r="G439" s="11">
        <v>45964</v>
      </c>
      <c r="H439" s="11">
        <v>45968</v>
      </c>
      <c r="I439" s="8" t="s">
        <v>896</v>
      </c>
      <c r="J439" s="8" t="s">
        <v>1016</v>
      </c>
      <c r="K439" s="8" t="s">
        <v>619</v>
      </c>
      <c r="L439" s="8" t="s">
        <v>15</v>
      </c>
      <c r="M439" s="30" t="s">
        <v>898</v>
      </c>
      <c r="N439" s="8" t="s">
        <v>1165</v>
      </c>
      <c r="O439" s="8" t="s">
        <v>94</v>
      </c>
      <c r="P439" s="28" t="s">
        <v>471</v>
      </c>
      <c r="Q439" s="16" t="s">
        <v>1363</v>
      </c>
      <c r="X439" s="8" t="s">
        <v>473</v>
      </c>
      <c r="Y439" s="34">
        <f>IF(X439='Listas suspensas'!$A$21,'Listas suspensas'!$B$23,IF(X439='Listas suspensas'!$A$22,'Listas suspensas'!$B$23,IF(X439='Listas suspensas'!$A$23,'Listas suspensas'!$B$22,IF(X439='Listas suspensas'!$A$26,'Listas suspensas'!$B$22,IF(X439='Listas suspensas'!$A$32,'Listas suspensas'!$B$22,IF(X439='Listas suspensas'!$A$33,'Listas suspensas'!$B$21,IF(X439='Listas suspensas'!$A$24,'Listas suspensas'!$B$22,IF(X439='Listas suspensas'!$A$25,'Listas suspensas'!$B$21,IF(X439='Listas suspensas'!$A$30,'Listas suspensas'!$B$21,"")))))))))</f>
        <v>4</v>
      </c>
      <c r="Z439" s="8" t="s">
        <v>80</v>
      </c>
      <c r="AA439" s="8">
        <v>2</v>
      </c>
      <c r="AB439" s="8" t="str">
        <f>IF(AA439='Listas suspensas'!$A$2,'Listas suspensas'!$B$2,IF(AA439='Listas suspensas'!$A$3,'Listas suspensas'!$B$3,IF(AA439='Listas suspensas'!$A$4,'Listas suspensas'!$B$4,IF(AA439='Listas suspensas'!$A$5,'Listas suspensas'!$B$5,IF(AA439='Listas suspensas'!$A$6,'Listas suspensas'!$B$6,"")))))</f>
        <v>Profunda e irregular</v>
      </c>
      <c r="AC439" s="8" t="str">
        <f>IF(AA439='Listas suspensas'!$A$2,'Listas suspensas'!$C$2,IF(AA439='Listas suspensas'!$A$3,'Listas suspensas'!$C$3,IF(AA439='Listas suspensas'!$A$4,'Listas suspensas'!$C$4,IF(AA439='Listas suspensas'!$A$5,'Listas suspensas'!$C$5,IF(AA439='Listas suspensas'!$A$6,'Listas suspensas'!$C$6,"")))))</f>
        <v>Indica a penetração profunda, mas desuniforme em toda a extensão do alburno.</v>
      </c>
      <c r="BD439" s="13">
        <v>0.58499999999999996</v>
      </c>
      <c r="BE439" s="18">
        <f t="shared" si="74"/>
        <v>585</v>
      </c>
      <c r="BF439" s="8">
        <v>0.45</v>
      </c>
      <c r="BG439" s="8">
        <v>0.20899999999999999</v>
      </c>
      <c r="BH439" s="8">
        <v>0.48</v>
      </c>
      <c r="BI439" s="13">
        <f t="shared" si="75"/>
        <v>1.139</v>
      </c>
      <c r="BJ439" s="14">
        <v>39.5</v>
      </c>
      <c r="BK439" s="14">
        <v>18.3</v>
      </c>
      <c r="BL439" s="14">
        <v>42.2</v>
      </c>
      <c r="BM439" s="16">
        <f t="shared" si="76"/>
        <v>100</v>
      </c>
      <c r="BN439" s="21">
        <f t="shared" si="77"/>
        <v>2.63</v>
      </c>
      <c r="BO439" s="21">
        <f t="shared" si="78"/>
        <v>1.22</v>
      </c>
      <c r="BP439" s="21">
        <f t="shared" si="79"/>
        <v>2.81</v>
      </c>
      <c r="BQ439" s="14">
        <f t="shared" si="80"/>
        <v>6.66</v>
      </c>
      <c r="BR439" s="22" t="str">
        <f>IF(OR(AND(X439="Mourões", BQ439&gt;=6.5),AND(X439="Postes", BQ439&gt;=9.6),AND(X439="Dormentes", BQ439&gt;=9.6),AND(X439="Estacas - Solo", BQ439&gt;=6.5),AND(X439="Estacas - Suspenso", BQ439&gt;=4),AND(X439="Cruzetas", BQ439&gt;=6.5),AND(X439="Outros - Solo", BQ439&gt;=6.5),AND(X439="Outros - Suspenso",BQ439&gt;=4),AND(X439="Deck",BQ439&gt;=4)),'Listas suspensas'!$C$21,'Listas suspensas'!$C$22)</f>
        <v>Os resultados da análise química apresentaram uma retenção do produto de acordo com o padrão mínimo exigido pela norma ABNT NBR 16143</v>
      </c>
    </row>
    <row r="440" spans="2:70" x14ac:dyDescent="0.25">
      <c r="B440" s="8" t="s">
        <v>1088</v>
      </c>
      <c r="C440" s="8" t="s">
        <v>71</v>
      </c>
      <c r="F440" s="11">
        <v>45959</v>
      </c>
      <c r="G440" s="11">
        <v>45964</v>
      </c>
      <c r="H440" s="11">
        <v>45968</v>
      </c>
      <c r="I440" s="8" t="s">
        <v>896</v>
      </c>
      <c r="J440" s="8" t="s">
        <v>1016</v>
      </c>
      <c r="K440" s="8" t="s">
        <v>619</v>
      </c>
      <c r="L440" s="8" t="s">
        <v>15</v>
      </c>
      <c r="M440" s="30" t="s">
        <v>898</v>
      </c>
      <c r="N440" s="8" t="s">
        <v>1165</v>
      </c>
      <c r="O440" s="8" t="s">
        <v>94</v>
      </c>
      <c r="P440" s="28" t="s">
        <v>471</v>
      </c>
      <c r="Q440" s="16" t="s">
        <v>1364</v>
      </c>
      <c r="X440" s="8" t="s">
        <v>473</v>
      </c>
      <c r="Y440" s="34">
        <f>IF(X440='Listas suspensas'!$A$21,'Listas suspensas'!$B$23,IF(X440='Listas suspensas'!$A$22,'Listas suspensas'!$B$23,IF(X440='Listas suspensas'!$A$23,'Listas suspensas'!$B$22,IF(X440='Listas suspensas'!$A$26,'Listas suspensas'!$B$22,IF(X440='Listas suspensas'!$A$32,'Listas suspensas'!$B$22,IF(X440='Listas suspensas'!$A$33,'Listas suspensas'!$B$21,IF(X440='Listas suspensas'!$A$24,'Listas suspensas'!$B$22,IF(X440='Listas suspensas'!$A$25,'Listas suspensas'!$B$21,IF(X440='Listas suspensas'!$A$30,'Listas suspensas'!$B$21,"")))))))))</f>
        <v>4</v>
      </c>
      <c r="Z440" s="8" t="s">
        <v>80</v>
      </c>
      <c r="AA440" s="8">
        <v>2</v>
      </c>
      <c r="AB440" s="8" t="str">
        <f>IF(AA440='Listas suspensas'!$A$2,'Listas suspensas'!$B$2,IF(AA440='Listas suspensas'!$A$3,'Listas suspensas'!$B$3,IF(AA440='Listas suspensas'!$A$4,'Listas suspensas'!$B$4,IF(AA440='Listas suspensas'!$A$5,'Listas suspensas'!$B$5,IF(AA440='Listas suspensas'!$A$6,'Listas suspensas'!$B$6,"")))))</f>
        <v>Profunda e irregular</v>
      </c>
      <c r="AC440" s="8" t="str">
        <f>IF(AA440='Listas suspensas'!$A$2,'Listas suspensas'!$C$2,IF(AA440='Listas suspensas'!$A$3,'Listas suspensas'!$C$3,IF(AA440='Listas suspensas'!$A$4,'Listas suspensas'!$C$4,IF(AA440='Listas suspensas'!$A$5,'Listas suspensas'!$C$5,IF(AA440='Listas suspensas'!$A$6,'Listas suspensas'!$C$6,"")))))</f>
        <v>Indica a penetração profunda, mas desuniforme em toda a extensão do alburno.</v>
      </c>
      <c r="BD440" s="13">
        <v>0.64600000000000002</v>
      </c>
      <c r="BE440" s="18">
        <f t="shared" ref="BE440:BE503" si="85">BD440*1000</f>
        <v>646</v>
      </c>
      <c r="BF440" s="8">
        <v>0.40600000000000003</v>
      </c>
      <c r="BG440" s="8">
        <v>0.19800000000000001</v>
      </c>
      <c r="BH440" s="8">
        <v>0.433</v>
      </c>
      <c r="BI440" s="13">
        <f t="shared" si="75"/>
        <v>1.0370000000000001</v>
      </c>
      <c r="BJ440" s="14">
        <v>39.200000000000003</v>
      </c>
      <c r="BK440" s="14">
        <v>19.100000000000001</v>
      </c>
      <c r="BL440" s="14">
        <v>41.7</v>
      </c>
      <c r="BM440" s="16">
        <f t="shared" si="76"/>
        <v>100</v>
      </c>
      <c r="BN440" s="21">
        <f t="shared" si="77"/>
        <v>2.62</v>
      </c>
      <c r="BO440" s="21">
        <f t="shared" si="78"/>
        <v>1.28</v>
      </c>
      <c r="BP440" s="21">
        <f t="shared" si="79"/>
        <v>2.8</v>
      </c>
      <c r="BQ440" s="14">
        <f t="shared" si="80"/>
        <v>6.7</v>
      </c>
      <c r="BR440" s="22" t="str">
        <f>IF(OR(AND(X440="Mourões", BQ440&gt;=6.5),AND(X440="Postes", BQ440&gt;=9.6),AND(X440="Dormentes", BQ440&gt;=9.6),AND(X440="Estacas - Solo", BQ440&gt;=6.5),AND(X440="Estacas - Suspenso", BQ440&gt;=4),AND(X440="Cruzetas", BQ440&gt;=6.5),AND(X440="Outros - Solo", BQ440&gt;=6.5),AND(X440="Outros - Suspenso",BQ440&gt;=4),AND(X440="Deck",BQ440&gt;=4)),'Listas suspensas'!$C$21,'Listas suspensas'!$C$22)</f>
        <v>Os resultados da análise química apresentaram uma retenção do produto de acordo com o padrão mínimo exigido pela norma ABNT NBR 16143</v>
      </c>
    </row>
    <row r="441" spans="2:70" x14ac:dyDescent="0.25">
      <c r="B441" s="8" t="s">
        <v>1089</v>
      </c>
      <c r="C441" s="8" t="s">
        <v>71</v>
      </c>
      <c r="F441" s="11">
        <v>45959</v>
      </c>
      <c r="G441" s="11">
        <v>45964</v>
      </c>
      <c r="H441" s="11">
        <v>45968</v>
      </c>
      <c r="I441" s="8" t="s">
        <v>896</v>
      </c>
      <c r="J441" s="8" t="s">
        <v>1016</v>
      </c>
      <c r="K441" s="8" t="s">
        <v>619</v>
      </c>
      <c r="L441" s="8" t="s">
        <v>15</v>
      </c>
      <c r="M441" s="30" t="s">
        <v>898</v>
      </c>
      <c r="N441" s="8" t="s">
        <v>1165</v>
      </c>
      <c r="O441" s="8" t="s">
        <v>94</v>
      </c>
      <c r="P441" s="28" t="s">
        <v>471</v>
      </c>
      <c r="Q441" s="16" t="s">
        <v>1365</v>
      </c>
      <c r="X441" s="8" t="s">
        <v>473</v>
      </c>
      <c r="Y441" s="34">
        <f>IF(X441='Listas suspensas'!$A$21,'Listas suspensas'!$B$23,IF(X441='Listas suspensas'!$A$22,'Listas suspensas'!$B$23,IF(X441='Listas suspensas'!$A$23,'Listas suspensas'!$B$22,IF(X441='Listas suspensas'!$A$26,'Listas suspensas'!$B$22,IF(X441='Listas suspensas'!$A$32,'Listas suspensas'!$B$22,IF(X441='Listas suspensas'!$A$33,'Listas suspensas'!$B$21,IF(X441='Listas suspensas'!$A$24,'Listas suspensas'!$B$22,IF(X441='Listas suspensas'!$A$25,'Listas suspensas'!$B$21,IF(X441='Listas suspensas'!$A$30,'Listas suspensas'!$B$21,"")))))))))</f>
        <v>4</v>
      </c>
      <c r="Z441" s="8" t="s">
        <v>80</v>
      </c>
      <c r="AA441" s="8">
        <v>2</v>
      </c>
      <c r="AB441" s="8" t="str">
        <f>IF(AA441='Listas suspensas'!$A$2,'Listas suspensas'!$B$2,IF(AA441='Listas suspensas'!$A$3,'Listas suspensas'!$B$3,IF(AA441='Listas suspensas'!$A$4,'Listas suspensas'!$B$4,IF(AA441='Listas suspensas'!$A$5,'Listas suspensas'!$B$5,IF(AA441='Listas suspensas'!$A$6,'Listas suspensas'!$B$6,"")))))</f>
        <v>Profunda e irregular</v>
      </c>
      <c r="AC441" s="8" t="str">
        <f>IF(AA441='Listas suspensas'!$A$2,'Listas suspensas'!$C$2,IF(AA441='Listas suspensas'!$A$3,'Listas suspensas'!$C$3,IF(AA441='Listas suspensas'!$A$4,'Listas suspensas'!$C$4,IF(AA441='Listas suspensas'!$A$5,'Listas suspensas'!$C$5,IF(AA441='Listas suspensas'!$A$6,'Listas suspensas'!$C$6,"")))))</f>
        <v>Indica a penetração profunda, mas desuniforme em toda a extensão do alburno.</v>
      </c>
      <c r="BD441" s="13">
        <v>0.44500000000000001</v>
      </c>
      <c r="BE441" s="18">
        <f t="shared" si="85"/>
        <v>445</v>
      </c>
      <c r="BF441" s="8">
        <v>0.375</v>
      </c>
      <c r="BG441" s="8">
        <v>0.191</v>
      </c>
      <c r="BH441" s="8">
        <v>0.44700000000000001</v>
      </c>
      <c r="BI441" s="13">
        <f t="shared" si="75"/>
        <v>1.0130000000000001</v>
      </c>
      <c r="BJ441" s="14">
        <v>37</v>
      </c>
      <c r="BK441" s="14">
        <v>18.899999999999999</v>
      </c>
      <c r="BL441" s="14">
        <v>44.1</v>
      </c>
      <c r="BM441" s="16">
        <f t="shared" si="76"/>
        <v>100</v>
      </c>
      <c r="BN441" s="21">
        <f t="shared" si="77"/>
        <v>1.67</v>
      </c>
      <c r="BO441" s="21">
        <f t="shared" si="78"/>
        <v>0.85</v>
      </c>
      <c r="BP441" s="21">
        <f t="shared" si="79"/>
        <v>1.99</v>
      </c>
      <c r="BQ441" s="14">
        <f t="shared" si="80"/>
        <v>4.51</v>
      </c>
      <c r="BR441" s="22" t="str">
        <f>IF(OR(AND(X441="Mourões", BQ441&gt;=6.5),AND(X441="Postes", BQ441&gt;=9.6),AND(X441="Dormentes", BQ441&gt;=9.6),AND(X441="Estacas - Solo", BQ441&gt;=6.5),AND(X441="Estacas - Suspenso", BQ441&gt;=4),AND(X441="Cruzetas", BQ441&gt;=6.5),AND(X441="Outros - Solo", BQ441&gt;=6.5),AND(X441="Outros - Suspenso",BQ441&gt;=4),AND(X441="Deck",BQ441&gt;=4)),'Listas suspensas'!$C$21,'Listas suspensas'!$C$22)</f>
        <v>Os resultados da análise química apresentaram uma retenção do produto de acordo com o padrão mínimo exigido pela norma ABNT NBR 16143</v>
      </c>
    </row>
    <row r="442" spans="2:70" x14ac:dyDescent="0.25">
      <c r="B442" s="8" t="s">
        <v>1090</v>
      </c>
      <c r="C442" s="8" t="s">
        <v>71</v>
      </c>
      <c r="F442" s="11">
        <v>45959</v>
      </c>
      <c r="G442" s="11">
        <v>45964</v>
      </c>
      <c r="H442" s="11">
        <v>45968</v>
      </c>
      <c r="I442" s="8" t="s">
        <v>896</v>
      </c>
      <c r="J442" s="8" t="s">
        <v>1016</v>
      </c>
      <c r="K442" s="8" t="s">
        <v>619</v>
      </c>
      <c r="L442" s="8" t="s">
        <v>15</v>
      </c>
      <c r="M442" s="30" t="s">
        <v>898</v>
      </c>
      <c r="N442" s="8" t="s">
        <v>1165</v>
      </c>
      <c r="O442" s="8" t="s">
        <v>94</v>
      </c>
      <c r="P442" s="28" t="s">
        <v>471</v>
      </c>
      <c r="Q442" s="16" t="s">
        <v>1019</v>
      </c>
      <c r="X442" s="8" t="s">
        <v>473</v>
      </c>
      <c r="Y442" s="34">
        <f>IF(X442='Listas suspensas'!$A$21,'Listas suspensas'!$B$23,IF(X442='Listas suspensas'!$A$22,'Listas suspensas'!$B$23,IF(X442='Listas suspensas'!$A$23,'Listas suspensas'!$B$22,IF(X442='Listas suspensas'!$A$26,'Listas suspensas'!$B$22,IF(X442='Listas suspensas'!$A$32,'Listas suspensas'!$B$22,IF(X442='Listas suspensas'!$A$33,'Listas suspensas'!$B$21,IF(X442='Listas suspensas'!$A$24,'Listas suspensas'!$B$22,IF(X442='Listas suspensas'!$A$25,'Listas suspensas'!$B$21,IF(X442='Listas suspensas'!$A$30,'Listas suspensas'!$B$21,"")))))))))</f>
        <v>4</v>
      </c>
      <c r="Z442" s="8" t="s">
        <v>80</v>
      </c>
      <c r="AA442" s="8">
        <v>2</v>
      </c>
      <c r="AB442" s="8" t="str">
        <f>IF(AA442='Listas suspensas'!$A$2,'Listas suspensas'!$B$2,IF(AA442='Listas suspensas'!$A$3,'Listas suspensas'!$B$3,IF(AA442='Listas suspensas'!$A$4,'Listas suspensas'!$B$4,IF(AA442='Listas suspensas'!$A$5,'Listas suspensas'!$B$5,IF(AA442='Listas suspensas'!$A$6,'Listas suspensas'!$B$6,"")))))</f>
        <v>Profunda e irregular</v>
      </c>
      <c r="AC442" s="8" t="str">
        <f>IF(AA442='Listas suspensas'!$A$2,'Listas suspensas'!$C$2,IF(AA442='Listas suspensas'!$A$3,'Listas suspensas'!$C$3,IF(AA442='Listas suspensas'!$A$4,'Listas suspensas'!$C$4,IF(AA442='Listas suspensas'!$A$5,'Listas suspensas'!$C$5,IF(AA442='Listas suspensas'!$A$6,'Listas suspensas'!$C$6,"")))))</f>
        <v>Indica a penetração profunda, mas desuniforme em toda a extensão do alburno.</v>
      </c>
      <c r="BD442" s="13">
        <v>0.46600000000000003</v>
      </c>
      <c r="BE442" s="18">
        <f t="shared" si="85"/>
        <v>466</v>
      </c>
      <c r="BF442" s="8">
        <v>0.48199999999999998</v>
      </c>
      <c r="BG442" s="8">
        <v>0.22600000000000001</v>
      </c>
      <c r="BH442" s="8">
        <v>0.47199999999999998</v>
      </c>
      <c r="BI442" s="13">
        <f t="shared" si="75"/>
        <v>1.18</v>
      </c>
      <c r="BJ442" s="14">
        <v>40.799999999999997</v>
      </c>
      <c r="BK442" s="14">
        <v>19.2</v>
      </c>
      <c r="BL442" s="14">
        <v>40</v>
      </c>
      <c r="BM442" s="16">
        <f t="shared" si="76"/>
        <v>100</v>
      </c>
      <c r="BN442" s="21">
        <f t="shared" si="77"/>
        <v>2.25</v>
      </c>
      <c r="BO442" s="21">
        <f t="shared" si="78"/>
        <v>1.05</v>
      </c>
      <c r="BP442" s="21">
        <f t="shared" si="79"/>
        <v>2.2000000000000002</v>
      </c>
      <c r="BQ442" s="14">
        <f t="shared" si="80"/>
        <v>5.5</v>
      </c>
      <c r="BR442" s="22" t="str">
        <f>IF(OR(AND(X442="Mourões", BQ442&gt;=6.5),AND(X442="Postes", BQ442&gt;=9.6),AND(X442="Dormentes", BQ442&gt;=9.6),AND(X442="Estacas - Solo", BQ442&gt;=6.5),AND(X442="Estacas - Suspenso", BQ442&gt;=4),AND(X442="Cruzetas", BQ442&gt;=6.5),AND(X442="Outros - Solo", BQ442&gt;=6.5),AND(X442="Outros - Suspenso",BQ442&gt;=4),AND(X442="Deck",BQ442&gt;=4)),'Listas suspensas'!$C$21,'Listas suspensas'!$C$22)</f>
        <v>Os resultados da análise química apresentaram uma retenção do produto de acordo com o padrão mínimo exigido pela norma ABNT NBR 16143</v>
      </c>
    </row>
    <row r="443" spans="2:70" x14ac:dyDescent="0.25">
      <c r="B443" s="8" t="s">
        <v>1091</v>
      </c>
      <c r="C443" s="8" t="s">
        <v>71</v>
      </c>
      <c r="F443" s="11">
        <v>45960</v>
      </c>
      <c r="G443" s="11">
        <v>45964</v>
      </c>
      <c r="H443" s="11">
        <v>45968</v>
      </c>
      <c r="I443" s="8" t="s">
        <v>1366</v>
      </c>
      <c r="J443" s="8" t="s">
        <v>213</v>
      </c>
      <c r="K443" s="8" t="s">
        <v>74</v>
      </c>
      <c r="L443" s="8" t="s">
        <v>15</v>
      </c>
      <c r="M443" s="30" t="s">
        <v>872</v>
      </c>
      <c r="N443" s="8" t="s">
        <v>1165</v>
      </c>
      <c r="O443" s="8" t="s">
        <v>94</v>
      </c>
      <c r="P443" s="28" t="s">
        <v>146</v>
      </c>
      <c r="Q443" s="16" t="s">
        <v>1368</v>
      </c>
      <c r="X443" s="8" t="s">
        <v>79</v>
      </c>
      <c r="Y443" s="34">
        <f>IF(X443='Listas suspensas'!$A$21,'Listas suspensas'!$B$23,IF(X443='Listas suspensas'!$A$22,'Listas suspensas'!$B$23,IF(X443='Listas suspensas'!$A$23,'Listas suspensas'!$B$22,IF(X443='Listas suspensas'!$A$26,'Listas suspensas'!$B$22,IF(X443='Listas suspensas'!$A$32,'Listas suspensas'!$B$22,IF(X443='Listas suspensas'!$A$33,'Listas suspensas'!$B$21,IF(X443='Listas suspensas'!$A$24,'Listas suspensas'!$B$22,IF(X443='Listas suspensas'!$A$25,'Listas suspensas'!$B$21,IF(X443='Listas suspensas'!$A$30,'Listas suspensas'!$B$21,"")))))))))</f>
        <v>6.5</v>
      </c>
      <c r="Z443" s="8" t="s">
        <v>80</v>
      </c>
      <c r="AA443" s="8">
        <v>1</v>
      </c>
      <c r="AB443" s="8" t="str">
        <f>IF(AA443='Listas suspensas'!$A$2,'Listas suspensas'!$B$2,IF(AA443='Listas suspensas'!$A$3,'Listas suspensas'!$B$3,IF(AA443='Listas suspensas'!$A$4,'Listas suspensas'!$B$4,IF(AA443='Listas suspensas'!$A$5,'Listas suspensas'!$B$5,IF(AA443='Listas suspensas'!$A$6,'Listas suspensas'!$B$6,"")))))</f>
        <v>Profunda e regular</v>
      </c>
      <c r="AC443" s="8" t="str">
        <f>IF(AA443='Listas suspensas'!$A$2,'Listas suspensas'!$C$2,IF(AA443='Listas suspensas'!$A$3,'Listas suspensas'!$C$3,IF(AA443='Listas suspensas'!$A$4,'Listas suspensas'!$C$4,IF(AA443='Listas suspensas'!$A$5,'Listas suspensas'!$C$5,IF(AA443='Listas suspensas'!$A$6,'Listas suspensas'!$C$6,"")))))</f>
        <v>Indica a penetração profunda e uniforme em toda a extensão do alburno.</v>
      </c>
      <c r="BD443" s="13">
        <v>0.57299999999999995</v>
      </c>
      <c r="BE443" s="18">
        <f t="shared" si="85"/>
        <v>573</v>
      </c>
      <c r="BF443" s="8">
        <v>1.9810000000000001</v>
      </c>
      <c r="BG443" s="8">
        <v>0.58899999999999997</v>
      </c>
      <c r="BH443" s="8">
        <v>1.1479999999999999</v>
      </c>
      <c r="BI443" s="13">
        <f t="shared" si="75"/>
        <v>3.718</v>
      </c>
      <c r="BJ443" s="14">
        <v>53.3</v>
      </c>
      <c r="BK443" s="14">
        <v>15.8</v>
      </c>
      <c r="BL443" s="14">
        <v>30.9</v>
      </c>
      <c r="BM443" s="16">
        <f t="shared" si="76"/>
        <v>100</v>
      </c>
      <c r="BN443" s="21">
        <f t="shared" si="77"/>
        <v>11.35</v>
      </c>
      <c r="BO443" s="21">
        <f t="shared" si="78"/>
        <v>3.37</v>
      </c>
      <c r="BP443" s="21">
        <f t="shared" si="79"/>
        <v>6.58</v>
      </c>
      <c r="BQ443" s="14">
        <f t="shared" si="80"/>
        <v>21.3</v>
      </c>
      <c r="BR443" s="22" t="str">
        <f>IF(OR(AND(X443="Mourões", BQ443&gt;=6.5),AND(X443="Postes", BQ443&gt;=9.6),AND(X443="Dormentes", BQ443&gt;=9.6),AND(X443="Estacas - Solo", BQ443&gt;=6.5),AND(X443="Estacas - Suspenso", BQ443&gt;=4),AND(X443="Cruzetas", BQ443&gt;=6.5),AND(X443="Outros - Solo", BQ443&gt;=6.5),AND(X443="Outros - Suspenso",BQ443&gt;=4),AND(X443="Deck",BQ443&gt;=4)),'Listas suspensas'!$C$21,'Listas suspensas'!$C$22)</f>
        <v>Os resultados da análise química apresentaram uma retenção do produto de acordo com o padrão mínimo exigido pela norma ABNT NBR 16143</v>
      </c>
    </row>
    <row r="444" spans="2:70" x14ac:dyDescent="0.25">
      <c r="B444" s="8" t="s">
        <v>1092</v>
      </c>
      <c r="C444" s="8" t="s">
        <v>71</v>
      </c>
      <c r="F444" s="11">
        <v>45960</v>
      </c>
      <c r="G444" s="11">
        <v>45964</v>
      </c>
      <c r="H444" s="11">
        <v>45968</v>
      </c>
      <c r="I444" s="8" t="s">
        <v>1366</v>
      </c>
      <c r="J444" s="8" t="s">
        <v>213</v>
      </c>
      <c r="K444" s="8" t="s">
        <v>74</v>
      </c>
      <c r="L444" s="8" t="s">
        <v>15</v>
      </c>
      <c r="M444" s="30" t="s">
        <v>872</v>
      </c>
      <c r="N444" s="8" t="s">
        <v>1165</v>
      </c>
      <c r="O444" s="8" t="s">
        <v>94</v>
      </c>
      <c r="P444" s="28" t="s">
        <v>146</v>
      </c>
      <c r="Q444" s="16" t="s">
        <v>1369</v>
      </c>
      <c r="X444" s="8" t="s">
        <v>79</v>
      </c>
      <c r="Y444" s="34">
        <f>IF(X444='Listas suspensas'!$A$21,'Listas suspensas'!$B$23,IF(X444='Listas suspensas'!$A$22,'Listas suspensas'!$B$23,IF(X444='Listas suspensas'!$A$23,'Listas suspensas'!$B$22,IF(X444='Listas suspensas'!$A$26,'Listas suspensas'!$B$22,IF(X444='Listas suspensas'!$A$32,'Listas suspensas'!$B$22,IF(X444='Listas suspensas'!$A$33,'Listas suspensas'!$B$21,IF(X444='Listas suspensas'!$A$24,'Listas suspensas'!$B$22,IF(X444='Listas suspensas'!$A$25,'Listas suspensas'!$B$21,IF(X444='Listas suspensas'!$A$30,'Listas suspensas'!$B$21,"")))))))))</f>
        <v>6.5</v>
      </c>
      <c r="Z444" s="8" t="s">
        <v>80</v>
      </c>
      <c r="AA444" s="8">
        <v>1</v>
      </c>
      <c r="AB444" s="8" t="str">
        <f>IF(AA444='Listas suspensas'!$A$2,'Listas suspensas'!$B$2,IF(AA444='Listas suspensas'!$A$3,'Listas suspensas'!$B$3,IF(AA444='Listas suspensas'!$A$4,'Listas suspensas'!$B$4,IF(AA444='Listas suspensas'!$A$5,'Listas suspensas'!$B$5,IF(AA444='Listas suspensas'!$A$6,'Listas suspensas'!$B$6,"")))))</f>
        <v>Profunda e regular</v>
      </c>
      <c r="AC444" s="8" t="str">
        <f>IF(AA444='Listas suspensas'!$A$2,'Listas suspensas'!$C$2,IF(AA444='Listas suspensas'!$A$3,'Listas suspensas'!$C$3,IF(AA444='Listas suspensas'!$A$4,'Listas suspensas'!$C$4,IF(AA444='Listas suspensas'!$A$5,'Listas suspensas'!$C$5,IF(AA444='Listas suspensas'!$A$6,'Listas suspensas'!$C$6,"")))))</f>
        <v>Indica a penetração profunda e uniforme em toda a extensão do alburno.</v>
      </c>
      <c r="BD444" s="13">
        <v>0.57899999999999996</v>
      </c>
      <c r="BE444" s="18">
        <f t="shared" si="85"/>
        <v>579</v>
      </c>
      <c r="BF444" s="8">
        <v>0.73399999999999999</v>
      </c>
      <c r="BG444" s="8">
        <v>0.26600000000000001</v>
      </c>
      <c r="BH444" s="8">
        <v>0.49099999999999999</v>
      </c>
      <c r="BI444" s="13">
        <f t="shared" si="75"/>
        <v>1.4910000000000001</v>
      </c>
      <c r="BJ444" s="14">
        <v>49.2</v>
      </c>
      <c r="BK444" s="14">
        <v>17.8</v>
      </c>
      <c r="BL444" s="14">
        <v>33</v>
      </c>
      <c r="BM444" s="16">
        <f t="shared" si="76"/>
        <v>100</v>
      </c>
      <c r="BN444" s="21">
        <f t="shared" si="77"/>
        <v>4.25</v>
      </c>
      <c r="BO444" s="21">
        <f t="shared" si="78"/>
        <v>1.54</v>
      </c>
      <c r="BP444" s="21">
        <f t="shared" si="79"/>
        <v>2.84</v>
      </c>
      <c r="BQ444" s="14">
        <f t="shared" si="80"/>
        <v>8.6300000000000008</v>
      </c>
      <c r="BR444" s="22" t="str">
        <f>IF(OR(AND(X444="Mourões", BQ444&gt;=6.5),AND(X444="Postes", BQ444&gt;=9.6),AND(X444="Dormentes", BQ444&gt;=9.6),AND(X444="Estacas - Solo", BQ444&gt;=6.5),AND(X444="Estacas - Suspenso", BQ444&gt;=4),AND(X444="Cruzetas", BQ444&gt;=6.5),AND(X444="Outros - Solo", BQ444&gt;=6.5),AND(X444="Outros - Suspenso",BQ444&gt;=4),AND(X444="Deck",BQ444&gt;=4)),'Listas suspensas'!$C$21,'Listas suspensas'!$C$22)</f>
        <v>Os resultados da análise química apresentaram uma retenção do produto de acordo com o padrão mínimo exigido pela norma ABNT NBR 16143</v>
      </c>
    </row>
    <row r="445" spans="2:70" x14ac:dyDescent="0.25">
      <c r="B445" s="8" t="s">
        <v>1093</v>
      </c>
      <c r="C445" s="8" t="s">
        <v>71</v>
      </c>
      <c r="F445" s="11">
        <v>45960</v>
      </c>
      <c r="G445" s="11">
        <v>45964</v>
      </c>
      <c r="H445" s="11">
        <v>45968</v>
      </c>
      <c r="I445" s="8" t="s">
        <v>1366</v>
      </c>
      <c r="J445" s="8" t="s">
        <v>213</v>
      </c>
      <c r="K445" s="8" t="s">
        <v>74</v>
      </c>
      <c r="L445" s="8" t="s">
        <v>15</v>
      </c>
      <c r="M445" s="30" t="s">
        <v>872</v>
      </c>
      <c r="N445" s="8" t="s">
        <v>1165</v>
      </c>
      <c r="O445" s="8" t="s">
        <v>94</v>
      </c>
      <c r="P445" s="28" t="s">
        <v>146</v>
      </c>
      <c r="Q445" s="16" t="s">
        <v>1370</v>
      </c>
      <c r="X445" s="8" t="s">
        <v>79</v>
      </c>
      <c r="Y445" s="34">
        <f>IF(X445='Listas suspensas'!$A$21,'Listas suspensas'!$B$23,IF(X445='Listas suspensas'!$A$22,'Listas suspensas'!$B$23,IF(X445='Listas suspensas'!$A$23,'Listas suspensas'!$B$22,IF(X445='Listas suspensas'!$A$26,'Listas suspensas'!$B$22,IF(X445='Listas suspensas'!$A$32,'Listas suspensas'!$B$22,IF(X445='Listas suspensas'!$A$33,'Listas suspensas'!$B$21,IF(X445='Listas suspensas'!$A$24,'Listas suspensas'!$B$22,IF(X445='Listas suspensas'!$A$25,'Listas suspensas'!$B$21,IF(X445='Listas suspensas'!$A$30,'Listas suspensas'!$B$21,"")))))))))</f>
        <v>6.5</v>
      </c>
      <c r="Z445" s="8" t="s">
        <v>80</v>
      </c>
      <c r="AA445" s="8">
        <v>3</v>
      </c>
      <c r="AB445" s="8" t="str">
        <f>IF(AA445='Listas suspensas'!$A$2,'Listas suspensas'!$B$2,IF(AA445='Listas suspensas'!$A$3,'Listas suspensas'!$B$3,IF(AA445='Listas suspensas'!$A$4,'Listas suspensas'!$B$4,IF(AA445='Listas suspensas'!$A$5,'Listas suspensas'!$B$5,IF(AA445='Listas suspensas'!$A$6,'Listas suspensas'!$B$6,"")))))</f>
        <v xml:space="preserve"> Parcial e regular</v>
      </c>
      <c r="AC445" s="8" t="str">
        <f>IF(AA445='Listas suspensas'!$A$2,'Listas suspensas'!$C$2,IF(AA445='Listas suspensas'!$A$3,'Listas suspensas'!$C$3,IF(AA445='Listas suspensas'!$A$4,'Listas suspensas'!$C$4,IF(AA445='Listas suspensas'!$A$5,'Listas suspensas'!$C$5,IF(AA445='Listas suspensas'!$A$6,'Listas suspensas'!$C$6,"")))))</f>
        <v>Indica a penetração uniforme, mas não total pela extensão do alburno.</v>
      </c>
      <c r="BD445" s="13">
        <v>0.49199999999999999</v>
      </c>
      <c r="BE445" s="18">
        <f t="shared" si="85"/>
        <v>492</v>
      </c>
      <c r="BF445" s="8">
        <v>0.65300000000000002</v>
      </c>
      <c r="BG445" s="8">
        <v>0.22600000000000001</v>
      </c>
      <c r="BH445" s="8">
        <v>0.35899999999999999</v>
      </c>
      <c r="BI445" s="13">
        <f t="shared" si="75"/>
        <v>1.238</v>
      </c>
      <c r="BJ445" s="14">
        <v>52.7</v>
      </c>
      <c r="BK445" s="14">
        <v>18.2</v>
      </c>
      <c r="BL445" s="14">
        <v>29.1</v>
      </c>
      <c r="BM445" s="16">
        <f t="shared" si="76"/>
        <v>100</v>
      </c>
      <c r="BN445" s="21">
        <f t="shared" si="77"/>
        <v>3.21</v>
      </c>
      <c r="BO445" s="21">
        <f t="shared" si="78"/>
        <v>1.1100000000000001</v>
      </c>
      <c r="BP445" s="21">
        <f t="shared" si="79"/>
        <v>1.77</v>
      </c>
      <c r="BQ445" s="14">
        <f t="shared" si="80"/>
        <v>6.09</v>
      </c>
      <c r="BR445" s="22" t="str">
        <f>IF(OR(AND(X445="Mourões", BQ445&gt;=6.5),AND(X445="Postes", BQ445&gt;=9.6),AND(X445="Dormentes", BQ445&gt;=9.6),AND(X445="Estacas - Solo", BQ445&gt;=6.5),AND(X445="Estacas - Suspenso", BQ445&gt;=4),AND(X445="Cruzetas", BQ445&gt;=6.5),AND(X445="Outros - Solo", BQ445&gt;=6.5),AND(X445="Outros - Suspenso",BQ445&gt;=4),AND(X445="Deck",BQ445&gt;=4)),'Listas suspensas'!$C$21,'Listas suspensas'!$C$22)</f>
        <v>Os resultados da análise química apresentaram uma retenção do produto inferior ao padrão mínimo exigido pela norma ABNT NBR 16143</v>
      </c>
    </row>
    <row r="446" spans="2:70" x14ac:dyDescent="0.25">
      <c r="B446" s="8" t="s">
        <v>1094</v>
      </c>
      <c r="C446" s="8" t="s">
        <v>71</v>
      </c>
      <c r="F446" s="11">
        <v>45960</v>
      </c>
      <c r="G446" s="11">
        <v>45964</v>
      </c>
      <c r="H446" s="11">
        <v>45968</v>
      </c>
      <c r="I446" s="8" t="s">
        <v>521</v>
      </c>
      <c r="J446" s="8" t="s">
        <v>522</v>
      </c>
      <c r="K446" s="8" t="s">
        <v>523</v>
      </c>
      <c r="L446" s="8" t="s">
        <v>15</v>
      </c>
      <c r="M446" s="30" t="s">
        <v>524</v>
      </c>
      <c r="N446" s="8" t="s">
        <v>1165</v>
      </c>
      <c r="O446" s="8" t="s">
        <v>94</v>
      </c>
      <c r="P446" s="28" t="s">
        <v>77</v>
      </c>
      <c r="Q446" s="16" t="s">
        <v>1371</v>
      </c>
      <c r="X446" s="8" t="s">
        <v>79</v>
      </c>
      <c r="Y446" s="34">
        <f>IF(X446='Listas suspensas'!$A$21,'Listas suspensas'!$B$23,IF(X446='Listas suspensas'!$A$22,'Listas suspensas'!$B$23,IF(X446='Listas suspensas'!$A$23,'Listas suspensas'!$B$22,IF(X446='Listas suspensas'!$A$26,'Listas suspensas'!$B$22,IF(X446='Listas suspensas'!$A$32,'Listas suspensas'!$B$22,IF(X446='Listas suspensas'!$A$33,'Listas suspensas'!$B$21,IF(X446='Listas suspensas'!$A$24,'Listas suspensas'!$B$22,IF(X446='Listas suspensas'!$A$25,'Listas suspensas'!$B$21,IF(X446='Listas suspensas'!$A$30,'Listas suspensas'!$B$21,"")))))))))</f>
        <v>6.5</v>
      </c>
      <c r="Z446" s="8" t="s">
        <v>80</v>
      </c>
      <c r="AA446" s="8">
        <v>2</v>
      </c>
      <c r="AB446" s="8" t="str">
        <f>IF(AA446='Listas suspensas'!$A$2,'Listas suspensas'!$B$2,IF(AA446='Listas suspensas'!$A$3,'Listas suspensas'!$B$3,IF(AA446='Listas suspensas'!$A$4,'Listas suspensas'!$B$4,IF(AA446='Listas suspensas'!$A$5,'Listas suspensas'!$B$5,IF(AA446='Listas suspensas'!$A$6,'Listas suspensas'!$B$6,"")))))</f>
        <v>Profunda e irregular</v>
      </c>
      <c r="AC446" s="8" t="str">
        <f>IF(AA446='Listas suspensas'!$A$2,'Listas suspensas'!$C$2,IF(AA446='Listas suspensas'!$A$3,'Listas suspensas'!$C$3,IF(AA446='Listas suspensas'!$A$4,'Listas suspensas'!$C$4,IF(AA446='Listas suspensas'!$A$5,'Listas suspensas'!$C$5,IF(AA446='Listas suspensas'!$A$6,'Listas suspensas'!$C$6,"")))))</f>
        <v>Indica a penetração profunda, mas desuniforme em toda a extensão do alburno.</v>
      </c>
      <c r="BD446" s="13">
        <v>0.80900000000000005</v>
      </c>
      <c r="BE446" s="18">
        <f t="shared" si="85"/>
        <v>809</v>
      </c>
      <c r="BF446" s="8">
        <v>0.40799999999999997</v>
      </c>
      <c r="BG446" s="8">
        <v>0.16200000000000001</v>
      </c>
      <c r="BH446" s="8">
        <v>0.28599999999999998</v>
      </c>
      <c r="BI446" s="13">
        <f t="shared" si="75"/>
        <v>0.85599999999999987</v>
      </c>
      <c r="BJ446" s="14">
        <v>47.7</v>
      </c>
      <c r="BK446" s="14">
        <v>18.899999999999999</v>
      </c>
      <c r="BL446" s="14">
        <v>33.4</v>
      </c>
      <c r="BM446" s="16">
        <f t="shared" si="76"/>
        <v>100</v>
      </c>
      <c r="BN446" s="21">
        <f t="shared" si="77"/>
        <v>3.3</v>
      </c>
      <c r="BO446" s="21">
        <f t="shared" si="78"/>
        <v>1.31</v>
      </c>
      <c r="BP446" s="21">
        <f t="shared" si="79"/>
        <v>2.31</v>
      </c>
      <c r="BQ446" s="14">
        <f t="shared" si="80"/>
        <v>6.92</v>
      </c>
      <c r="BR446" s="22" t="str">
        <f>IF(OR(AND(X446="Mourões", BQ446&gt;=6.5),AND(X446="Postes", BQ446&gt;=9.6),AND(X446="Dormentes", BQ446&gt;=9.6),AND(X446="Estacas - Solo", BQ446&gt;=6.5),AND(X446="Estacas - Suspenso", BQ446&gt;=4),AND(X446="Cruzetas", BQ446&gt;=6.5),AND(X446="Outros - Solo", BQ446&gt;=6.5),AND(X446="Outros - Suspenso",BQ446&gt;=4),AND(X446="Deck",BQ446&gt;=4)),'Listas suspensas'!$C$21,'Listas suspensas'!$C$22)</f>
        <v>Os resultados da análise química apresentaram uma retenção do produto de acordo com o padrão mínimo exigido pela norma ABNT NBR 16143</v>
      </c>
    </row>
    <row r="447" spans="2:70" x14ac:dyDescent="0.25">
      <c r="B447" s="8" t="s">
        <v>1095</v>
      </c>
      <c r="C447" s="8" t="s">
        <v>71</v>
      </c>
      <c r="F447" s="11">
        <v>45960</v>
      </c>
      <c r="G447" s="11">
        <v>45964</v>
      </c>
      <c r="H447" s="11">
        <v>45968</v>
      </c>
      <c r="I447" s="8" t="s">
        <v>521</v>
      </c>
      <c r="J447" s="8" t="s">
        <v>522</v>
      </c>
      <c r="K447" s="8" t="s">
        <v>523</v>
      </c>
      <c r="L447" s="8" t="s">
        <v>15</v>
      </c>
      <c r="M447" s="30" t="s">
        <v>524</v>
      </c>
      <c r="N447" s="8" t="s">
        <v>1165</v>
      </c>
      <c r="O447" s="8" t="s">
        <v>94</v>
      </c>
      <c r="P447" s="28" t="s">
        <v>77</v>
      </c>
      <c r="Q447" s="16" t="s">
        <v>1372</v>
      </c>
      <c r="X447" s="8" t="s">
        <v>79</v>
      </c>
      <c r="Y447" s="34">
        <f>IF(X447='Listas suspensas'!$A$21,'Listas suspensas'!$B$23,IF(X447='Listas suspensas'!$A$22,'Listas suspensas'!$B$23,IF(X447='Listas suspensas'!$A$23,'Listas suspensas'!$B$22,IF(X447='Listas suspensas'!$A$26,'Listas suspensas'!$B$22,IF(X447='Listas suspensas'!$A$32,'Listas suspensas'!$B$22,IF(X447='Listas suspensas'!$A$33,'Listas suspensas'!$B$21,IF(X447='Listas suspensas'!$A$24,'Listas suspensas'!$B$22,IF(X447='Listas suspensas'!$A$25,'Listas suspensas'!$B$21,IF(X447='Listas suspensas'!$A$30,'Listas suspensas'!$B$21,"")))))))))</f>
        <v>6.5</v>
      </c>
      <c r="Z447" s="8" t="s">
        <v>80</v>
      </c>
      <c r="AA447" s="8">
        <v>2</v>
      </c>
      <c r="AB447" s="8" t="str">
        <f>IF(AA447='Listas suspensas'!$A$2,'Listas suspensas'!$B$2,IF(AA447='Listas suspensas'!$A$3,'Listas suspensas'!$B$3,IF(AA447='Listas suspensas'!$A$4,'Listas suspensas'!$B$4,IF(AA447='Listas suspensas'!$A$5,'Listas suspensas'!$B$5,IF(AA447='Listas suspensas'!$A$6,'Listas suspensas'!$B$6,"")))))</f>
        <v>Profunda e irregular</v>
      </c>
      <c r="AC447" s="8" t="str">
        <f>IF(AA447='Listas suspensas'!$A$2,'Listas suspensas'!$C$2,IF(AA447='Listas suspensas'!$A$3,'Listas suspensas'!$C$3,IF(AA447='Listas suspensas'!$A$4,'Listas suspensas'!$C$4,IF(AA447='Listas suspensas'!$A$5,'Listas suspensas'!$C$5,IF(AA447='Listas suspensas'!$A$6,'Listas suspensas'!$C$6,"")))))</f>
        <v>Indica a penetração profunda, mas desuniforme em toda a extensão do alburno.</v>
      </c>
      <c r="BD447" s="13">
        <v>0.77400000000000002</v>
      </c>
      <c r="BE447" s="18">
        <f t="shared" si="85"/>
        <v>774</v>
      </c>
      <c r="BF447" s="8">
        <v>0.57699999999999996</v>
      </c>
      <c r="BG447" s="8">
        <v>0.22600000000000001</v>
      </c>
      <c r="BH447" s="8">
        <v>0.42699999999999999</v>
      </c>
      <c r="BI447" s="13">
        <f t="shared" si="75"/>
        <v>1.23</v>
      </c>
      <c r="BJ447" s="14">
        <v>46.9</v>
      </c>
      <c r="BK447" s="14">
        <v>18.399999999999999</v>
      </c>
      <c r="BL447" s="14">
        <v>34.700000000000003</v>
      </c>
      <c r="BM447" s="16">
        <f t="shared" si="76"/>
        <v>100</v>
      </c>
      <c r="BN447" s="21">
        <f t="shared" si="77"/>
        <v>4.47</v>
      </c>
      <c r="BO447" s="21">
        <f t="shared" si="78"/>
        <v>1.75</v>
      </c>
      <c r="BP447" s="21">
        <f t="shared" si="79"/>
        <v>3.3</v>
      </c>
      <c r="BQ447" s="14">
        <f t="shared" si="80"/>
        <v>9.52</v>
      </c>
      <c r="BR447" s="22" t="str">
        <f>IF(OR(AND(X447="Mourões", BQ447&gt;=6.5),AND(X447="Postes", BQ447&gt;=9.6),AND(X447="Dormentes", BQ447&gt;=9.6),AND(X447="Estacas - Solo", BQ447&gt;=6.5),AND(X447="Estacas - Suspenso", BQ447&gt;=4),AND(X447="Cruzetas", BQ447&gt;=6.5),AND(X447="Outros - Solo", BQ447&gt;=6.5),AND(X447="Outros - Suspenso",BQ447&gt;=4),AND(X447="Deck",BQ447&gt;=4)),'Listas suspensas'!$C$21,'Listas suspensas'!$C$22)</f>
        <v>Os resultados da análise química apresentaram uma retenção do produto de acordo com o padrão mínimo exigido pela norma ABNT NBR 16143</v>
      </c>
    </row>
    <row r="448" spans="2:70" x14ac:dyDescent="0.25">
      <c r="B448" s="8" t="s">
        <v>1096</v>
      </c>
      <c r="C448" s="8" t="s">
        <v>71</v>
      </c>
      <c r="F448" s="11">
        <v>45960</v>
      </c>
      <c r="G448" s="11">
        <v>45964</v>
      </c>
      <c r="H448" s="11">
        <v>45968</v>
      </c>
      <c r="I448" s="8" t="s">
        <v>521</v>
      </c>
      <c r="J448" s="8" t="s">
        <v>522</v>
      </c>
      <c r="K448" s="8" t="s">
        <v>523</v>
      </c>
      <c r="L448" s="8" t="s">
        <v>15</v>
      </c>
      <c r="M448" s="30" t="s">
        <v>524</v>
      </c>
      <c r="N448" s="8" t="s">
        <v>1165</v>
      </c>
      <c r="O448" s="8" t="s">
        <v>94</v>
      </c>
      <c r="P448" s="28" t="s">
        <v>77</v>
      </c>
      <c r="Q448" s="16" t="s">
        <v>1373</v>
      </c>
      <c r="X448" s="8" t="s">
        <v>79</v>
      </c>
      <c r="Y448" s="34">
        <f>IF(X448='Listas suspensas'!$A$21,'Listas suspensas'!$B$23,IF(X448='Listas suspensas'!$A$22,'Listas suspensas'!$B$23,IF(X448='Listas suspensas'!$A$23,'Listas suspensas'!$B$22,IF(X448='Listas suspensas'!$A$26,'Listas suspensas'!$B$22,IF(X448='Listas suspensas'!$A$32,'Listas suspensas'!$B$22,IF(X448='Listas suspensas'!$A$33,'Listas suspensas'!$B$21,IF(X448='Listas suspensas'!$A$24,'Listas suspensas'!$B$22,IF(X448='Listas suspensas'!$A$25,'Listas suspensas'!$B$21,IF(X448='Listas suspensas'!$A$30,'Listas suspensas'!$B$21,"")))))))))</f>
        <v>6.5</v>
      </c>
      <c r="Z448" s="8" t="s">
        <v>80</v>
      </c>
      <c r="AA448" s="8">
        <v>2</v>
      </c>
      <c r="AB448" s="8" t="str">
        <f>IF(AA448='Listas suspensas'!$A$2,'Listas suspensas'!$B$2,IF(AA448='Listas suspensas'!$A$3,'Listas suspensas'!$B$3,IF(AA448='Listas suspensas'!$A$4,'Listas suspensas'!$B$4,IF(AA448='Listas suspensas'!$A$5,'Listas suspensas'!$B$5,IF(AA448='Listas suspensas'!$A$6,'Listas suspensas'!$B$6,"")))))</f>
        <v>Profunda e irregular</v>
      </c>
      <c r="AC448" s="8" t="str">
        <f>IF(AA448='Listas suspensas'!$A$2,'Listas suspensas'!$C$2,IF(AA448='Listas suspensas'!$A$3,'Listas suspensas'!$C$3,IF(AA448='Listas suspensas'!$A$4,'Listas suspensas'!$C$4,IF(AA448='Listas suspensas'!$A$5,'Listas suspensas'!$C$5,IF(AA448='Listas suspensas'!$A$6,'Listas suspensas'!$C$6,"")))))</f>
        <v>Indica a penetração profunda, mas desuniforme em toda a extensão do alburno.</v>
      </c>
      <c r="BD448" s="13">
        <v>0.73199999999999998</v>
      </c>
      <c r="BE448" s="18">
        <f t="shared" si="85"/>
        <v>732</v>
      </c>
      <c r="BF448" s="8">
        <v>0.55500000000000005</v>
      </c>
      <c r="BG448" s="8">
        <v>0.188</v>
      </c>
      <c r="BH448" s="8">
        <v>0.32600000000000001</v>
      </c>
      <c r="BI448" s="13">
        <f t="shared" si="75"/>
        <v>1.0690000000000002</v>
      </c>
      <c r="BJ448" s="14">
        <v>52</v>
      </c>
      <c r="BK448" s="14">
        <v>17.600000000000001</v>
      </c>
      <c r="BL448" s="14">
        <v>30.4</v>
      </c>
      <c r="BM448" s="16">
        <f t="shared" si="76"/>
        <v>100</v>
      </c>
      <c r="BN448" s="21">
        <f t="shared" si="77"/>
        <v>4.0599999999999996</v>
      </c>
      <c r="BO448" s="21">
        <f t="shared" si="78"/>
        <v>1.38</v>
      </c>
      <c r="BP448" s="21">
        <f t="shared" si="79"/>
        <v>2.39</v>
      </c>
      <c r="BQ448" s="14">
        <f t="shared" si="80"/>
        <v>7.83</v>
      </c>
      <c r="BR448" s="22" t="str">
        <f>IF(OR(AND(X448="Mourões", BQ448&gt;=6.5),AND(X448="Postes", BQ448&gt;=9.6),AND(X448="Dormentes", BQ448&gt;=9.6),AND(X448="Estacas - Solo", BQ448&gt;=6.5),AND(X448="Estacas - Suspenso", BQ448&gt;=4),AND(X448="Cruzetas", BQ448&gt;=6.5),AND(X448="Outros - Solo", BQ448&gt;=6.5),AND(X448="Outros - Suspenso",BQ448&gt;=4),AND(X448="Deck",BQ448&gt;=4)),'Listas suspensas'!$C$21,'Listas suspensas'!$C$22)</f>
        <v>Os resultados da análise química apresentaram uma retenção do produto de acordo com o padrão mínimo exigido pela norma ABNT NBR 16143</v>
      </c>
    </row>
    <row r="449" spans="2:70" x14ac:dyDescent="0.25">
      <c r="B449" s="8" t="s">
        <v>1097</v>
      </c>
      <c r="C449" s="8" t="s">
        <v>71</v>
      </c>
      <c r="F449" s="11">
        <v>45960</v>
      </c>
      <c r="G449" s="11">
        <v>45964</v>
      </c>
      <c r="H449" s="11">
        <v>45968</v>
      </c>
      <c r="I449" s="8" t="s">
        <v>521</v>
      </c>
      <c r="J449" s="8" t="s">
        <v>522</v>
      </c>
      <c r="K449" s="8" t="s">
        <v>523</v>
      </c>
      <c r="L449" s="8" t="s">
        <v>15</v>
      </c>
      <c r="M449" s="30" t="s">
        <v>524</v>
      </c>
      <c r="N449" s="8" t="s">
        <v>1165</v>
      </c>
      <c r="O449" s="8" t="s">
        <v>94</v>
      </c>
      <c r="P449" s="28" t="s">
        <v>77</v>
      </c>
      <c r="Q449" s="16" t="s">
        <v>1374</v>
      </c>
      <c r="X449" s="8" t="s">
        <v>79</v>
      </c>
      <c r="Y449" s="34">
        <f>IF(X449='Listas suspensas'!$A$21,'Listas suspensas'!$B$23,IF(X449='Listas suspensas'!$A$22,'Listas suspensas'!$B$23,IF(X449='Listas suspensas'!$A$23,'Listas suspensas'!$B$22,IF(X449='Listas suspensas'!$A$26,'Listas suspensas'!$B$22,IF(X449='Listas suspensas'!$A$32,'Listas suspensas'!$B$22,IF(X449='Listas suspensas'!$A$33,'Listas suspensas'!$B$21,IF(X449='Listas suspensas'!$A$24,'Listas suspensas'!$B$22,IF(X449='Listas suspensas'!$A$25,'Listas suspensas'!$B$21,IF(X449='Listas suspensas'!$A$30,'Listas suspensas'!$B$21,"")))))))))</f>
        <v>6.5</v>
      </c>
      <c r="Z449" s="8" t="s">
        <v>80</v>
      </c>
      <c r="AA449" s="8">
        <v>3</v>
      </c>
      <c r="AB449" s="8" t="str">
        <f>IF(AA449='Listas suspensas'!$A$2,'Listas suspensas'!$B$2,IF(AA449='Listas suspensas'!$A$3,'Listas suspensas'!$B$3,IF(AA449='Listas suspensas'!$A$4,'Listas suspensas'!$B$4,IF(AA449='Listas suspensas'!$A$5,'Listas suspensas'!$B$5,IF(AA449='Listas suspensas'!$A$6,'Listas suspensas'!$B$6,"")))))</f>
        <v xml:space="preserve"> Parcial e regular</v>
      </c>
      <c r="AC449" s="8" t="str">
        <f>IF(AA449='Listas suspensas'!$A$2,'Listas suspensas'!$C$2,IF(AA449='Listas suspensas'!$A$3,'Listas suspensas'!$C$3,IF(AA449='Listas suspensas'!$A$4,'Listas suspensas'!$C$4,IF(AA449='Listas suspensas'!$A$5,'Listas suspensas'!$C$5,IF(AA449='Listas suspensas'!$A$6,'Listas suspensas'!$C$6,"")))))</f>
        <v>Indica a penetração uniforme, mas não total pela extensão do alburno.</v>
      </c>
      <c r="BD449" s="13">
        <v>0.748</v>
      </c>
      <c r="BE449" s="18">
        <f t="shared" si="85"/>
        <v>748</v>
      </c>
      <c r="BF449" s="8">
        <v>0.41099999999999998</v>
      </c>
      <c r="BG449" s="8">
        <v>0.159</v>
      </c>
      <c r="BH449" s="8">
        <v>0.29099999999999998</v>
      </c>
      <c r="BI449" s="13">
        <f t="shared" si="75"/>
        <v>0.86099999999999999</v>
      </c>
      <c r="BJ449" s="14">
        <v>47.7</v>
      </c>
      <c r="BK449" s="14">
        <v>18.5</v>
      </c>
      <c r="BL449" s="14">
        <v>33.799999999999997</v>
      </c>
      <c r="BM449" s="16">
        <f t="shared" si="76"/>
        <v>100</v>
      </c>
      <c r="BN449" s="21">
        <f t="shared" si="77"/>
        <v>3.07</v>
      </c>
      <c r="BO449" s="21">
        <f t="shared" si="78"/>
        <v>1.19</v>
      </c>
      <c r="BP449" s="21">
        <f t="shared" si="79"/>
        <v>2.1800000000000002</v>
      </c>
      <c r="BQ449" s="14">
        <f t="shared" si="80"/>
        <v>6.44</v>
      </c>
      <c r="BR449" s="22" t="str">
        <f>IF(OR(AND(X449="Mourões", BQ449&gt;=6.5),AND(X449="Postes", BQ449&gt;=9.6),AND(X449="Dormentes", BQ449&gt;=9.6),AND(X449="Estacas - Solo", BQ449&gt;=6.5),AND(X449="Estacas - Suspenso", BQ449&gt;=4),AND(X449="Cruzetas", BQ449&gt;=6.5),AND(X449="Outros - Solo", BQ449&gt;=6.5),AND(X449="Outros - Suspenso",BQ449&gt;=4),AND(X449="Deck",BQ449&gt;=4)),'Listas suspensas'!$C$21,'Listas suspensas'!$C$22)</f>
        <v>Os resultados da análise química apresentaram uma retenção do produto inferior ao padrão mínimo exigido pela norma ABNT NBR 16143</v>
      </c>
    </row>
    <row r="450" spans="2:70" x14ac:dyDescent="0.25">
      <c r="B450" s="8" t="s">
        <v>1098</v>
      </c>
      <c r="C450" s="8" t="s">
        <v>71</v>
      </c>
      <c r="F450" s="11">
        <v>45960</v>
      </c>
      <c r="G450" s="11">
        <v>45964</v>
      </c>
      <c r="H450" s="11">
        <v>45968</v>
      </c>
      <c r="I450" s="8" t="s">
        <v>521</v>
      </c>
      <c r="J450" s="8" t="s">
        <v>522</v>
      </c>
      <c r="K450" s="8" t="s">
        <v>523</v>
      </c>
      <c r="L450" s="8" t="s">
        <v>15</v>
      </c>
      <c r="M450" s="30" t="s">
        <v>524</v>
      </c>
      <c r="N450" s="8" t="s">
        <v>1165</v>
      </c>
      <c r="O450" s="8" t="s">
        <v>94</v>
      </c>
      <c r="P450" s="28" t="s">
        <v>77</v>
      </c>
      <c r="Q450" s="16" t="s">
        <v>1375</v>
      </c>
      <c r="X450" s="8" t="s">
        <v>79</v>
      </c>
      <c r="Y450" s="34">
        <f>IF(X450='Listas suspensas'!$A$21,'Listas suspensas'!$B$23,IF(X450='Listas suspensas'!$A$22,'Listas suspensas'!$B$23,IF(X450='Listas suspensas'!$A$23,'Listas suspensas'!$B$22,IF(X450='Listas suspensas'!$A$26,'Listas suspensas'!$B$22,IF(X450='Listas suspensas'!$A$32,'Listas suspensas'!$B$22,IF(X450='Listas suspensas'!$A$33,'Listas suspensas'!$B$21,IF(X450='Listas suspensas'!$A$24,'Listas suspensas'!$B$22,IF(X450='Listas suspensas'!$A$25,'Listas suspensas'!$B$21,IF(X450='Listas suspensas'!$A$30,'Listas suspensas'!$B$21,"")))))))))</f>
        <v>6.5</v>
      </c>
      <c r="Z450" s="8" t="s">
        <v>80</v>
      </c>
      <c r="AA450" s="8">
        <v>1</v>
      </c>
      <c r="AB450" s="8" t="str">
        <f>IF(AA450='Listas suspensas'!$A$2,'Listas suspensas'!$B$2,IF(AA450='Listas suspensas'!$A$3,'Listas suspensas'!$B$3,IF(AA450='Listas suspensas'!$A$4,'Listas suspensas'!$B$4,IF(AA450='Listas suspensas'!$A$5,'Listas suspensas'!$B$5,IF(AA450='Listas suspensas'!$A$6,'Listas suspensas'!$B$6,"")))))</f>
        <v>Profunda e regular</v>
      </c>
      <c r="AC450" s="8" t="str">
        <f>IF(AA450='Listas suspensas'!$A$2,'Listas suspensas'!$C$2,IF(AA450='Listas suspensas'!$A$3,'Listas suspensas'!$C$3,IF(AA450='Listas suspensas'!$A$4,'Listas suspensas'!$C$4,IF(AA450='Listas suspensas'!$A$5,'Listas suspensas'!$C$5,IF(AA450='Listas suspensas'!$A$6,'Listas suspensas'!$C$6,"")))))</f>
        <v>Indica a penetração profunda e uniforme em toda a extensão do alburno.</v>
      </c>
      <c r="BD450" s="13">
        <v>0.65300000000000002</v>
      </c>
      <c r="BE450" s="18">
        <f t="shared" si="85"/>
        <v>653</v>
      </c>
      <c r="BF450" s="8">
        <v>0.496</v>
      </c>
      <c r="BG450" s="8">
        <v>0.25800000000000001</v>
      </c>
      <c r="BH450" s="8">
        <v>0.53</v>
      </c>
      <c r="BI450" s="13">
        <f t="shared" ref="BI450:BI513" si="86">SUM(BF450:BH450)</f>
        <v>1.284</v>
      </c>
      <c r="BJ450" s="14">
        <v>38.6</v>
      </c>
      <c r="BK450" s="14">
        <v>20.100000000000001</v>
      </c>
      <c r="BL450" s="14">
        <v>41.3</v>
      </c>
      <c r="BM450" s="16">
        <f t="shared" si="76"/>
        <v>100</v>
      </c>
      <c r="BN450" s="21">
        <f t="shared" si="77"/>
        <v>3.24</v>
      </c>
      <c r="BO450" s="21">
        <f t="shared" si="78"/>
        <v>1.68</v>
      </c>
      <c r="BP450" s="21">
        <f t="shared" si="79"/>
        <v>3.46</v>
      </c>
      <c r="BQ450" s="14">
        <f t="shared" si="80"/>
        <v>8.3800000000000008</v>
      </c>
      <c r="BR450" s="22" t="str">
        <f>IF(OR(AND(X450="Mourões", BQ450&gt;=6.5),AND(X450="Postes", BQ450&gt;=9.6),AND(X450="Dormentes", BQ450&gt;=9.6),AND(X450="Estacas - Solo", BQ450&gt;=6.5),AND(X450="Estacas - Suspenso", BQ450&gt;=4),AND(X450="Cruzetas", BQ450&gt;=6.5),AND(X450="Outros - Solo", BQ450&gt;=6.5),AND(X450="Outros - Suspenso",BQ450&gt;=4),AND(X450="Deck",BQ450&gt;=4)),'Listas suspensas'!$C$21,'Listas suspensas'!$C$22)</f>
        <v>Os resultados da análise química apresentaram uma retenção do produto de acordo com o padrão mínimo exigido pela norma ABNT NBR 16143</v>
      </c>
    </row>
    <row r="451" spans="2:70" x14ac:dyDescent="0.25">
      <c r="B451" s="8" t="s">
        <v>1099</v>
      </c>
      <c r="C451" s="8" t="s">
        <v>71</v>
      </c>
      <c r="F451" s="11">
        <v>45960</v>
      </c>
      <c r="G451" s="11">
        <v>45964</v>
      </c>
      <c r="H451" s="11">
        <v>45968</v>
      </c>
      <c r="I451" s="8" t="s">
        <v>521</v>
      </c>
      <c r="J451" s="8" t="s">
        <v>522</v>
      </c>
      <c r="K451" s="8" t="s">
        <v>523</v>
      </c>
      <c r="L451" s="8" t="s">
        <v>15</v>
      </c>
      <c r="M451" s="30" t="s">
        <v>524</v>
      </c>
      <c r="N451" s="8" t="s">
        <v>1165</v>
      </c>
      <c r="O451" s="8" t="s">
        <v>94</v>
      </c>
      <c r="P451" s="28" t="s">
        <v>77</v>
      </c>
      <c r="Q451" s="16" t="s">
        <v>1376</v>
      </c>
      <c r="X451" s="8" t="s">
        <v>79</v>
      </c>
      <c r="Y451" s="34">
        <f>IF(X451='Listas suspensas'!$A$21,'Listas suspensas'!$B$23,IF(X451='Listas suspensas'!$A$22,'Listas suspensas'!$B$23,IF(X451='Listas suspensas'!$A$23,'Listas suspensas'!$B$22,IF(X451='Listas suspensas'!$A$26,'Listas suspensas'!$B$22,IF(X451='Listas suspensas'!$A$32,'Listas suspensas'!$B$22,IF(X451='Listas suspensas'!$A$33,'Listas suspensas'!$B$21,IF(X451='Listas suspensas'!$A$24,'Listas suspensas'!$B$22,IF(X451='Listas suspensas'!$A$25,'Listas suspensas'!$B$21,IF(X451='Listas suspensas'!$A$30,'Listas suspensas'!$B$21,"")))))))))</f>
        <v>6.5</v>
      </c>
      <c r="Z451" s="8" t="s">
        <v>80</v>
      </c>
      <c r="AA451" s="8">
        <v>2</v>
      </c>
      <c r="AB451" s="8" t="str">
        <f>IF(AA451='Listas suspensas'!$A$2,'Listas suspensas'!$B$2,IF(AA451='Listas suspensas'!$A$3,'Listas suspensas'!$B$3,IF(AA451='Listas suspensas'!$A$4,'Listas suspensas'!$B$4,IF(AA451='Listas suspensas'!$A$5,'Listas suspensas'!$B$5,IF(AA451='Listas suspensas'!$A$6,'Listas suspensas'!$B$6,"")))))</f>
        <v>Profunda e irregular</v>
      </c>
      <c r="AC451" s="8" t="str">
        <f>IF(AA451='Listas suspensas'!$A$2,'Listas suspensas'!$C$2,IF(AA451='Listas suspensas'!$A$3,'Listas suspensas'!$C$3,IF(AA451='Listas suspensas'!$A$4,'Listas suspensas'!$C$4,IF(AA451='Listas suspensas'!$A$5,'Listas suspensas'!$C$5,IF(AA451='Listas suspensas'!$A$6,'Listas suspensas'!$C$6,"")))))</f>
        <v>Indica a penetração profunda, mas desuniforme em toda a extensão do alburno.</v>
      </c>
      <c r="BD451" s="13">
        <v>0.84799999999999998</v>
      </c>
      <c r="BE451" s="18">
        <f t="shared" si="85"/>
        <v>848</v>
      </c>
      <c r="BF451" s="8">
        <v>0.35699999999999998</v>
      </c>
      <c r="BG451" s="8">
        <v>0.16600000000000001</v>
      </c>
      <c r="BH451" s="8">
        <v>0.31900000000000001</v>
      </c>
      <c r="BI451" s="13">
        <f t="shared" si="86"/>
        <v>0.84200000000000008</v>
      </c>
      <c r="BJ451" s="14">
        <v>42.4</v>
      </c>
      <c r="BK451" s="14">
        <v>19.7</v>
      </c>
      <c r="BL451" s="14">
        <v>37.9</v>
      </c>
      <c r="BM451" s="16">
        <f t="shared" si="76"/>
        <v>100</v>
      </c>
      <c r="BN451" s="21">
        <f t="shared" si="77"/>
        <v>3.03</v>
      </c>
      <c r="BO451" s="21">
        <f t="shared" si="78"/>
        <v>1.41</v>
      </c>
      <c r="BP451" s="21">
        <f t="shared" si="79"/>
        <v>2.71</v>
      </c>
      <c r="BQ451" s="14">
        <f t="shared" si="80"/>
        <v>7.15</v>
      </c>
      <c r="BR451" s="22" t="str">
        <f>IF(OR(AND(X451="Mourões", BQ451&gt;=6.5),AND(X451="Postes", BQ451&gt;=9.6),AND(X451="Dormentes", BQ451&gt;=9.6),AND(X451="Estacas - Solo", BQ451&gt;=6.5),AND(X451="Estacas - Suspenso", BQ451&gt;=4),AND(X451="Cruzetas", BQ451&gt;=6.5),AND(X451="Outros - Solo", BQ451&gt;=6.5),AND(X451="Outros - Suspenso",BQ451&gt;=4),AND(X451="Deck",BQ451&gt;=4)),'Listas suspensas'!$C$21,'Listas suspensas'!$C$22)</f>
        <v>Os resultados da análise química apresentaram uma retenção do produto de acordo com o padrão mínimo exigido pela norma ABNT NBR 16143</v>
      </c>
    </row>
    <row r="452" spans="2:70" x14ac:dyDescent="0.25">
      <c r="B452" s="8" t="s">
        <v>1100</v>
      </c>
      <c r="C452" s="8" t="s">
        <v>71</v>
      </c>
      <c r="F452" s="11">
        <v>45960</v>
      </c>
      <c r="G452" s="11">
        <v>45964</v>
      </c>
      <c r="H452" s="11">
        <v>45968</v>
      </c>
      <c r="I452" s="8" t="s">
        <v>521</v>
      </c>
      <c r="J452" s="8" t="s">
        <v>522</v>
      </c>
      <c r="K452" s="8" t="s">
        <v>523</v>
      </c>
      <c r="L452" s="8" t="s">
        <v>15</v>
      </c>
      <c r="M452" s="30" t="s">
        <v>524</v>
      </c>
      <c r="N452" s="8" t="s">
        <v>1165</v>
      </c>
      <c r="O452" s="8" t="s">
        <v>94</v>
      </c>
      <c r="P452" s="28" t="s">
        <v>77</v>
      </c>
      <c r="Q452" s="16" t="s">
        <v>1377</v>
      </c>
      <c r="X452" s="8" t="s">
        <v>79</v>
      </c>
      <c r="Y452" s="34">
        <f>IF(X452='Listas suspensas'!$A$21,'Listas suspensas'!$B$23,IF(X452='Listas suspensas'!$A$22,'Listas suspensas'!$B$23,IF(X452='Listas suspensas'!$A$23,'Listas suspensas'!$B$22,IF(X452='Listas suspensas'!$A$26,'Listas suspensas'!$B$22,IF(X452='Listas suspensas'!$A$32,'Listas suspensas'!$B$22,IF(X452='Listas suspensas'!$A$33,'Listas suspensas'!$B$21,IF(X452='Listas suspensas'!$A$24,'Listas suspensas'!$B$22,IF(X452='Listas suspensas'!$A$25,'Listas suspensas'!$B$21,IF(X452='Listas suspensas'!$A$30,'Listas suspensas'!$B$21,"")))))))))</f>
        <v>6.5</v>
      </c>
      <c r="Z452" s="8" t="s">
        <v>80</v>
      </c>
      <c r="AA452" s="8">
        <v>2</v>
      </c>
      <c r="AB452" s="8" t="str">
        <f>IF(AA452='Listas suspensas'!$A$2,'Listas suspensas'!$B$2,IF(AA452='Listas suspensas'!$A$3,'Listas suspensas'!$B$3,IF(AA452='Listas suspensas'!$A$4,'Listas suspensas'!$B$4,IF(AA452='Listas suspensas'!$A$5,'Listas suspensas'!$B$5,IF(AA452='Listas suspensas'!$A$6,'Listas suspensas'!$B$6,"")))))</f>
        <v>Profunda e irregular</v>
      </c>
      <c r="AC452" s="8" t="str">
        <f>IF(AA452='Listas suspensas'!$A$2,'Listas suspensas'!$C$2,IF(AA452='Listas suspensas'!$A$3,'Listas suspensas'!$C$3,IF(AA452='Listas suspensas'!$A$4,'Listas suspensas'!$C$4,IF(AA452='Listas suspensas'!$A$5,'Listas suspensas'!$C$5,IF(AA452='Listas suspensas'!$A$6,'Listas suspensas'!$C$6,"")))))</f>
        <v>Indica a penetração profunda, mas desuniforme em toda a extensão do alburno.</v>
      </c>
      <c r="BD452" s="13">
        <v>0.88900000000000001</v>
      </c>
      <c r="BE452" s="18">
        <f t="shared" si="85"/>
        <v>889</v>
      </c>
      <c r="BF452" s="8">
        <v>0.32800000000000001</v>
      </c>
      <c r="BG452" s="8">
        <v>0.14299999999999999</v>
      </c>
      <c r="BH452" s="8">
        <v>0.26500000000000001</v>
      </c>
      <c r="BI452" s="13">
        <f t="shared" si="86"/>
        <v>0.73599999999999999</v>
      </c>
      <c r="BJ452" s="14">
        <v>44.6</v>
      </c>
      <c r="BK452" s="14">
        <v>19.399999999999999</v>
      </c>
      <c r="BL452" s="14">
        <v>36</v>
      </c>
      <c r="BM452" s="16">
        <f t="shared" si="76"/>
        <v>100</v>
      </c>
      <c r="BN452" s="21">
        <f t="shared" si="77"/>
        <v>2.92</v>
      </c>
      <c r="BO452" s="21">
        <f t="shared" si="78"/>
        <v>1.27</v>
      </c>
      <c r="BP452" s="21">
        <f t="shared" si="79"/>
        <v>2.36</v>
      </c>
      <c r="BQ452" s="14">
        <f t="shared" si="80"/>
        <v>6.55</v>
      </c>
      <c r="BR452" s="22" t="str">
        <f>IF(OR(AND(X452="Mourões", BQ452&gt;=6.5),AND(X452="Postes", BQ452&gt;=9.6),AND(X452="Dormentes", BQ452&gt;=9.6),AND(X452="Estacas - Solo", BQ452&gt;=6.5),AND(X452="Estacas - Suspenso", BQ452&gt;=4),AND(X452="Cruzetas", BQ452&gt;=6.5),AND(X452="Outros - Solo", BQ452&gt;=6.5),AND(X452="Outros - Suspenso",BQ452&gt;=4),AND(X452="Deck",BQ452&gt;=4)),'Listas suspensas'!$C$21,'Listas suspensas'!$C$22)</f>
        <v>Os resultados da análise química apresentaram uma retenção do produto de acordo com o padrão mínimo exigido pela norma ABNT NBR 16143</v>
      </c>
    </row>
    <row r="453" spans="2:70" x14ac:dyDescent="0.25">
      <c r="B453" s="8" t="s">
        <v>1101</v>
      </c>
      <c r="C453" s="8" t="s">
        <v>71</v>
      </c>
      <c r="F453" s="11">
        <v>45960</v>
      </c>
      <c r="G453" s="11">
        <v>45964</v>
      </c>
      <c r="H453" s="11">
        <v>45968</v>
      </c>
      <c r="I453" s="8" t="s">
        <v>521</v>
      </c>
      <c r="J453" s="8" t="s">
        <v>522</v>
      </c>
      <c r="K453" s="8" t="s">
        <v>523</v>
      </c>
      <c r="L453" s="8" t="s">
        <v>15</v>
      </c>
      <c r="M453" s="30" t="s">
        <v>524</v>
      </c>
      <c r="N453" s="8" t="s">
        <v>1165</v>
      </c>
      <c r="O453" s="8" t="s">
        <v>94</v>
      </c>
      <c r="P453" s="28" t="s">
        <v>77</v>
      </c>
      <c r="Q453" s="16" t="s">
        <v>1378</v>
      </c>
      <c r="X453" s="8" t="s">
        <v>79</v>
      </c>
      <c r="Y453" s="34">
        <f>IF(X453='Listas suspensas'!$A$21,'Listas suspensas'!$B$23,IF(X453='Listas suspensas'!$A$22,'Listas suspensas'!$B$23,IF(X453='Listas suspensas'!$A$23,'Listas suspensas'!$B$22,IF(X453='Listas suspensas'!$A$26,'Listas suspensas'!$B$22,IF(X453='Listas suspensas'!$A$32,'Listas suspensas'!$B$22,IF(X453='Listas suspensas'!$A$33,'Listas suspensas'!$B$21,IF(X453='Listas suspensas'!$A$24,'Listas suspensas'!$B$22,IF(X453='Listas suspensas'!$A$25,'Listas suspensas'!$B$21,IF(X453='Listas suspensas'!$A$30,'Listas suspensas'!$B$21,"")))))))))</f>
        <v>6.5</v>
      </c>
      <c r="Z453" s="8" t="s">
        <v>80</v>
      </c>
      <c r="AA453" s="8">
        <v>2</v>
      </c>
      <c r="AB453" s="8" t="str">
        <f>IF(AA453='Listas suspensas'!$A$2,'Listas suspensas'!$B$2,IF(AA453='Listas suspensas'!$A$3,'Listas suspensas'!$B$3,IF(AA453='Listas suspensas'!$A$4,'Listas suspensas'!$B$4,IF(AA453='Listas suspensas'!$A$5,'Listas suspensas'!$B$5,IF(AA453='Listas suspensas'!$A$6,'Listas suspensas'!$B$6,"")))))</f>
        <v>Profunda e irregular</v>
      </c>
      <c r="AC453" s="8" t="str">
        <f>IF(AA453='Listas suspensas'!$A$2,'Listas suspensas'!$C$2,IF(AA453='Listas suspensas'!$A$3,'Listas suspensas'!$C$3,IF(AA453='Listas suspensas'!$A$4,'Listas suspensas'!$C$4,IF(AA453='Listas suspensas'!$A$5,'Listas suspensas'!$C$5,IF(AA453='Listas suspensas'!$A$6,'Listas suspensas'!$C$6,"")))))</f>
        <v>Indica a penetração profunda, mas desuniforme em toda a extensão do alburno.</v>
      </c>
      <c r="BD453" s="13">
        <v>0.62</v>
      </c>
      <c r="BE453" s="18">
        <f t="shared" si="85"/>
        <v>620</v>
      </c>
      <c r="BF453" s="8">
        <v>0.58099999999999996</v>
      </c>
      <c r="BG453" s="8">
        <v>0.252</v>
      </c>
      <c r="BH453" s="8">
        <v>0.44800000000000001</v>
      </c>
      <c r="BI453" s="13">
        <f t="shared" si="86"/>
        <v>1.2809999999999999</v>
      </c>
      <c r="BJ453" s="14">
        <v>45.4</v>
      </c>
      <c r="BK453" s="14">
        <v>19.7</v>
      </c>
      <c r="BL453" s="14">
        <v>34.9</v>
      </c>
      <c r="BM453" s="16">
        <f t="shared" si="76"/>
        <v>100</v>
      </c>
      <c r="BN453" s="21">
        <f t="shared" si="77"/>
        <v>3.6</v>
      </c>
      <c r="BO453" s="21">
        <f t="shared" si="78"/>
        <v>1.56</v>
      </c>
      <c r="BP453" s="21">
        <f t="shared" si="79"/>
        <v>2.78</v>
      </c>
      <c r="BQ453" s="14">
        <f t="shared" si="80"/>
        <v>7.94</v>
      </c>
      <c r="BR453" s="22" t="str">
        <f>IF(OR(AND(X453="Mourões", BQ453&gt;=6.5),AND(X453="Postes", BQ453&gt;=9.6),AND(X453="Dormentes", BQ453&gt;=9.6),AND(X453="Estacas - Solo", BQ453&gt;=6.5),AND(X453="Estacas - Suspenso", BQ453&gt;=4),AND(X453="Cruzetas", BQ453&gt;=6.5),AND(X453="Outros - Solo", BQ453&gt;=6.5),AND(X453="Outros - Suspenso",BQ453&gt;=4),AND(X453="Deck",BQ453&gt;=4)),'Listas suspensas'!$C$21,'Listas suspensas'!$C$22)</f>
        <v>Os resultados da análise química apresentaram uma retenção do produto de acordo com o padrão mínimo exigido pela norma ABNT NBR 16143</v>
      </c>
    </row>
    <row r="454" spans="2:70" x14ac:dyDescent="0.25">
      <c r="B454" s="8" t="s">
        <v>1102</v>
      </c>
      <c r="C454" s="8" t="s">
        <v>71</v>
      </c>
      <c r="F454" s="11">
        <v>45960</v>
      </c>
      <c r="G454" s="11">
        <v>45964</v>
      </c>
      <c r="H454" s="11">
        <v>45968</v>
      </c>
      <c r="I454" s="8" t="s">
        <v>521</v>
      </c>
      <c r="J454" s="8" t="s">
        <v>522</v>
      </c>
      <c r="K454" s="8" t="s">
        <v>523</v>
      </c>
      <c r="L454" s="8" t="s">
        <v>15</v>
      </c>
      <c r="M454" s="30" t="s">
        <v>524</v>
      </c>
      <c r="N454" s="8" t="s">
        <v>1165</v>
      </c>
      <c r="O454" s="8" t="s">
        <v>94</v>
      </c>
      <c r="P454" s="28" t="s">
        <v>77</v>
      </c>
      <c r="Q454" s="16" t="s">
        <v>1379</v>
      </c>
      <c r="X454" s="8" t="s">
        <v>79</v>
      </c>
      <c r="Y454" s="34">
        <f>IF(X454='Listas suspensas'!$A$21,'Listas suspensas'!$B$23,IF(X454='Listas suspensas'!$A$22,'Listas suspensas'!$B$23,IF(X454='Listas suspensas'!$A$23,'Listas suspensas'!$B$22,IF(X454='Listas suspensas'!$A$26,'Listas suspensas'!$B$22,IF(X454='Listas suspensas'!$A$32,'Listas suspensas'!$B$22,IF(X454='Listas suspensas'!$A$33,'Listas suspensas'!$B$21,IF(X454='Listas suspensas'!$A$24,'Listas suspensas'!$B$22,IF(X454='Listas suspensas'!$A$25,'Listas suspensas'!$B$21,IF(X454='Listas suspensas'!$A$30,'Listas suspensas'!$B$21,"")))))))))</f>
        <v>6.5</v>
      </c>
      <c r="Z454" s="8" t="s">
        <v>80</v>
      </c>
      <c r="AA454" s="8">
        <v>2</v>
      </c>
      <c r="AB454" s="8" t="str">
        <f>IF(AA454='Listas suspensas'!$A$2,'Listas suspensas'!$B$2,IF(AA454='Listas suspensas'!$A$3,'Listas suspensas'!$B$3,IF(AA454='Listas suspensas'!$A$4,'Listas suspensas'!$B$4,IF(AA454='Listas suspensas'!$A$5,'Listas suspensas'!$B$5,IF(AA454='Listas suspensas'!$A$6,'Listas suspensas'!$B$6,"")))))</f>
        <v>Profunda e irregular</v>
      </c>
      <c r="AC454" s="8" t="str">
        <f>IF(AA454='Listas suspensas'!$A$2,'Listas suspensas'!$C$2,IF(AA454='Listas suspensas'!$A$3,'Listas suspensas'!$C$3,IF(AA454='Listas suspensas'!$A$4,'Listas suspensas'!$C$4,IF(AA454='Listas suspensas'!$A$5,'Listas suspensas'!$C$5,IF(AA454='Listas suspensas'!$A$6,'Listas suspensas'!$C$6,"")))))</f>
        <v>Indica a penetração profunda, mas desuniforme em toda a extensão do alburno.</v>
      </c>
      <c r="BD454" s="13">
        <v>0.95199999999999996</v>
      </c>
      <c r="BE454" s="18">
        <f t="shared" si="85"/>
        <v>952</v>
      </c>
      <c r="BF454" s="8">
        <v>0.378</v>
      </c>
      <c r="BG454" s="8">
        <v>0.17399999999999999</v>
      </c>
      <c r="BH454" s="8">
        <v>0.34</v>
      </c>
      <c r="BI454" s="13">
        <f t="shared" si="86"/>
        <v>0.89200000000000013</v>
      </c>
      <c r="BJ454" s="14">
        <v>42.4</v>
      </c>
      <c r="BK454" s="14">
        <v>19.5</v>
      </c>
      <c r="BL454" s="14">
        <v>38.1</v>
      </c>
      <c r="BM454" s="16">
        <f t="shared" si="76"/>
        <v>100</v>
      </c>
      <c r="BN454" s="21">
        <f t="shared" si="77"/>
        <v>3.6</v>
      </c>
      <c r="BO454" s="21">
        <f t="shared" si="78"/>
        <v>1.66</v>
      </c>
      <c r="BP454" s="21">
        <f t="shared" si="79"/>
        <v>3.24</v>
      </c>
      <c r="BQ454" s="14">
        <f t="shared" si="80"/>
        <v>8.5</v>
      </c>
      <c r="BR454" s="22" t="str">
        <f>IF(OR(AND(X454="Mourões", BQ454&gt;=6.5),AND(X454="Postes", BQ454&gt;=9.6),AND(X454="Dormentes", BQ454&gt;=9.6),AND(X454="Estacas - Solo", BQ454&gt;=6.5),AND(X454="Estacas - Suspenso", BQ454&gt;=4),AND(X454="Cruzetas", BQ454&gt;=6.5),AND(X454="Outros - Solo", BQ454&gt;=6.5),AND(X454="Outros - Suspenso",BQ454&gt;=4),AND(X454="Deck",BQ454&gt;=4)),'Listas suspensas'!$C$21,'Listas suspensas'!$C$22)</f>
        <v>Os resultados da análise química apresentaram uma retenção do produto de acordo com o padrão mínimo exigido pela norma ABNT NBR 16143</v>
      </c>
    </row>
    <row r="455" spans="2:70" x14ac:dyDescent="0.25">
      <c r="B455" s="8" t="s">
        <v>1103</v>
      </c>
      <c r="C455" s="8" t="s">
        <v>71</v>
      </c>
      <c r="F455" s="11">
        <v>45960</v>
      </c>
      <c r="G455" s="11">
        <v>45964</v>
      </c>
      <c r="H455" s="11">
        <v>45968</v>
      </c>
      <c r="I455" s="8" t="s">
        <v>521</v>
      </c>
      <c r="J455" s="8" t="s">
        <v>522</v>
      </c>
      <c r="K455" s="8" t="s">
        <v>523</v>
      </c>
      <c r="L455" s="8" t="s">
        <v>15</v>
      </c>
      <c r="M455" s="30" t="s">
        <v>524</v>
      </c>
      <c r="N455" s="8" t="s">
        <v>1165</v>
      </c>
      <c r="O455" s="8" t="s">
        <v>94</v>
      </c>
      <c r="P455" s="28" t="s">
        <v>77</v>
      </c>
      <c r="Q455" s="16" t="s">
        <v>1380</v>
      </c>
      <c r="X455" s="8" t="s">
        <v>79</v>
      </c>
      <c r="Y455" s="34">
        <f>IF(X455='Listas suspensas'!$A$21,'Listas suspensas'!$B$23,IF(X455='Listas suspensas'!$A$22,'Listas suspensas'!$B$23,IF(X455='Listas suspensas'!$A$23,'Listas suspensas'!$B$22,IF(X455='Listas suspensas'!$A$26,'Listas suspensas'!$B$22,IF(X455='Listas suspensas'!$A$32,'Listas suspensas'!$B$22,IF(X455='Listas suspensas'!$A$33,'Listas suspensas'!$B$21,IF(X455='Listas suspensas'!$A$24,'Listas suspensas'!$B$22,IF(X455='Listas suspensas'!$A$25,'Listas suspensas'!$B$21,IF(X455='Listas suspensas'!$A$30,'Listas suspensas'!$B$21,"")))))))))</f>
        <v>6.5</v>
      </c>
      <c r="Z455" s="8" t="s">
        <v>80</v>
      </c>
      <c r="AA455" s="8">
        <v>2</v>
      </c>
      <c r="AB455" s="8" t="str">
        <f>IF(AA455='Listas suspensas'!$A$2,'Listas suspensas'!$B$2,IF(AA455='Listas suspensas'!$A$3,'Listas suspensas'!$B$3,IF(AA455='Listas suspensas'!$A$4,'Listas suspensas'!$B$4,IF(AA455='Listas suspensas'!$A$5,'Listas suspensas'!$B$5,IF(AA455='Listas suspensas'!$A$6,'Listas suspensas'!$B$6,"")))))</f>
        <v>Profunda e irregular</v>
      </c>
      <c r="AC455" s="8" t="str">
        <f>IF(AA455='Listas suspensas'!$A$2,'Listas suspensas'!$C$2,IF(AA455='Listas suspensas'!$A$3,'Listas suspensas'!$C$3,IF(AA455='Listas suspensas'!$A$4,'Listas suspensas'!$C$4,IF(AA455='Listas suspensas'!$A$5,'Listas suspensas'!$C$5,IF(AA455='Listas suspensas'!$A$6,'Listas suspensas'!$C$6,"")))))</f>
        <v>Indica a penetração profunda, mas desuniforme em toda a extensão do alburno.</v>
      </c>
      <c r="BD455" s="13">
        <v>0.85699999999999998</v>
      </c>
      <c r="BE455" s="18">
        <f t="shared" si="85"/>
        <v>857</v>
      </c>
      <c r="BF455" s="8">
        <v>0.39400000000000002</v>
      </c>
      <c r="BG455" s="8">
        <v>0.161</v>
      </c>
      <c r="BH455" s="8">
        <v>0.29599999999999999</v>
      </c>
      <c r="BI455" s="13">
        <f t="shared" si="86"/>
        <v>0.85099999999999998</v>
      </c>
      <c r="BJ455" s="14">
        <v>46.3</v>
      </c>
      <c r="BK455" s="14">
        <v>19</v>
      </c>
      <c r="BL455" s="14">
        <v>34.700000000000003</v>
      </c>
      <c r="BM455" s="16">
        <f t="shared" si="76"/>
        <v>100</v>
      </c>
      <c r="BN455" s="21">
        <f t="shared" si="77"/>
        <v>3.38</v>
      </c>
      <c r="BO455" s="21">
        <f t="shared" si="78"/>
        <v>1.38</v>
      </c>
      <c r="BP455" s="21">
        <f t="shared" si="79"/>
        <v>2.54</v>
      </c>
      <c r="BQ455" s="14">
        <f t="shared" si="80"/>
        <v>7.3</v>
      </c>
      <c r="BR455" s="22" t="str">
        <f>IF(OR(AND(X455="Mourões", BQ455&gt;=6.5),AND(X455="Postes", BQ455&gt;=9.6),AND(X455="Dormentes", BQ455&gt;=9.6),AND(X455="Estacas - Solo", BQ455&gt;=6.5),AND(X455="Estacas - Suspenso", BQ455&gt;=4),AND(X455="Cruzetas", BQ455&gt;=6.5),AND(X455="Outros - Solo", BQ455&gt;=6.5),AND(X455="Outros - Suspenso",BQ455&gt;=4),AND(X455="Deck",BQ455&gt;=4)),'Listas suspensas'!$C$21,'Listas suspensas'!$C$22)</f>
        <v>Os resultados da análise química apresentaram uma retenção do produto de acordo com o padrão mínimo exigido pela norma ABNT NBR 16143</v>
      </c>
    </row>
    <row r="456" spans="2:70" x14ac:dyDescent="0.25">
      <c r="B456" s="8" t="s">
        <v>1104</v>
      </c>
      <c r="C456" s="8" t="s">
        <v>71</v>
      </c>
      <c r="F456" s="11">
        <v>45960</v>
      </c>
      <c r="G456" s="11">
        <v>45964</v>
      </c>
      <c r="H456" s="11">
        <v>45968</v>
      </c>
      <c r="I456" s="8" t="s">
        <v>521</v>
      </c>
      <c r="J456" s="8" t="s">
        <v>522</v>
      </c>
      <c r="K456" s="8" t="s">
        <v>523</v>
      </c>
      <c r="L456" s="8" t="s">
        <v>15</v>
      </c>
      <c r="M456" s="30" t="s">
        <v>524</v>
      </c>
      <c r="N456" s="8" t="s">
        <v>1165</v>
      </c>
      <c r="O456" s="8" t="s">
        <v>94</v>
      </c>
      <c r="P456" s="28" t="s">
        <v>77</v>
      </c>
      <c r="Q456" s="16" t="s">
        <v>1381</v>
      </c>
      <c r="X456" s="8" t="s">
        <v>79</v>
      </c>
      <c r="Y456" s="34">
        <f>IF(X456='Listas suspensas'!$A$21,'Listas suspensas'!$B$23,IF(X456='Listas suspensas'!$A$22,'Listas suspensas'!$B$23,IF(X456='Listas suspensas'!$A$23,'Listas suspensas'!$B$22,IF(X456='Listas suspensas'!$A$26,'Listas suspensas'!$B$22,IF(X456='Listas suspensas'!$A$32,'Listas suspensas'!$B$22,IF(X456='Listas suspensas'!$A$33,'Listas suspensas'!$B$21,IF(X456='Listas suspensas'!$A$24,'Listas suspensas'!$B$22,IF(X456='Listas suspensas'!$A$25,'Listas suspensas'!$B$21,IF(X456='Listas suspensas'!$A$30,'Listas suspensas'!$B$21,"")))))))))</f>
        <v>6.5</v>
      </c>
      <c r="Z456" s="8" t="s">
        <v>80</v>
      </c>
      <c r="AA456" s="8">
        <v>1</v>
      </c>
      <c r="AB456" s="8" t="str">
        <f>IF(AA456='Listas suspensas'!$A$2,'Listas suspensas'!$B$2,IF(AA456='Listas suspensas'!$A$3,'Listas suspensas'!$B$3,IF(AA456='Listas suspensas'!$A$4,'Listas suspensas'!$B$4,IF(AA456='Listas suspensas'!$A$5,'Listas suspensas'!$B$5,IF(AA456='Listas suspensas'!$A$6,'Listas suspensas'!$B$6,"")))))</f>
        <v>Profunda e regular</v>
      </c>
      <c r="AC456" s="8" t="str">
        <f>IF(AA456='Listas suspensas'!$A$2,'Listas suspensas'!$C$2,IF(AA456='Listas suspensas'!$A$3,'Listas suspensas'!$C$3,IF(AA456='Listas suspensas'!$A$4,'Listas suspensas'!$C$4,IF(AA456='Listas suspensas'!$A$5,'Listas suspensas'!$C$5,IF(AA456='Listas suspensas'!$A$6,'Listas suspensas'!$C$6,"")))))</f>
        <v>Indica a penetração profunda e uniforme em toda a extensão do alburno.</v>
      </c>
      <c r="BD456" s="13">
        <v>0.53300000000000003</v>
      </c>
      <c r="BE456" s="18">
        <f t="shared" si="85"/>
        <v>533</v>
      </c>
      <c r="BF456" s="8">
        <v>1</v>
      </c>
      <c r="BG456" s="8">
        <v>0.40300000000000002</v>
      </c>
      <c r="BH456" s="8">
        <v>0.73399999999999999</v>
      </c>
      <c r="BI456" s="13">
        <f t="shared" si="86"/>
        <v>2.137</v>
      </c>
      <c r="BJ456" s="14">
        <v>46.8</v>
      </c>
      <c r="BK456" s="14">
        <v>18.899999999999999</v>
      </c>
      <c r="BL456" s="14">
        <v>34.299999999999997</v>
      </c>
      <c r="BM456" s="16">
        <f t="shared" si="76"/>
        <v>100</v>
      </c>
      <c r="BN456" s="21">
        <f t="shared" si="77"/>
        <v>5.33</v>
      </c>
      <c r="BO456" s="21">
        <f t="shared" si="78"/>
        <v>2.15</v>
      </c>
      <c r="BP456" s="21">
        <f t="shared" si="79"/>
        <v>3.91</v>
      </c>
      <c r="BQ456" s="14">
        <f t="shared" si="80"/>
        <v>11.39</v>
      </c>
      <c r="BR456" s="22" t="str">
        <f>IF(OR(AND(X456="Mourões", BQ456&gt;=6.5),AND(X456="Postes", BQ456&gt;=9.6),AND(X456="Dormentes", BQ456&gt;=9.6),AND(X456="Estacas - Solo", BQ456&gt;=6.5),AND(X456="Estacas - Suspenso", BQ456&gt;=4),AND(X456="Cruzetas", BQ456&gt;=6.5),AND(X456="Outros - Solo", BQ456&gt;=6.5),AND(X456="Outros - Suspenso",BQ456&gt;=4),AND(X456="Deck",BQ456&gt;=4)),'Listas suspensas'!$C$21,'Listas suspensas'!$C$22)</f>
        <v>Os resultados da análise química apresentaram uma retenção do produto de acordo com o padrão mínimo exigido pela norma ABNT NBR 16143</v>
      </c>
    </row>
    <row r="457" spans="2:70" x14ac:dyDescent="0.25">
      <c r="B457" s="8" t="s">
        <v>1105</v>
      </c>
      <c r="C457" s="8" t="s">
        <v>71</v>
      </c>
      <c r="F457" s="11">
        <v>45960</v>
      </c>
      <c r="G457" s="11">
        <v>45964</v>
      </c>
      <c r="H457" s="11">
        <v>45968</v>
      </c>
      <c r="I457" s="8" t="s">
        <v>521</v>
      </c>
      <c r="J457" s="8" t="s">
        <v>522</v>
      </c>
      <c r="K457" s="8" t="s">
        <v>523</v>
      </c>
      <c r="L457" s="8" t="s">
        <v>15</v>
      </c>
      <c r="M457" s="30" t="s">
        <v>524</v>
      </c>
      <c r="N457" s="8" t="s">
        <v>1165</v>
      </c>
      <c r="O457" s="8" t="s">
        <v>94</v>
      </c>
      <c r="P457" s="28" t="s">
        <v>77</v>
      </c>
      <c r="Q457" s="16" t="s">
        <v>1382</v>
      </c>
      <c r="X457" s="8" t="s">
        <v>79</v>
      </c>
      <c r="Y457" s="34">
        <f>IF(X457='Listas suspensas'!$A$21,'Listas suspensas'!$B$23,IF(X457='Listas suspensas'!$A$22,'Listas suspensas'!$B$23,IF(X457='Listas suspensas'!$A$23,'Listas suspensas'!$B$22,IF(X457='Listas suspensas'!$A$26,'Listas suspensas'!$B$22,IF(X457='Listas suspensas'!$A$32,'Listas suspensas'!$B$22,IF(X457='Listas suspensas'!$A$33,'Listas suspensas'!$B$21,IF(X457='Listas suspensas'!$A$24,'Listas suspensas'!$B$22,IF(X457='Listas suspensas'!$A$25,'Listas suspensas'!$B$21,IF(X457='Listas suspensas'!$A$30,'Listas suspensas'!$B$21,"")))))))))</f>
        <v>6.5</v>
      </c>
      <c r="Z457" s="8" t="s">
        <v>80</v>
      </c>
      <c r="AA457" s="8">
        <v>2</v>
      </c>
      <c r="AB457" s="8" t="str">
        <f>IF(AA457='Listas suspensas'!$A$2,'Listas suspensas'!$B$2,IF(AA457='Listas suspensas'!$A$3,'Listas suspensas'!$B$3,IF(AA457='Listas suspensas'!$A$4,'Listas suspensas'!$B$4,IF(AA457='Listas suspensas'!$A$5,'Listas suspensas'!$B$5,IF(AA457='Listas suspensas'!$A$6,'Listas suspensas'!$B$6,"")))))</f>
        <v>Profunda e irregular</v>
      </c>
      <c r="AC457" s="8" t="str">
        <f>IF(AA457='Listas suspensas'!$A$2,'Listas suspensas'!$C$2,IF(AA457='Listas suspensas'!$A$3,'Listas suspensas'!$C$3,IF(AA457='Listas suspensas'!$A$4,'Listas suspensas'!$C$4,IF(AA457='Listas suspensas'!$A$5,'Listas suspensas'!$C$5,IF(AA457='Listas suspensas'!$A$6,'Listas suspensas'!$C$6,"")))))</f>
        <v>Indica a penetração profunda, mas desuniforme em toda a extensão do alburno.</v>
      </c>
      <c r="BD457" s="13">
        <v>0.78800000000000003</v>
      </c>
      <c r="BE457" s="18">
        <f t="shared" si="85"/>
        <v>788</v>
      </c>
      <c r="BF457" s="8">
        <v>0.53300000000000003</v>
      </c>
      <c r="BG457" s="8">
        <v>0.20399999999999999</v>
      </c>
      <c r="BH457" s="8">
        <v>0.376</v>
      </c>
      <c r="BI457" s="13">
        <f t="shared" si="86"/>
        <v>1.113</v>
      </c>
      <c r="BJ457" s="14">
        <v>47.9</v>
      </c>
      <c r="BK457" s="14">
        <v>18.3</v>
      </c>
      <c r="BL457" s="14">
        <v>33.799999999999997</v>
      </c>
      <c r="BM457" s="16">
        <f t="shared" si="76"/>
        <v>100</v>
      </c>
      <c r="BN457" s="21">
        <f t="shared" si="77"/>
        <v>4.2</v>
      </c>
      <c r="BO457" s="21">
        <f t="shared" si="78"/>
        <v>1.61</v>
      </c>
      <c r="BP457" s="21">
        <f t="shared" si="79"/>
        <v>2.96</v>
      </c>
      <c r="BQ457" s="14">
        <f t="shared" si="80"/>
        <v>8.77</v>
      </c>
      <c r="BR457" s="22" t="str">
        <f>IF(OR(AND(X457="Mourões", BQ457&gt;=6.5),AND(X457="Postes", BQ457&gt;=9.6),AND(X457="Dormentes", BQ457&gt;=9.6),AND(X457="Estacas - Solo", BQ457&gt;=6.5),AND(X457="Estacas - Suspenso", BQ457&gt;=4),AND(X457="Cruzetas", BQ457&gt;=6.5),AND(X457="Outros - Solo", BQ457&gt;=6.5),AND(X457="Outros - Suspenso",BQ457&gt;=4),AND(X457="Deck",BQ457&gt;=4)),'Listas suspensas'!$C$21,'Listas suspensas'!$C$22)</f>
        <v>Os resultados da análise química apresentaram uma retenção do produto de acordo com o padrão mínimo exigido pela norma ABNT NBR 16143</v>
      </c>
    </row>
    <row r="458" spans="2:70" x14ac:dyDescent="0.25">
      <c r="B458" s="8" t="s">
        <v>1106</v>
      </c>
      <c r="C458" s="8" t="s">
        <v>71</v>
      </c>
      <c r="F458" s="11">
        <v>45960</v>
      </c>
      <c r="G458" s="11">
        <v>45964</v>
      </c>
      <c r="H458" s="11">
        <v>45968</v>
      </c>
      <c r="I458" s="8" t="s">
        <v>521</v>
      </c>
      <c r="J458" s="8" t="s">
        <v>522</v>
      </c>
      <c r="K458" s="8" t="s">
        <v>523</v>
      </c>
      <c r="L458" s="8" t="s">
        <v>15</v>
      </c>
      <c r="M458" s="30" t="s">
        <v>524</v>
      </c>
      <c r="N458" s="8" t="s">
        <v>1165</v>
      </c>
      <c r="O458" s="8" t="s">
        <v>94</v>
      </c>
      <c r="P458" s="28" t="s">
        <v>77</v>
      </c>
      <c r="Q458" s="16" t="s">
        <v>1383</v>
      </c>
      <c r="X458" s="8" t="s">
        <v>79</v>
      </c>
      <c r="Y458" s="34">
        <f>IF(X458='Listas suspensas'!$A$21,'Listas suspensas'!$B$23,IF(X458='Listas suspensas'!$A$22,'Listas suspensas'!$B$23,IF(X458='Listas suspensas'!$A$23,'Listas suspensas'!$B$22,IF(X458='Listas suspensas'!$A$26,'Listas suspensas'!$B$22,IF(X458='Listas suspensas'!$A$32,'Listas suspensas'!$B$22,IF(X458='Listas suspensas'!$A$33,'Listas suspensas'!$B$21,IF(X458='Listas suspensas'!$A$24,'Listas suspensas'!$B$22,IF(X458='Listas suspensas'!$A$25,'Listas suspensas'!$B$21,IF(X458='Listas suspensas'!$A$30,'Listas suspensas'!$B$21,"")))))))))</f>
        <v>6.5</v>
      </c>
      <c r="Z458" s="8" t="s">
        <v>80</v>
      </c>
      <c r="AA458" s="8">
        <v>2</v>
      </c>
      <c r="AB458" s="8" t="str">
        <f>IF(AA458='Listas suspensas'!$A$2,'Listas suspensas'!$B$2,IF(AA458='Listas suspensas'!$A$3,'Listas suspensas'!$B$3,IF(AA458='Listas suspensas'!$A$4,'Listas suspensas'!$B$4,IF(AA458='Listas suspensas'!$A$5,'Listas suspensas'!$B$5,IF(AA458='Listas suspensas'!$A$6,'Listas suspensas'!$B$6,"")))))</f>
        <v>Profunda e irregular</v>
      </c>
      <c r="AC458" s="8" t="str">
        <f>IF(AA458='Listas suspensas'!$A$2,'Listas suspensas'!$C$2,IF(AA458='Listas suspensas'!$A$3,'Listas suspensas'!$C$3,IF(AA458='Listas suspensas'!$A$4,'Listas suspensas'!$C$4,IF(AA458='Listas suspensas'!$A$5,'Listas suspensas'!$C$5,IF(AA458='Listas suspensas'!$A$6,'Listas suspensas'!$C$6,"")))))</f>
        <v>Indica a penetração profunda, mas desuniforme em toda a extensão do alburno.</v>
      </c>
      <c r="BD458" s="13">
        <v>0.88200000000000001</v>
      </c>
      <c r="BE458" s="18">
        <f t="shared" si="85"/>
        <v>882</v>
      </c>
      <c r="BF458" s="8">
        <v>0.42199999999999999</v>
      </c>
      <c r="BG458" s="8">
        <v>0.16800000000000001</v>
      </c>
      <c r="BH458" s="8">
        <v>0.308</v>
      </c>
      <c r="BI458" s="13">
        <f t="shared" si="86"/>
        <v>0.89799999999999991</v>
      </c>
      <c r="BJ458" s="14">
        <v>47</v>
      </c>
      <c r="BK458" s="14">
        <v>18.7</v>
      </c>
      <c r="BL458" s="14">
        <v>34.299999999999997</v>
      </c>
      <c r="BM458" s="16">
        <f t="shared" si="76"/>
        <v>100</v>
      </c>
      <c r="BN458" s="21">
        <f t="shared" si="77"/>
        <v>3.72</v>
      </c>
      <c r="BO458" s="21">
        <f t="shared" si="78"/>
        <v>1.48</v>
      </c>
      <c r="BP458" s="21">
        <f t="shared" si="79"/>
        <v>2.72</v>
      </c>
      <c r="BQ458" s="14">
        <f t="shared" si="80"/>
        <v>7.92</v>
      </c>
      <c r="BR458" s="22" t="str">
        <f>IF(OR(AND(X458="Mourões", BQ458&gt;=6.5),AND(X458="Postes", BQ458&gt;=9.6),AND(X458="Dormentes", BQ458&gt;=9.6),AND(X458="Estacas - Solo", BQ458&gt;=6.5),AND(X458="Estacas - Suspenso", BQ458&gt;=4),AND(X458="Cruzetas", BQ458&gt;=6.5),AND(X458="Outros - Solo", BQ458&gt;=6.5),AND(X458="Outros - Suspenso",BQ458&gt;=4),AND(X458="Deck",BQ458&gt;=4)),'Listas suspensas'!$C$21,'Listas suspensas'!$C$22)</f>
        <v>Os resultados da análise química apresentaram uma retenção do produto de acordo com o padrão mínimo exigido pela norma ABNT NBR 16143</v>
      </c>
    </row>
    <row r="459" spans="2:70" x14ac:dyDescent="0.25">
      <c r="B459" s="8" t="s">
        <v>1107</v>
      </c>
      <c r="C459" s="8" t="s">
        <v>71</v>
      </c>
      <c r="F459" s="11">
        <v>45960</v>
      </c>
      <c r="G459" s="11">
        <v>45964</v>
      </c>
      <c r="H459" s="11">
        <v>45968</v>
      </c>
      <c r="I459" s="8" t="s">
        <v>1268</v>
      </c>
      <c r="J459" s="8" t="s">
        <v>91</v>
      </c>
      <c r="K459" s="8" t="s">
        <v>92</v>
      </c>
      <c r="L459" s="8" t="s">
        <v>15</v>
      </c>
      <c r="N459" s="8" t="s">
        <v>1165</v>
      </c>
      <c r="O459" s="8" t="s">
        <v>94</v>
      </c>
      <c r="P459" s="28" t="s">
        <v>77</v>
      </c>
      <c r="Q459" s="16" t="s">
        <v>1384</v>
      </c>
      <c r="X459" s="8" t="s">
        <v>79</v>
      </c>
      <c r="Y459" s="34">
        <f>IF(X459='Listas suspensas'!$A$21,'Listas suspensas'!$B$23,IF(X459='Listas suspensas'!$A$22,'Listas suspensas'!$B$23,IF(X459='Listas suspensas'!$A$23,'Listas suspensas'!$B$22,IF(X459='Listas suspensas'!$A$26,'Listas suspensas'!$B$22,IF(X459='Listas suspensas'!$A$32,'Listas suspensas'!$B$22,IF(X459='Listas suspensas'!$A$33,'Listas suspensas'!$B$21,IF(X459='Listas suspensas'!$A$24,'Listas suspensas'!$B$22,IF(X459='Listas suspensas'!$A$25,'Listas suspensas'!$B$21,IF(X459='Listas suspensas'!$A$30,'Listas suspensas'!$B$21,"")))))))))</f>
        <v>6.5</v>
      </c>
      <c r="Z459" s="8" t="s">
        <v>80</v>
      </c>
      <c r="AA459" s="8">
        <v>1</v>
      </c>
      <c r="AB459" s="8" t="str">
        <f>IF(AA459='Listas suspensas'!$A$2,'Listas suspensas'!$B$2,IF(AA459='Listas suspensas'!$A$3,'Listas suspensas'!$B$3,IF(AA459='Listas suspensas'!$A$4,'Listas suspensas'!$B$4,IF(AA459='Listas suspensas'!$A$5,'Listas suspensas'!$B$5,IF(AA459='Listas suspensas'!$A$6,'Listas suspensas'!$B$6,"")))))</f>
        <v>Profunda e regular</v>
      </c>
      <c r="AC459" s="8" t="str">
        <f>IF(AA459='Listas suspensas'!$A$2,'Listas suspensas'!$C$2,IF(AA459='Listas suspensas'!$A$3,'Listas suspensas'!$C$3,IF(AA459='Listas suspensas'!$A$4,'Listas suspensas'!$C$4,IF(AA459='Listas suspensas'!$A$5,'Listas suspensas'!$C$5,IF(AA459='Listas suspensas'!$A$6,'Listas suspensas'!$C$6,"")))))</f>
        <v>Indica a penetração profunda e uniforme em toda a extensão do alburno.</v>
      </c>
      <c r="BD459" s="13">
        <v>0.84699999999999998</v>
      </c>
      <c r="BE459" s="18">
        <f t="shared" si="85"/>
        <v>847</v>
      </c>
      <c r="BF459" s="8">
        <v>0.50700000000000001</v>
      </c>
      <c r="BG459" s="8">
        <v>0.23</v>
      </c>
      <c r="BH459" s="8">
        <v>0.46300000000000002</v>
      </c>
      <c r="BI459" s="13">
        <f t="shared" si="86"/>
        <v>1.2</v>
      </c>
      <c r="BJ459" s="14">
        <v>42.3</v>
      </c>
      <c r="BK459" s="14">
        <v>19.2</v>
      </c>
      <c r="BL459" s="14">
        <v>38.5</v>
      </c>
      <c r="BM459" s="16">
        <f t="shared" si="76"/>
        <v>100</v>
      </c>
      <c r="BN459" s="21">
        <f t="shared" si="77"/>
        <v>4.29</v>
      </c>
      <c r="BO459" s="21">
        <f t="shared" si="78"/>
        <v>1.95</v>
      </c>
      <c r="BP459" s="21">
        <f t="shared" si="79"/>
        <v>3.92</v>
      </c>
      <c r="BQ459" s="14">
        <f t="shared" si="80"/>
        <v>10.16</v>
      </c>
      <c r="BR459" s="22" t="str">
        <f>IF(OR(AND(X459="Mourões", BQ459&gt;=6.5),AND(X459="Postes", BQ459&gt;=9.6),AND(X459="Dormentes", BQ459&gt;=9.6),AND(X459="Estacas - Solo", BQ459&gt;=6.5),AND(X459="Estacas - Suspenso", BQ459&gt;=4),AND(X459="Cruzetas", BQ459&gt;=6.5),AND(X459="Outros - Solo", BQ459&gt;=6.5),AND(X459="Outros - Suspenso",BQ459&gt;=4),AND(X459="Deck",BQ459&gt;=4)),'Listas suspensas'!$C$21,'Listas suspensas'!$C$22)</f>
        <v>Os resultados da análise química apresentaram uma retenção do produto de acordo com o padrão mínimo exigido pela norma ABNT NBR 16143</v>
      </c>
    </row>
    <row r="460" spans="2:70" x14ac:dyDescent="0.25">
      <c r="B460" s="8" t="s">
        <v>1108</v>
      </c>
      <c r="C460" s="8" t="s">
        <v>71</v>
      </c>
      <c r="F460" s="11">
        <v>45960</v>
      </c>
      <c r="G460" s="11">
        <v>45964</v>
      </c>
      <c r="H460" s="11">
        <v>45968</v>
      </c>
      <c r="I460" s="8" t="s">
        <v>1385</v>
      </c>
      <c r="J460" s="8" t="s">
        <v>1386</v>
      </c>
      <c r="K460" s="8" t="s">
        <v>74</v>
      </c>
      <c r="L460" s="8" t="s">
        <v>15</v>
      </c>
      <c r="M460" s="30" t="s">
        <v>1387</v>
      </c>
      <c r="N460" s="8" t="s">
        <v>1165</v>
      </c>
      <c r="O460" s="8" t="s">
        <v>94</v>
      </c>
      <c r="P460" s="28" t="s">
        <v>146</v>
      </c>
      <c r="Q460" s="16" t="s">
        <v>1388</v>
      </c>
      <c r="X460" s="8" t="s">
        <v>79</v>
      </c>
      <c r="Y460" s="34">
        <f>IF(X460='Listas suspensas'!$A$21,'Listas suspensas'!$B$23,IF(X460='Listas suspensas'!$A$22,'Listas suspensas'!$B$23,IF(X460='Listas suspensas'!$A$23,'Listas suspensas'!$B$22,IF(X460='Listas suspensas'!$A$26,'Listas suspensas'!$B$22,IF(X460='Listas suspensas'!$A$32,'Listas suspensas'!$B$22,IF(X460='Listas suspensas'!$A$33,'Listas suspensas'!$B$21,IF(X460='Listas suspensas'!$A$24,'Listas suspensas'!$B$22,IF(X460='Listas suspensas'!$A$25,'Listas suspensas'!$B$21,IF(X460='Listas suspensas'!$A$30,'Listas suspensas'!$B$21,"")))))))))</f>
        <v>6.5</v>
      </c>
      <c r="Z460" s="8" t="s">
        <v>80</v>
      </c>
      <c r="AA460" s="8">
        <v>2</v>
      </c>
      <c r="AB460" s="8" t="str">
        <f>IF(AA460='Listas suspensas'!$A$2,'Listas suspensas'!$B$2,IF(AA460='Listas suspensas'!$A$3,'Listas suspensas'!$B$3,IF(AA460='Listas suspensas'!$A$4,'Listas suspensas'!$B$4,IF(AA460='Listas suspensas'!$A$5,'Listas suspensas'!$B$5,IF(AA460='Listas suspensas'!$A$6,'Listas suspensas'!$B$6,"")))))</f>
        <v>Profunda e irregular</v>
      </c>
      <c r="AC460" s="8" t="str">
        <f>IF(AA460='Listas suspensas'!$A$2,'Listas suspensas'!$C$2,IF(AA460='Listas suspensas'!$A$3,'Listas suspensas'!$C$3,IF(AA460='Listas suspensas'!$A$4,'Listas suspensas'!$C$4,IF(AA460='Listas suspensas'!$A$5,'Listas suspensas'!$C$5,IF(AA460='Listas suspensas'!$A$6,'Listas suspensas'!$C$6,"")))))</f>
        <v>Indica a penetração profunda, mas desuniforme em toda a extensão do alburno.</v>
      </c>
      <c r="BD460" s="13">
        <v>0.61199999999999999</v>
      </c>
      <c r="BE460" s="18">
        <f t="shared" si="85"/>
        <v>612</v>
      </c>
      <c r="BF460" s="8">
        <v>0.67900000000000005</v>
      </c>
      <c r="BG460" s="8">
        <v>0.27</v>
      </c>
      <c r="BH460" s="8">
        <v>0.371</v>
      </c>
      <c r="BI460" s="13">
        <f t="shared" si="86"/>
        <v>1.32</v>
      </c>
      <c r="BJ460" s="14">
        <v>51.4</v>
      </c>
      <c r="BK460" s="14">
        <v>20.5</v>
      </c>
      <c r="BL460" s="14">
        <v>28.1</v>
      </c>
      <c r="BM460" s="16">
        <f t="shared" si="76"/>
        <v>100</v>
      </c>
      <c r="BN460" s="21">
        <f t="shared" si="77"/>
        <v>4.16</v>
      </c>
      <c r="BO460" s="21">
        <f t="shared" si="78"/>
        <v>1.65</v>
      </c>
      <c r="BP460" s="21">
        <f t="shared" si="79"/>
        <v>2.27</v>
      </c>
      <c r="BQ460" s="14">
        <f t="shared" si="80"/>
        <v>8.08</v>
      </c>
      <c r="BR460" s="22" t="str">
        <f>IF(OR(AND(X460="Mourões", BQ460&gt;=6.5),AND(X460="Postes", BQ460&gt;=9.6),AND(X460="Dormentes", BQ460&gt;=9.6),AND(X460="Estacas - Solo", BQ460&gt;=6.5),AND(X460="Estacas - Suspenso", BQ460&gt;=4),AND(X460="Cruzetas", BQ460&gt;=6.5),AND(X460="Outros - Solo", BQ460&gt;=6.5),AND(X460="Outros - Suspenso",BQ460&gt;=4),AND(X460="Deck",BQ460&gt;=4)),'Listas suspensas'!$C$21,'Listas suspensas'!$C$22)</f>
        <v>Os resultados da análise química apresentaram uma retenção do produto de acordo com o padrão mínimo exigido pela norma ABNT NBR 16143</v>
      </c>
    </row>
    <row r="461" spans="2:70" x14ac:dyDescent="0.25">
      <c r="B461" s="8" t="s">
        <v>1109</v>
      </c>
      <c r="C461" s="8" t="s">
        <v>71</v>
      </c>
      <c r="F461" s="11">
        <v>45960</v>
      </c>
      <c r="G461" s="11">
        <v>45964</v>
      </c>
      <c r="H461" s="11">
        <v>45968</v>
      </c>
      <c r="I461" s="8" t="s">
        <v>1385</v>
      </c>
      <c r="J461" s="8" t="s">
        <v>1386</v>
      </c>
      <c r="K461" s="8" t="s">
        <v>74</v>
      </c>
      <c r="L461" s="8" t="s">
        <v>15</v>
      </c>
      <c r="M461" s="30" t="s">
        <v>1387</v>
      </c>
      <c r="N461" s="8" t="s">
        <v>1165</v>
      </c>
      <c r="O461" s="8" t="s">
        <v>94</v>
      </c>
      <c r="P461" s="28" t="s">
        <v>146</v>
      </c>
      <c r="Q461" s="16" t="s">
        <v>1389</v>
      </c>
      <c r="X461" s="8" t="s">
        <v>79</v>
      </c>
      <c r="Y461" s="34">
        <f>IF(X461='Listas suspensas'!$A$21,'Listas suspensas'!$B$23,IF(X461='Listas suspensas'!$A$22,'Listas suspensas'!$B$23,IF(X461='Listas suspensas'!$A$23,'Listas suspensas'!$B$22,IF(X461='Listas suspensas'!$A$26,'Listas suspensas'!$B$22,IF(X461='Listas suspensas'!$A$32,'Listas suspensas'!$B$22,IF(X461='Listas suspensas'!$A$33,'Listas suspensas'!$B$21,IF(X461='Listas suspensas'!$A$24,'Listas suspensas'!$B$22,IF(X461='Listas suspensas'!$A$25,'Listas suspensas'!$B$21,IF(X461='Listas suspensas'!$A$30,'Listas suspensas'!$B$21,"")))))))))</f>
        <v>6.5</v>
      </c>
      <c r="Z461" s="8" t="s">
        <v>80</v>
      </c>
      <c r="AA461" s="8">
        <v>2</v>
      </c>
      <c r="AB461" s="8" t="str">
        <f>IF(AA461='Listas suspensas'!$A$2,'Listas suspensas'!$B$2,IF(AA461='Listas suspensas'!$A$3,'Listas suspensas'!$B$3,IF(AA461='Listas suspensas'!$A$4,'Listas suspensas'!$B$4,IF(AA461='Listas suspensas'!$A$5,'Listas suspensas'!$B$5,IF(AA461='Listas suspensas'!$A$6,'Listas suspensas'!$B$6,"")))))</f>
        <v>Profunda e irregular</v>
      </c>
      <c r="AC461" s="8" t="str">
        <f>IF(AA461='Listas suspensas'!$A$2,'Listas suspensas'!$C$2,IF(AA461='Listas suspensas'!$A$3,'Listas suspensas'!$C$3,IF(AA461='Listas suspensas'!$A$4,'Listas suspensas'!$C$4,IF(AA461='Listas suspensas'!$A$5,'Listas suspensas'!$C$5,IF(AA461='Listas suspensas'!$A$6,'Listas suspensas'!$C$6,"")))))</f>
        <v>Indica a penetração profunda, mas desuniforme em toda a extensão do alburno.</v>
      </c>
      <c r="BD461" s="13">
        <v>0.59799999999999998</v>
      </c>
      <c r="BE461" s="18">
        <f t="shared" si="85"/>
        <v>598</v>
      </c>
      <c r="BF461" s="8">
        <v>0.57299999999999995</v>
      </c>
      <c r="BG461" s="8">
        <v>0.222</v>
      </c>
      <c r="BH461" s="8">
        <v>0.39</v>
      </c>
      <c r="BI461" s="13">
        <f t="shared" si="86"/>
        <v>1.1850000000000001</v>
      </c>
      <c r="BJ461" s="14">
        <v>48.4</v>
      </c>
      <c r="BK461" s="14">
        <v>18.7</v>
      </c>
      <c r="BL461" s="14">
        <v>32.9</v>
      </c>
      <c r="BM461" s="16">
        <f t="shared" si="76"/>
        <v>100</v>
      </c>
      <c r="BN461" s="21">
        <f t="shared" si="77"/>
        <v>3.43</v>
      </c>
      <c r="BO461" s="21">
        <f t="shared" si="78"/>
        <v>1.33</v>
      </c>
      <c r="BP461" s="21">
        <f t="shared" si="79"/>
        <v>2.33</v>
      </c>
      <c r="BQ461" s="14">
        <f t="shared" si="80"/>
        <v>7.09</v>
      </c>
      <c r="BR461" s="22" t="str">
        <f>IF(OR(AND(X461="Mourões", BQ461&gt;=6.5),AND(X461="Postes", BQ461&gt;=9.6),AND(X461="Dormentes", BQ461&gt;=9.6),AND(X461="Estacas - Solo", BQ461&gt;=6.5),AND(X461="Estacas - Suspenso", BQ461&gt;=4),AND(X461="Cruzetas", BQ461&gt;=6.5),AND(X461="Outros - Solo", BQ461&gt;=6.5),AND(X461="Outros - Suspenso",BQ461&gt;=4),AND(X461="Deck",BQ461&gt;=4)),'Listas suspensas'!$C$21,'Listas suspensas'!$C$22)</f>
        <v>Os resultados da análise química apresentaram uma retenção do produto de acordo com o padrão mínimo exigido pela norma ABNT NBR 16143</v>
      </c>
    </row>
    <row r="462" spans="2:70" x14ac:dyDescent="0.25">
      <c r="B462" s="8" t="s">
        <v>1110</v>
      </c>
      <c r="C462" s="8" t="s">
        <v>71</v>
      </c>
      <c r="F462" s="11">
        <v>45960</v>
      </c>
      <c r="G462" s="11">
        <v>45964</v>
      </c>
      <c r="H462" s="11">
        <v>45968</v>
      </c>
      <c r="I462" s="8" t="s">
        <v>1385</v>
      </c>
      <c r="J462" s="8" t="s">
        <v>1386</v>
      </c>
      <c r="K462" s="8" t="s">
        <v>74</v>
      </c>
      <c r="L462" s="8" t="s">
        <v>15</v>
      </c>
      <c r="M462" s="30" t="s">
        <v>1387</v>
      </c>
      <c r="N462" s="8" t="s">
        <v>1165</v>
      </c>
      <c r="O462" s="8" t="s">
        <v>94</v>
      </c>
      <c r="P462" s="28" t="s">
        <v>146</v>
      </c>
      <c r="Q462" s="16" t="s">
        <v>1390</v>
      </c>
      <c r="X462" s="8" t="s">
        <v>79</v>
      </c>
      <c r="Y462" s="34">
        <f>IF(X462='Listas suspensas'!$A$21,'Listas suspensas'!$B$23,IF(X462='Listas suspensas'!$A$22,'Listas suspensas'!$B$23,IF(X462='Listas suspensas'!$A$23,'Listas suspensas'!$B$22,IF(X462='Listas suspensas'!$A$26,'Listas suspensas'!$B$22,IF(X462='Listas suspensas'!$A$32,'Listas suspensas'!$B$22,IF(X462='Listas suspensas'!$A$33,'Listas suspensas'!$B$21,IF(X462='Listas suspensas'!$A$24,'Listas suspensas'!$B$22,IF(X462='Listas suspensas'!$A$25,'Listas suspensas'!$B$21,IF(X462='Listas suspensas'!$A$30,'Listas suspensas'!$B$21,"")))))))))</f>
        <v>6.5</v>
      </c>
      <c r="Z462" s="8" t="s">
        <v>80</v>
      </c>
      <c r="AA462" s="8">
        <v>3</v>
      </c>
      <c r="AB462" s="8" t="str">
        <f>IF(AA462='Listas suspensas'!$A$2,'Listas suspensas'!$B$2,IF(AA462='Listas suspensas'!$A$3,'Listas suspensas'!$B$3,IF(AA462='Listas suspensas'!$A$4,'Listas suspensas'!$B$4,IF(AA462='Listas suspensas'!$A$5,'Listas suspensas'!$B$5,IF(AA462='Listas suspensas'!$A$6,'Listas suspensas'!$B$6,"")))))</f>
        <v xml:space="preserve"> Parcial e regular</v>
      </c>
      <c r="AC462" s="8" t="str">
        <f>IF(AA462='Listas suspensas'!$A$2,'Listas suspensas'!$C$2,IF(AA462='Listas suspensas'!$A$3,'Listas suspensas'!$C$3,IF(AA462='Listas suspensas'!$A$4,'Listas suspensas'!$C$4,IF(AA462='Listas suspensas'!$A$5,'Listas suspensas'!$C$5,IF(AA462='Listas suspensas'!$A$6,'Listas suspensas'!$C$6,"")))))</f>
        <v>Indica a penetração uniforme, mas não total pela extensão do alburno.</v>
      </c>
      <c r="BD462" s="13">
        <v>0.59199999999999997</v>
      </c>
      <c r="BE462" s="18">
        <f t="shared" si="85"/>
        <v>592</v>
      </c>
      <c r="BF462" s="8">
        <v>0.51300000000000001</v>
      </c>
      <c r="BG462" s="8">
        <v>0.20200000000000001</v>
      </c>
      <c r="BH462" s="8">
        <v>0.32800000000000001</v>
      </c>
      <c r="BI462" s="13">
        <f t="shared" si="86"/>
        <v>1.0430000000000001</v>
      </c>
      <c r="BJ462" s="14">
        <v>49.2</v>
      </c>
      <c r="BK462" s="14">
        <v>19.399999999999999</v>
      </c>
      <c r="BL462" s="14">
        <v>31.4</v>
      </c>
      <c r="BM462" s="16">
        <f t="shared" si="76"/>
        <v>100</v>
      </c>
      <c r="BN462" s="21">
        <f t="shared" si="77"/>
        <v>3.04</v>
      </c>
      <c r="BO462" s="21">
        <f t="shared" si="78"/>
        <v>1.2</v>
      </c>
      <c r="BP462" s="21">
        <f t="shared" si="79"/>
        <v>1.94</v>
      </c>
      <c r="BQ462" s="14">
        <f t="shared" si="80"/>
        <v>6.18</v>
      </c>
      <c r="BR462" s="22" t="str">
        <f>IF(OR(AND(X462="Mourões", BQ462&gt;=6.5),AND(X462="Postes", BQ462&gt;=9.6),AND(X462="Dormentes", BQ462&gt;=9.6),AND(X462="Estacas - Solo", BQ462&gt;=6.5),AND(X462="Estacas - Suspenso", BQ462&gt;=4),AND(X462="Cruzetas", BQ462&gt;=6.5),AND(X462="Outros - Solo", BQ462&gt;=6.5),AND(X462="Outros - Suspenso",BQ462&gt;=4),AND(X462="Deck",BQ462&gt;=4)),'Listas suspensas'!$C$21,'Listas suspensas'!$C$22)</f>
        <v>Os resultados da análise química apresentaram uma retenção do produto inferior ao padrão mínimo exigido pela norma ABNT NBR 16143</v>
      </c>
    </row>
    <row r="463" spans="2:70" x14ac:dyDescent="0.25">
      <c r="B463" s="8" t="s">
        <v>1111</v>
      </c>
      <c r="C463" s="8" t="s">
        <v>71</v>
      </c>
      <c r="F463" s="11">
        <v>45960</v>
      </c>
      <c r="G463" s="11">
        <v>45964</v>
      </c>
      <c r="H463" s="11">
        <v>45968</v>
      </c>
      <c r="I463" s="8" t="s">
        <v>1385</v>
      </c>
      <c r="J463" s="8" t="s">
        <v>1386</v>
      </c>
      <c r="K463" s="8" t="s">
        <v>74</v>
      </c>
      <c r="L463" s="8" t="s">
        <v>15</v>
      </c>
      <c r="M463" s="30" t="s">
        <v>1387</v>
      </c>
      <c r="N463" s="8" t="s">
        <v>1165</v>
      </c>
      <c r="O463" s="8" t="s">
        <v>94</v>
      </c>
      <c r="P463" s="28" t="s">
        <v>146</v>
      </c>
      <c r="Q463" s="16" t="s">
        <v>1391</v>
      </c>
      <c r="X463" s="8" t="s">
        <v>79</v>
      </c>
      <c r="Y463" s="34">
        <f>IF(X463='Listas suspensas'!$A$21,'Listas suspensas'!$B$23,IF(X463='Listas suspensas'!$A$22,'Listas suspensas'!$B$23,IF(X463='Listas suspensas'!$A$23,'Listas suspensas'!$B$22,IF(X463='Listas suspensas'!$A$26,'Listas suspensas'!$B$22,IF(X463='Listas suspensas'!$A$32,'Listas suspensas'!$B$22,IF(X463='Listas suspensas'!$A$33,'Listas suspensas'!$B$21,IF(X463='Listas suspensas'!$A$24,'Listas suspensas'!$B$22,IF(X463='Listas suspensas'!$A$25,'Listas suspensas'!$B$21,IF(X463='Listas suspensas'!$A$30,'Listas suspensas'!$B$21,"")))))))))</f>
        <v>6.5</v>
      </c>
      <c r="Z463" s="8" t="s">
        <v>80</v>
      </c>
      <c r="AA463" s="8">
        <v>3</v>
      </c>
      <c r="AB463" s="8" t="str">
        <f>IF(AA463='Listas suspensas'!$A$2,'Listas suspensas'!$B$2,IF(AA463='Listas suspensas'!$A$3,'Listas suspensas'!$B$3,IF(AA463='Listas suspensas'!$A$4,'Listas suspensas'!$B$4,IF(AA463='Listas suspensas'!$A$5,'Listas suspensas'!$B$5,IF(AA463='Listas suspensas'!$A$6,'Listas suspensas'!$B$6,"")))))</f>
        <v xml:space="preserve"> Parcial e regular</v>
      </c>
      <c r="AC463" s="8" t="str">
        <f>IF(AA463='Listas suspensas'!$A$2,'Listas suspensas'!$C$2,IF(AA463='Listas suspensas'!$A$3,'Listas suspensas'!$C$3,IF(AA463='Listas suspensas'!$A$4,'Listas suspensas'!$C$4,IF(AA463='Listas suspensas'!$A$5,'Listas suspensas'!$C$5,IF(AA463='Listas suspensas'!$A$6,'Listas suspensas'!$C$6,"")))))</f>
        <v>Indica a penetração uniforme, mas não total pela extensão do alburno.</v>
      </c>
      <c r="BD463" s="13">
        <v>0.60199999999999998</v>
      </c>
      <c r="BE463" s="18">
        <f t="shared" si="85"/>
        <v>602</v>
      </c>
      <c r="BF463" s="8">
        <v>0.42599999999999999</v>
      </c>
      <c r="BG463" s="8">
        <v>0.16300000000000001</v>
      </c>
      <c r="BH463" s="8">
        <v>0.27300000000000002</v>
      </c>
      <c r="BI463" s="13">
        <f t="shared" si="86"/>
        <v>0.86199999999999999</v>
      </c>
      <c r="BJ463" s="14">
        <v>49.4</v>
      </c>
      <c r="BK463" s="14">
        <v>18.899999999999999</v>
      </c>
      <c r="BL463" s="14">
        <v>31.7</v>
      </c>
      <c r="BM463" s="16">
        <f t="shared" si="76"/>
        <v>100</v>
      </c>
      <c r="BN463" s="21">
        <f t="shared" si="77"/>
        <v>2.56</v>
      </c>
      <c r="BO463" s="21">
        <f t="shared" si="78"/>
        <v>0.98</v>
      </c>
      <c r="BP463" s="21">
        <f t="shared" si="79"/>
        <v>1.64</v>
      </c>
      <c r="BQ463" s="14">
        <f t="shared" si="80"/>
        <v>5.18</v>
      </c>
      <c r="BR463" s="22" t="str">
        <f>IF(OR(AND(X463="Mourões", BQ463&gt;=6.5),AND(X463="Postes", BQ463&gt;=9.6),AND(X463="Dormentes", BQ463&gt;=9.6),AND(X463="Estacas - Solo", BQ463&gt;=6.5),AND(X463="Estacas - Suspenso", BQ463&gt;=4),AND(X463="Cruzetas", BQ463&gt;=6.5),AND(X463="Outros - Solo", BQ463&gt;=6.5),AND(X463="Outros - Suspenso",BQ463&gt;=4),AND(X463="Deck",BQ463&gt;=4)),'Listas suspensas'!$C$21,'Listas suspensas'!$C$22)</f>
        <v>Os resultados da análise química apresentaram uma retenção do produto inferior ao padrão mínimo exigido pela norma ABNT NBR 16143</v>
      </c>
    </row>
    <row r="464" spans="2:70" x14ac:dyDescent="0.25">
      <c r="B464" s="8" t="s">
        <v>1112</v>
      </c>
      <c r="C464" s="8" t="s">
        <v>71</v>
      </c>
      <c r="F464" s="11">
        <v>45960</v>
      </c>
      <c r="G464" s="11">
        <v>45964</v>
      </c>
      <c r="H464" s="11">
        <v>45968</v>
      </c>
      <c r="I464" s="8" t="s">
        <v>1385</v>
      </c>
      <c r="J464" s="8" t="s">
        <v>1386</v>
      </c>
      <c r="K464" s="8" t="s">
        <v>74</v>
      </c>
      <c r="L464" s="8" t="s">
        <v>15</v>
      </c>
      <c r="M464" s="30" t="s">
        <v>1387</v>
      </c>
      <c r="N464" s="8" t="s">
        <v>1165</v>
      </c>
      <c r="O464" s="8" t="s">
        <v>94</v>
      </c>
      <c r="P464" s="28" t="s">
        <v>146</v>
      </c>
      <c r="Q464" s="16" t="s">
        <v>1392</v>
      </c>
      <c r="X464" s="8" t="s">
        <v>79</v>
      </c>
      <c r="Y464" s="34">
        <f>IF(X464='Listas suspensas'!$A$21,'Listas suspensas'!$B$23,IF(X464='Listas suspensas'!$A$22,'Listas suspensas'!$B$23,IF(X464='Listas suspensas'!$A$23,'Listas suspensas'!$B$22,IF(X464='Listas suspensas'!$A$26,'Listas suspensas'!$B$22,IF(X464='Listas suspensas'!$A$32,'Listas suspensas'!$B$22,IF(X464='Listas suspensas'!$A$33,'Listas suspensas'!$B$21,IF(X464='Listas suspensas'!$A$24,'Listas suspensas'!$B$22,IF(X464='Listas suspensas'!$A$25,'Listas suspensas'!$B$21,IF(X464='Listas suspensas'!$A$30,'Listas suspensas'!$B$21,"")))))))))</f>
        <v>6.5</v>
      </c>
      <c r="Z464" s="8" t="s">
        <v>80</v>
      </c>
      <c r="AA464" s="8">
        <v>3</v>
      </c>
      <c r="AB464" s="8" t="str">
        <f>IF(AA464='Listas suspensas'!$A$2,'Listas suspensas'!$B$2,IF(AA464='Listas suspensas'!$A$3,'Listas suspensas'!$B$3,IF(AA464='Listas suspensas'!$A$4,'Listas suspensas'!$B$4,IF(AA464='Listas suspensas'!$A$5,'Listas suspensas'!$B$5,IF(AA464='Listas suspensas'!$A$6,'Listas suspensas'!$B$6,"")))))</f>
        <v xml:space="preserve"> Parcial e regular</v>
      </c>
      <c r="AC464" s="8" t="str">
        <f>IF(AA464='Listas suspensas'!$A$2,'Listas suspensas'!$C$2,IF(AA464='Listas suspensas'!$A$3,'Listas suspensas'!$C$3,IF(AA464='Listas suspensas'!$A$4,'Listas suspensas'!$C$4,IF(AA464='Listas suspensas'!$A$5,'Listas suspensas'!$C$5,IF(AA464='Listas suspensas'!$A$6,'Listas suspensas'!$C$6,"")))))</f>
        <v>Indica a penetração uniforme, mas não total pela extensão do alburno.</v>
      </c>
      <c r="BD464" s="13">
        <v>0.52900000000000003</v>
      </c>
      <c r="BE464" s="18">
        <f t="shared" si="85"/>
        <v>529</v>
      </c>
      <c r="BF464" s="8">
        <v>0.60899999999999999</v>
      </c>
      <c r="BG464" s="8">
        <v>0.23699999999999999</v>
      </c>
      <c r="BH464" s="8">
        <v>0.317</v>
      </c>
      <c r="BI464" s="13">
        <f t="shared" si="86"/>
        <v>1.163</v>
      </c>
      <c r="BJ464" s="14">
        <v>52.4</v>
      </c>
      <c r="BK464" s="14">
        <v>20.399999999999999</v>
      </c>
      <c r="BL464" s="14">
        <v>27.2</v>
      </c>
      <c r="BM464" s="16">
        <f t="shared" si="76"/>
        <v>100</v>
      </c>
      <c r="BN464" s="21">
        <f t="shared" si="77"/>
        <v>3.22</v>
      </c>
      <c r="BO464" s="21">
        <f t="shared" si="78"/>
        <v>1.25</v>
      </c>
      <c r="BP464" s="21">
        <f t="shared" si="79"/>
        <v>1.68</v>
      </c>
      <c r="BQ464" s="14">
        <f t="shared" si="80"/>
        <v>6.15</v>
      </c>
      <c r="BR464" s="22" t="str">
        <f>IF(OR(AND(X464="Mourões", BQ464&gt;=6.5),AND(X464="Postes", BQ464&gt;=9.6),AND(X464="Dormentes", BQ464&gt;=9.6),AND(X464="Estacas - Solo", BQ464&gt;=6.5),AND(X464="Estacas - Suspenso", BQ464&gt;=4),AND(X464="Cruzetas", BQ464&gt;=6.5),AND(X464="Outros - Solo", BQ464&gt;=6.5),AND(X464="Outros - Suspenso",BQ464&gt;=4),AND(X464="Deck",BQ464&gt;=4)),'Listas suspensas'!$C$21,'Listas suspensas'!$C$22)</f>
        <v>Os resultados da análise química apresentaram uma retenção do produto inferior ao padrão mínimo exigido pela norma ABNT NBR 16143</v>
      </c>
    </row>
    <row r="465" spans="2:70" x14ac:dyDescent="0.25">
      <c r="B465" s="8" t="s">
        <v>1113</v>
      </c>
      <c r="C465" s="8" t="s">
        <v>71</v>
      </c>
      <c r="F465" s="11">
        <v>45960</v>
      </c>
      <c r="G465" s="11">
        <v>45964</v>
      </c>
      <c r="H465" s="11">
        <v>45968</v>
      </c>
      <c r="I465" s="8" t="s">
        <v>1385</v>
      </c>
      <c r="J465" s="8" t="s">
        <v>1386</v>
      </c>
      <c r="K465" s="8" t="s">
        <v>74</v>
      </c>
      <c r="L465" s="8" t="s">
        <v>15</v>
      </c>
      <c r="M465" s="30" t="s">
        <v>1387</v>
      </c>
      <c r="N465" s="8" t="s">
        <v>1165</v>
      </c>
      <c r="O465" s="8" t="s">
        <v>94</v>
      </c>
      <c r="P465" s="28" t="s">
        <v>146</v>
      </c>
      <c r="Q465" s="16" t="s">
        <v>1393</v>
      </c>
      <c r="X465" s="8" t="s">
        <v>79</v>
      </c>
      <c r="Y465" s="34">
        <f>IF(X465='Listas suspensas'!$A$21,'Listas suspensas'!$B$23,IF(X465='Listas suspensas'!$A$22,'Listas suspensas'!$B$23,IF(X465='Listas suspensas'!$A$23,'Listas suspensas'!$B$22,IF(X465='Listas suspensas'!$A$26,'Listas suspensas'!$B$22,IF(X465='Listas suspensas'!$A$32,'Listas suspensas'!$B$22,IF(X465='Listas suspensas'!$A$33,'Listas suspensas'!$B$21,IF(X465='Listas suspensas'!$A$24,'Listas suspensas'!$B$22,IF(X465='Listas suspensas'!$A$25,'Listas suspensas'!$B$21,IF(X465='Listas suspensas'!$A$30,'Listas suspensas'!$B$21,"")))))))))</f>
        <v>6.5</v>
      </c>
      <c r="Z465" s="8" t="s">
        <v>80</v>
      </c>
      <c r="AA465" s="8">
        <v>3</v>
      </c>
      <c r="AB465" s="8" t="str">
        <f>IF(AA465='Listas suspensas'!$A$2,'Listas suspensas'!$B$2,IF(AA465='Listas suspensas'!$A$3,'Listas suspensas'!$B$3,IF(AA465='Listas suspensas'!$A$4,'Listas suspensas'!$B$4,IF(AA465='Listas suspensas'!$A$5,'Listas suspensas'!$B$5,IF(AA465='Listas suspensas'!$A$6,'Listas suspensas'!$B$6,"")))))</f>
        <v xml:space="preserve"> Parcial e regular</v>
      </c>
      <c r="AC465" s="8" t="str">
        <f>IF(AA465='Listas suspensas'!$A$2,'Listas suspensas'!$C$2,IF(AA465='Listas suspensas'!$A$3,'Listas suspensas'!$C$3,IF(AA465='Listas suspensas'!$A$4,'Listas suspensas'!$C$4,IF(AA465='Listas suspensas'!$A$5,'Listas suspensas'!$C$5,IF(AA465='Listas suspensas'!$A$6,'Listas suspensas'!$C$6,"")))))</f>
        <v>Indica a penetração uniforme, mas não total pela extensão do alburno.</v>
      </c>
      <c r="BD465" s="13">
        <v>0.52700000000000002</v>
      </c>
      <c r="BE465" s="18">
        <f t="shared" si="85"/>
        <v>527</v>
      </c>
      <c r="BF465" s="8">
        <v>0.70699999999999996</v>
      </c>
      <c r="BG465" s="8">
        <v>0.32300000000000001</v>
      </c>
      <c r="BH465" s="8">
        <v>0.58299999999999996</v>
      </c>
      <c r="BI465" s="13">
        <f t="shared" si="86"/>
        <v>1.613</v>
      </c>
      <c r="BJ465" s="14">
        <v>43.8</v>
      </c>
      <c r="BK465" s="14">
        <v>20</v>
      </c>
      <c r="BL465" s="14">
        <v>36.200000000000003</v>
      </c>
      <c r="BM465" s="16">
        <f t="shared" si="76"/>
        <v>100</v>
      </c>
      <c r="BN465" s="21">
        <f t="shared" si="77"/>
        <v>3.73</v>
      </c>
      <c r="BO465" s="21">
        <f t="shared" si="78"/>
        <v>1.7</v>
      </c>
      <c r="BP465" s="21">
        <f t="shared" si="79"/>
        <v>3.07</v>
      </c>
      <c r="BQ465" s="14">
        <f t="shared" si="80"/>
        <v>8.5</v>
      </c>
      <c r="BR465" s="22" t="str">
        <f>IF(OR(AND(X465="Mourões", BQ465&gt;=6.5),AND(X465="Postes", BQ465&gt;=9.6),AND(X465="Dormentes", BQ465&gt;=9.6),AND(X465="Estacas - Solo", BQ465&gt;=6.5),AND(X465="Estacas - Suspenso", BQ465&gt;=4),AND(X465="Cruzetas", BQ465&gt;=6.5),AND(X465="Outros - Solo", BQ465&gt;=6.5),AND(X465="Outros - Suspenso",BQ465&gt;=4),AND(X465="Deck",BQ465&gt;=4)),'Listas suspensas'!$C$21,'Listas suspensas'!$C$22)</f>
        <v>Os resultados da análise química apresentaram uma retenção do produto de acordo com o padrão mínimo exigido pela norma ABNT NBR 16143</v>
      </c>
    </row>
    <row r="466" spans="2:70" x14ac:dyDescent="0.25">
      <c r="B466" s="8" t="s">
        <v>1114</v>
      </c>
      <c r="C466" s="8" t="s">
        <v>71</v>
      </c>
      <c r="F466" s="11">
        <v>45960</v>
      </c>
      <c r="G466" s="11">
        <v>45964</v>
      </c>
      <c r="H466" s="11">
        <v>45968</v>
      </c>
      <c r="I466" s="8" t="s">
        <v>1385</v>
      </c>
      <c r="J466" s="8" t="s">
        <v>1386</v>
      </c>
      <c r="K466" s="8" t="s">
        <v>74</v>
      </c>
      <c r="L466" s="8" t="s">
        <v>15</v>
      </c>
      <c r="M466" s="30" t="s">
        <v>1387</v>
      </c>
      <c r="N466" s="8" t="s">
        <v>1165</v>
      </c>
      <c r="O466" s="8" t="s">
        <v>94</v>
      </c>
      <c r="P466" s="28" t="s">
        <v>146</v>
      </c>
      <c r="Q466" s="16" t="s">
        <v>1394</v>
      </c>
      <c r="X466" s="8" t="s">
        <v>79</v>
      </c>
      <c r="Y466" s="34">
        <f>IF(X466='Listas suspensas'!$A$21,'Listas suspensas'!$B$23,IF(X466='Listas suspensas'!$A$22,'Listas suspensas'!$B$23,IF(X466='Listas suspensas'!$A$23,'Listas suspensas'!$B$22,IF(X466='Listas suspensas'!$A$26,'Listas suspensas'!$B$22,IF(X466='Listas suspensas'!$A$32,'Listas suspensas'!$B$22,IF(X466='Listas suspensas'!$A$33,'Listas suspensas'!$B$21,IF(X466='Listas suspensas'!$A$24,'Listas suspensas'!$B$22,IF(X466='Listas suspensas'!$A$25,'Listas suspensas'!$B$21,IF(X466='Listas suspensas'!$A$30,'Listas suspensas'!$B$21,"")))))))))</f>
        <v>6.5</v>
      </c>
      <c r="Z466" s="8" t="s">
        <v>80</v>
      </c>
      <c r="AA466" s="8">
        <v>2</v>
      </c>
      <c r="AB466" s="8" t="str">
        <f>IF(AA466='Listas suspensas'!$A$2,'Listas suspensas'!$B$2,IF(AA466='Listas suspensas'!$A$3,'Listas suspensas'!$B$3,IF(AA466='Listas suspensas'!$A$4,'Listas suspensas'!$B$4,IF(AA466='Listas suspensas'!$A$5,'Listas suspensas'!$B$5,IF(AA466='Listas suspensas'!$A$6,'Listas suspensas'!$B$6,"")))))</f>
        <v>Profunda e irregular</v>
      </c>
      <c r="AC466" s="8" t="str">
        <f>IF(AA466='Listas suspensas'!$A$2,'Listas suspensas'!$C$2,IF(AA466='Listas suspensas'!$A$3,'Listas suspensas'!$C$3,IF(AA466='Listas suspensas'!$A$4,'Listas suspensas'!$C$4,IF(AA466='Listas suspensas'!$A$5,'Listas suspensas'!$C$5,IF(AA466='Listas suspensas'!$A$6,'Listas suspensas'!$C$6,"")))))</f>
        <v>Indica a penetração profunda, mas desuniforme em toda a extensão do alburno.</v>
      </c>
      <c r="BD466" s="13">
        <v>0.57599999999999996</v>
      </c>
      <c r="BE466" s="18">
        <f t="shared" si="85"/>
        <v>576</v>
      </c>
      <c r="BF466" s="8">
        <v>0.92700000000000005</v>
      </c>
      <c r="BG466" s="8">
        <v>0.317</v>
      </c>
      <c r="BH466" s="8">
        <v>0.57499999999999996</v>
      </c>
      <c r="BI466" s="13">
        <f t="shared" si="86"/>
        <v>1.819</v>
      </c>
      <c r="BJ466" s="14">
        <v>51</v>
      </c>
      <c r="BK466" s="14">
        <v>17.399999999999999</v>
      </c>
      <c r="BL466" s="14">
        <v>31.6</v>
      </c>
      <c r="BM466" s="16">
        <f t="shared" si="76"/>
        <v>100</v>
      </c>
      <c r="BN466" s="21">
        <f t="shared" si="77"/>
        <v>5.34</v>
      </c>
      <c r="BO466" s="21">
        <f t="shared" si="78"/>
        <v>1.83</v>
      </c>
      <c r="BP466" s="21">
        <f t="shared" si="79"/>
        <v>3.31</v>
      </c>
      <c r="BQ466" s="14">
        <f t="shared" si="80"/>
        <v>10.48</v>
      </c>
      <c r="BR466" s="22" t="str">
        <f>IF(OR(AND(X466="Mourões", BQ466&gt;=6.5),AND(X466="Postes", BQ466&gt;=9.6),AND(X466="Dormentes", BQ466&gt;=9.6),AND(X466="Estacas - Solo", BQ466&gt;=6.5),AND(X466="Estacas - Suspenso", BQ466&gt;=4),AND(X466="Cruzetas", BQ466&gt;=6.5),AND(X466="Outros - Solo", BQ466&gt;=6.5),AND(X466="Outros - Suspenso",BQ466&gt;=4),AND(X466="Deck",BQ466&gt;=4)),'Listas suspensas'!$C$21,'Listas suspensas'!$C$22)</f>
        <v>Os resultados da análise química apresentaram uma retenção do produto de acordo com o padrão mínimo exigido pela norma ABNT NBR 16143</v>
      </c>
    </row>
    <row r="467" spans="2:70" x14ac:dyDescent="0.25">
      <c r="B467" s="8" t="s">
        <v>1115</v>
      </c>
      <c r="C467" s="8" t="s">
        <v>71</v>
      </c>
      <c r="F467" s="11">
        <v>45960</v>
      </c>
      <c r="G467" s="11">
        <v>45964</v>
      </c>
      <c r="H467" s="11">
        <v>45968</v>
      </c>
      <c r="I467" s="8" t="s">
        <v>1385</v>
      </c>
      <c r="J467" s="8" t="s">
        <v>1386</v>
      </c>
      <c r="K467" s="8" t="s">
        <v>74</v>
      </c>
      <c r="L467" s="8" t="s">
        <v>15</v>
      </c>
      <c r="M467" s="30" t="s">
        <v>1387</v>
      </c>
      <c r="N467" s="8" t="s">
        <v>1165</v>
      </c>
      <c r="O467" s="8" t="s">
        <v>94</v>
      </c>
      <c r="P467" s="28" t="s">
        <v>146</v>
      </c>
      <c r="Q467" s="16" t="s">
        <v>1395</v>
      </c>
      <c r="X467" s="8" t="s">
        <v>79</v>
      </c>
      <c r="Y467" s="34">
        <f>IF(X467='Listas suspensas'!$A$21,'Listas suspensas'!$B$23,IF(X467='Listas suspensas'!$A$22,'Listas suspensas'!$B$23,IF(X467='Listas suspensas'!$A$23,'Listas suspensas'!$B$22,IF(X467='Listas suspensas'!$A$26,'Listas suspensas'!$B$22,IF(X467='Listas suspensas'!$A$32,'Listas suspensas'!$B$22,IF(X467='Listas suspensas'!$A$33,'Listas suspensas'!$B$21,IF(X467='Listas suspensas'!$A$24,'Listas suspensas'!$B$22,IF(X467='Listas suspensas'!$A$25,'Listas suspensas'!$B$21,IF(X467='Listas suspensas'!$A$30,'Listas suspensas'!$B$21,"")))))))))</f>
        <v>6.5</v>
      </c>
      <c r="Z467" s="8" t="s">
        <v>80</v>
      </c>
      <c r="AA467" s="8">
        <v>2</v>
      </c>
      <c r="AB467" s="8" t="str">
        <f>IF(AA467='Listas suspensas'!$A$2,'Listas suspensas'!$B$2,IF(AA467='Listas suspensas'!$A$3,'Listas suspensas'!$B$3,IF(AA467='Listas suspensas'!$A$4,'Listas suspensas'!$B$4,IF(AA467='Listas suspensas'!$A$5,'Listas suspensas'!$B$5,IF(AA467='Listas suspensas'!$A$6,'Listas suspensas'!$B$6,"")))))</f>
        <v>Profunda e irregular</v>
      </c>
      <c r="AC467" s="8" t="str">
        <f>IF(AA467='Listas suspensas'!$A$2,'Listas suspensas'!$C$2,IF(AA467='Listas suspensas'!$A$3,'Listas suspensas'!$C$3,IF(AA467='Listas suspensas'!$A$4,'Listas suspensas'!$C$4,IF(AA467='Listas suspensas'!$A$5,'Listas suspensas'!$C$5,IF(AA467='Listas suspensas'!$A$6,'Listas suspensas'!$C$6,"")))))</f>
        <v>Indica a penetração profunda, mas desuniforme em toda a extensão do alburno.</v>
      </c>
      <c r="BD467" s="13">
        <v>0.60199999999999998</v>
      </c>
      <c r="BE467" s="18">
        <f t="shared" si="85"/>
        <v>602</v>
      </c>
      <c r="BF467" s="8">
        <v>0.66700000000000004</v>
      </c>
      <c r="BG467" s="8">
        <v>0.30199999999999999</v>
      </c>
      <c r="BH467" s="8">
        <v>0.498</v>
      </c>
      <c r="BI467" s="13">
        <f t="shared" si="86"/>
        <v>1.4670000000000001</v>
      </c>
      <c r="BJ467" s="14">
        <v>45.4</v>
      </c>
      <c r="BK467" s="14">
        <v>20.6</v>
      </c>
      <c r="BL467" s="14">
        <v>34</v>
      </c>
      <c r="BM467" s="16">
        <f t="shared" si="76"/>
        <v>100</v>
      </c>
      <c r="BN467" s="21">
        <f t="shared" si="77"/>
        <v>4.0199999999999996</v>
      </c>
      <c r="BO467" s="21">
        <f t="shared" si="78"/>
        <v>1.82</v>
      </c>
      <c r="BP467" s="21">
        <f t="shared" si="79"/>
        <v>3</v>
      </c>
      <c r="BQ467" s="14">
        <f t="shared" si="80"/>
        <v>8.84</v>
      </c>
      <c r="BR467" s="22" t="str">
        <f>IF(OR(AND(X467="Mourões", BQ467&gt;=6.5),AND(X467="Postes", BQ467&gt;=9.6),AND(X467="Dormentes", BQ467&gt;=9.6),AND(X467="Estacas - Solo", BQ467&gt;=6.5),AND(X467="Estacas - Suspenso", BQ467&gt;=4),AND(X467="Cruzetas", BQ467&gt;=6.5),AND(X467="Outros - Solo", BQ467&gt;=6.5),AND(X467="Outros - Suspenso",BQ467&gt;=4),AND(X467="Deck",BQ467&gt;=4)),'Listas suspensas'!$C$21,'Listas suspensas'!$C$22)</f>
        <v>Os resultados da análise química apresentaram uma retenção do produto de acordo com o padrão mínimo exigido pela norma ABNT NBR 16143</v>
      </c>
    </row>
    <row r="468" spans="2:70" x14ac:dyDescent="0.25">
      <c r="B468" s="8" t="s">
        <v>1116</v>
      </c>
      <c r="C468" s="8" t="s">
        <v>71</v>
      </c>
      <c r="F468" s="11">
        <v>45960</v>
      </c>
      <c r="G468" s="11">
        <v>45964</v>
      </c>
      <c r="H468" s="11">
        <v>45968</v>
      </c>
      <c r="I468" s="8" t="s">
        <v>1385</v>
      </c>
      <c r="J468" s="8" t="s">
        <v>1386</v>
      </c>
      <c r="K468" s="8" t="s">
        <v>74</v>
      </c>
      <c r="L468" s="8" t="s">
        <v>15</v>
      </c>
      <c r="M468" s="30" t="s">
        <v>1387</v>
      </c>
      <c r="N468" s="8" t="s">
        <v>1165</v>
      </c>
      <c r="O468" s="8" t="s">
        <v>94</v>
      </c>
      <c r="P468" s="28" t="s">
        <v>146</v>
      </c>
      <c r="Q468" s="16" t="s">
        <v>1396</v>
      </c>
      <c r="X468" s="8" t="s">
        <v>79</v>
      </c>
      <c r="Y468" s="34">
        <f>IF(X468='Listas suspensas'!$A$21,'Listas suspensas'!$B$23,IF(X468='Listas suspensas'!$A$22,'Listas suspensas'!$B$23,IF(X468='Listas suspensas'!$A$23,'Listas suspensas'!$B$22,IF(X468='Listas suspensas'!$A$26,'Listas suspensas'!$B$22,IF(X468='Listas suspensas'!$A$32,'Listas suspensas'!$B$22,IF(X468='Listas suspensas'!$A$33,'Listas suspensas'!$B$21,IF(X468='Listas suspensas'!$A$24,'Listas suspensas'!$B$22,IF(X468='Listas suspensas'!$A$25,'Listas suspensas'!$B$21,IF(X468='Listas suspensas'!$A$30,'Listas suspensas'!$B$21,"")))))))))</f>
        <v>6.5</v>
      </c>
      <c r="Z468" s="8" t="s">
        <v>80</v>
      </c>
      <c r="AA468" s="8">
        <v>2</v>
      </c>
      <c r="AB468" s="8" t="str">
        <f>IF(AA468='Listas suspensas'!$A$2,'Listas suspensas'!$B$2,IF(AA468='Listas suspensas'!$A$3,'Listas suspensas'!$B$3,IF(AA468='Listas suspensas'!$A$4,'Listas suspensas'!$B$4,IF(AA468='Listas suspensas'!$A$5,'Listas suspensas'!$B$5,IF(AA468='Listas suspensas'!$A$6,'Listas suspensas'!$B$6,"")))))</f>
        <v>Profunda e irregular</v>
      </c>
      <c r="AC468" s="8" t="str">
        <f>IF(AA468='Listas suspensas'!$A$2,'Listas suspensas'!$C$2,IF(AA468='Listas suspensas'!$A$3,'Listas suspensas'!$C$3,IF(AA468='Listas suspensas'!$A$4,'Listas suspensas'!$C$4,IF(AA468='Listas suspensas'!$A$5,'Listas suspensas'!$C$5,IF(AA468='Listas suspensas'!$A$6,'Listas suspensas'!$C$6,"")))))</f>
        <v>Indica a penetração profunda, mas desuniforme em toda a extensão do alburno.</v>
      </c>
      <c r="BD468" s="13">
        <v>0.58599999999999997</v>
      </c>
      <c r="BE468" s="18">
        <f t="shared" si="85"/>
        <v>586</v>
      </c>
      <c r="BF468" s="8">
        <v>0.624</v>
      </c>
      <c r="BG468" s="8">
        <v>0.27300000000000002</v>
      </c>
      <c r="BH468" s="8">
        <v>0.45300000000000001</v>
      </c>
      <c r="BI468" s="13">
        <f t="shared" si="86"/>
        <v>1.35</v>
      </c>
      <c r="BJ468" s="14">
        <v>46.2</v>
      </c>
      <c r="BK468" s="14">
        <v>20.2</v>
      </c>
      <c r="BL468" s="14">
        <v>33.6</v>
      </c>
      <c r="BM468" s="16">
        <f t="shared" si="76"/>
        <v>100</v>
      </c>
      <c r="BN468" s="21">
        <f t="shared" si="77"/>
        <v>3.66</v>
      </c>
      <c r="BO468" s="21">
        <f t="shared" si="78"/>
        <v>1.6</v>
      </c>
      <c r="BP468" s="21">
        <f t="shared" si="79"/>
        <v>2.65</v>
      </c>
      <c r="BQ468" s="14">
        <f t="shared" si="80"/>
        <v>7.91</v>
      </c>
      <c r="BR468" s="22" t="str">
        <f>IF(OR(AND(X468="Mourões", BQ468&gt;=6.5),AND(X468="Postes", BQ468&gt;=9.6),AND(X468="Dormentes", BQ468&gt;=9.6),AND(X468="Estacas - Solo", BQ468&gt;=6.5),AND(X468="Estacas - Suspenso", BQ468&gt;=4),AND(X468="Cruzetas", BQ468&gt;=6.5),AND(X468="Outros - Solo", BQ468&gt;=6.5),AND(X468="Outros - Suspenso",BQ468&gt;=4),AND(X468="Deck",BQ468&gt;=4)),'Listas suspensas'!$C$21,'Listas suspensas'!$C$22)</f>
        <v>Os resultados da análise química apresentaram uma retenção do produto de acordo com o padrão mínimo exigido pela norma ABNT NBR 16143</v>
      </c>
    </row>
    <row r="469" spans="2:70" x14ac:dyDescent="0.25">
      <c r="B469" s="8" t="s">
        <v>1117</v>
      </c>
      <c r="C469" s="8" t="s">
        <v>71</v>
      </c>
      <c r="F469" s="11">
        <v>45960</v>
      </c>
      <c r="G469" s="11">
        <v>45964</v>
      </c>
      <c r="H469" s="11">
        <v>45968</v>
      </c>
      <c r="I469" s="8" t="s">
        <v>1385</v>
      </c>
      <c r="J469" s="8" t="s">
        <v>1386</v>
      </c>
      <c r="K469" s="8" t="s">
        <v>74</v>
      </c>
      <c r="L469" s="8" t="s">
        <v>15</v>
      </c>
      <c r="M469" s="30" t="s">
        <v>1387</v>
      </c>
      <c r="N469" s="8" t="s">
        <v>1165</v>
      </c>
      <c r="O469" s="8" t="s">
        <v>94</v>
      </c>
      <c r="P469" s="28" t="s">
        <v>146</v>
      </c>
      <c r="Q469" s="16" t="s">
        <v>1397</v>
      </c>
      <c r="X469" s="8" t="s">
        <v>79</v>
      </c>
      <c r="Y469" s="34">
        <f>IF(X469='Listas suspensas'!$A$21,'Listas suspensas'!$B$23,IF(X469='Listas suspensas'!$A$22,'Listas suspensas'!$B$23,IF(X469='Listas suspensas'!$A$23,'Listas suspensas'!$B$22,IF(X469='Listas suspensas'!$A$26,'Listas suspensas'!$B$22,IF(X469='Listas suspensas'!$A$32,'Listas suspensas'!$B$22,IF(X469='Listas suspensas'!$A$33,'Listas suspensas'!$B$21,IF(X469='Listas suspensas'!$A$24,'Listas suspensas'!$B$22,IF(X469='Listas suspensas'!$A$25,'Listas suspensas'!$B$21,IF(X469='Listas suspensas'!$A$30,'Listas suspensas'!$B$21,"")))))))))</f>
        <v>6.5</v>
      </c>
      <c r="Z469" s="8" t="s">
        <v>80</v>
      </c>
      <c r="AA469" s="8">
        <v>2</v>
      </c>
      <c r="AB469" s="8" t="str">
        <f>IF(AA469='Listas suspensas'!$A$2,'Listas suspensas'!$B$2,IF(AA469='Listas suspensas'!$A$3,'Listas suspensas'!$B$3,IF(AA469='Listas suspensas'!$A$4,'Listas suspensas'!$B$4,IF(AA469='Listas suspensas'!$A$5,'Listas suspensas'!$B$5,IF(AA469='Listas suspensas'!$A$6,'Listas suspensas'!$B$6,"")))))</f>
        <v>Profunda e irregular</v>
      </c>
      <c r="AC469" s="8" t="str">
        <f>IF(AA469='Listas suspensas'!$A$2,'Listas suspensas'!$C$2,IF(AA469='Listas suspensas'!$A$3,'Listas suspensas'!$C$3,IF(AA469='Listas suspensas'!$A$4,'Listas suspensas'!$C$4,IF(AA469='Listas suspensas'!$A$5,'Listas suspensas'!$C$5,IF(AA469='Listas suspensas'!$A$6,'Listas suspensas'!$C$6,"")))))</f>
        <v>Indica a penetração profunda, mas desuniforme em toda a extensão do alburno.</v>
      </c>
      <c r="BD469" s="13">
        <v>0.59099999999999997</v>
      </c>
      <c r="BE469" s="18">
        <f t="shared" si="85"/>
        <v>591</v>
      </c>
      <c r="BF469" s="8">
        <v>0.56899999999999995</v>
      </c>
      <c r="BG469" s="8">
        <v>0.26200000000000001</v>
      </c>
      <c r="BH469" s="8">
        <v>0.43</v>
      </c>
      <c r="BI469" s="13">
        <f t="shared" si="86"/>
        <v>1.2609999999999999</v>
      </c>
      <c r="BJ469" s="14">
        <v>45.1</v>
      </c>
      <c r="BK469" s="14">
        <v>20.8</v>
      </c>
      <c r="BL469" s="14">
        <v>34.1</v>
      </c>
      <c r="BM469" s="16">
        <f t="shared" si="76"/>
        <v>100</v>
      </c>
      <c r="BN469" s="21">
        <f t="shared" si="77"/>
        <v>3.36</v>
      </c>
      <c r="BO469" s="21">
        <f t="shared" si="78"/>
        <v>1.55</v>
      </c>
      <c r="BP469" s="21">
        <f t="shared" si="79"/>
        <v>2.54</v>
      </c>
      <c r="BQ469" s="14">
        <f t="shared" si="80"/>
        <v>7.45</v>
      </c>
      <c r="BR469" s="22" t="str">
        <f>IF(OR(AND(X469="Mourões", BQ469&gt;=6.5),AND(X469="Postes", BQ469&gt;=9.6),AND(X469="Dormentes", BQ469&gt;=9.6),AND(X469="Estacas - Solo", BQ469&gt;=6.5),AND(X469="Estacas - Suspenso", BQ469&gt;=4),AND(X469="Cruzetas", BQ469&gt;=6.5),AND(X469="Outros - Solo", BQ469&gt;=6.5),AND(X469="Outros - Suspenso",BQ469&gt;=4),AND(X469="Deck",BQ469&gt;=4)),'Listas suspensas'!$C$21,'Listas suspensas'!$C$22)</f>
        <v>Os resultados da análise química apresentaram uma retenção do produto de acordo com o padrão mínimo exigido pela norma ABNT NBR 16143</v>
      </c>
    </row>
    <row r="470" spans="2:70" x14ac:dyDescent="0.25">
      <c r="B470" s="8" t="s">
        <v>1118</v>
      </c>
      <c r="C470" s="8" t="s">
        <v>71</v>
      </c>
      <c r="F470" s="11">
        <v>45960</v>
      </c>
      <c r="G470" s="11">
        <v>45964</v>
      </c>
      <c r="H470" s="11">
        <v>45968</v>
      </c>
      <c r="I470" s="8" t="s">
        <v>1238</v>
      </c>
      <c r="J470" s="8" t="s">
        <v>845</v>
      </c>
      <c r="K470" s="8" t="s">
        <v>92</v>
      </c>
      <c r="L470" s="8" t="s">
        <v>15</v>
      </c>
      <c r="M470" s="30" t="s">
        <v>846</v>
      </c>
      <c r="N470" s="8" t="s">
        <v>1165</v>
      </c>
      <c r="O470" s="8" t="s">
        <v>76</v>
      </c>
      <c r="P470" s="28" t="s">
        <v>146</v>
      </c>
      <c r="Q470" s="16" t="s">
        <v>1398</v>
      </c>
      <c r="X470" s="8" t="s">
        <v>79</v>
      </c>
      <c r="Y470" s="34">
        <f>IF(X470='Listas suspensas'!$A$21,'Listas suspensas'!$B$23,IF(X470='Listas suspensas'!$A$22,'Listas suspensas'!$B$23,IF(X470='Listas suspensas'!$A$23,'Listas suspensas'!$B$22,IF(X470='Listas suspensas'!$A$26,'Listas suspensas'!$B$22,IF(X470='Listas suspensas'!$A$32,'Listas suspensas'!$B$22,IF(X470='Listas suspensas'!$A$33,'Listas suspensas'!$B$21,IF(X470='Listas suspensas'!$A$24,'Listas suspensas'!$B$22,IF(X470='Listas suspensas'!$A$25,'Listas suspensas'!$B$21,IF(X470='Listas suspensas'!$A$30,'Listas suspensas'!$B$21,"")))))))))</f>
        <v>6.5</v>
      </c>
      <c r="Z470" s="8" t="s">
        <v>80</v>
      </c>
      <c r="AA470" s="8">
        <v>2</v>
      </c>
      <c r="AB470" s="8" t="str">
        <f>IF(AA470='Listas suspensas'!$A$2,'Listas suspensas'!$B$2,IF(AA470='Listas suspensas'!$A$3,'Listas suspensas'!$B$3,IF(AA470='Listas suspensas'!$A$4,'Listas suspensas'!$B$4,IF(AA470='Listas suspensas'!$A$5,'Listas suspensas'!$B$5,IF(AA470='Listas suspensas'!$A$6,'Listas suspensas'!$B$6,"")))))</f>
        <v>Profunda e irregular</v>
      </c>
      <c r="AC470" s="8" t="str">
        <f>IF(AA470='Listas suspensas'!$A$2,'Listas suspensas'!$C$2,IF(AA470='Listas suspensas'!$A$3,'Listas suspensas'!$C$3,IF(AA470='Listas suspensas'!$A$4,'Listas suspensas'!$C$4,IF(AA470='Listas suspensas'!$A$5,'Listas suspensas'!$C$5,IF(AA470='Listas suspensas'!$A$6,'Listas suspensas'!$C$6,"")))))</f>
        <v>Indica a penetração profunda, mas desuniforme em toda a extensão do alburno.</v>
      </c>
      <c r="BD470" s="13">
        <v>0.57099999999999995</v>
      </c>
      <c r="BE470" s="18">
        <f t="shared" si="85"/>
        <v>571</v>
      </c>
      <c r="BF470" s="8">
        <v>0.83599999999999997</v>
      </c>
      <c r="BG470" s="8">
        <v>0.217</v>
      </c>
      <c r="BH470" s="8">
        <v>0.41699999999999998</v>
      </c>
      <c r="BI470" s="13">
        <f t="shared" si="86"/>
        <v>1.47</v>
      </c>
      <c r="BJ470" s="14">
        <v>56.9</v>
      </c>
      <c r="BK470" s="14">
        <v>14.8</v>
      </c>
      <c r="BL470" s="14">
        <v>28.3</v>
      </c>
      <c r="BM470" s="16">
        <f t="shared" si="76"/>
        <v>100</v>
      </c>
      <c r="BN470" s="21">
        <f t="shared" si="77"/>
        <v>4.7699999999999996</v>
      </c>
      <c r="BO470" s="21">
        <f t="shared" si="78"/>
        <v>1.24</v>
      </c>
      <c r="BP470" s="21">
        <f t="shared" si="79"/>
        <v>2.38</v>
      </c>
      <c r="BQ470" s="14">
        <f t="shared" si="80"/>
        <v>8.39</v>
      </c>
      <c r="BR470" s="22" t="str">
        <f>IF(OR(AND(X470="Mourões", BQ470&gt;=6.5),AND(X470="Postes", BQ470&gt;=9.6),AND(X470="Dormentes", BQ470&gt;=9.6),AND(X470="Estacas - Solo", BQ470&gt;=6.5),AND(X470="Estacas - Suspenso", BQ470&gt;=4),AND(X470="Cruzetas", BQ470&gt;=6.5),AND(X470="Outros - Solo", BQ470&gt;=6.5),AND(X470="Outros - Suspenso",BQ470&gt;=4),AND(X470="Deck",BQ470&gt;=4)),'Listas suspensas'!$C$21,'Listas suspensas'!$C$22)</f>
        <v>Os resultados da análise química apresentaram uma retenção do produto de acordo com o padrão mínimo exigido pela norma ABNT NBR 16143</v>
      </c>
    </row>
    <row r="471" spans="2:70" x14ac:dyDescent="0.25">
      <c r="B471" s="8" t="s">
        <v>1119</v>
      </c>
      <c r="C471" s="8" t="s">
        <v>71</v>
      </c>
      <c r="F471" s="11">
        <v>45960</v>
      </c>
      <c r="G471" s="11">
        <v>45964</v>
      </c>
      <c r="H471" s="11">
        <v>45968</v>
      </c>
      <c r="I471" s="8" t="s">
        <v>1238</v>
      </c>
      <c r="J471" s="8" t="s">
        <v>845</v>
      </c>
      <c r="K471" s="8" t="s">
        <v>92</v>
      </c>
      <c r="L471" s="8" t="s">
        <v>15</v>
      </c>
      <c r="M471" s="30" t="s">
        <v>846</v>
      </c>
      <c r="N471" s="8" t="s">
        <v>1165</v>
      </c>
      <c r="O471" s="8" t="s">
        <v>76</v>
      </c>
      <c r="P471" s="28" t="s">
        <v>146</v>
      </c>
      <c r="Q471" s="16" t="s">
        <v>1399</v>
      </c>
      <c r="X471" s="8" t="s">
        <v>79</v>
      </c>
      <c r="Y471" s="34">
        <f>IF(X471='Listas suspensas'!$A$21,'Listas suspensas'!$B$23,IF(X471='Listas suspensas'!$A$22,'Listas suspensas'!$B$23,IF(X471='Listas suspensas'!$A$23,'Listas suspensas'!$B$22,IF(X471='Listas suspensas'!$A$26,'Listas suspensas'!$B$22,IF(X471='Listas suspensas'!$A$32,'Listas suspensas'!$B$22,IF(X471='Listas suspensas'!$A$33,'Listas suspensas'!$B$21,IF(X471='Listas suspensas'!$A$24,'Listas suspensas'!$B$22,IF(X471='Listas suspensas'!$A$25,'Listas suspensas'!$B$21,IF(X471='Listas suspensas'!$A$30,'Listas suspensas'!$B$21,"")))))))))</f>
        <v>6.5</v>
      </c>
      <c r="Z471" s="8" t="s">
        <v>80</v>
      </c>
      <c r="AA471" s="8">
        <v>2</v>
      </c>
      <c r="AB471" s="8" t="str">
        <f>IF(AA471='Listas suspensas'!$A$2,'Listas suspensas'!$B$2,IF(AA471='Listas suspensas'!$A$3,'Listas suspensas'!$B$3,IF(AA471='Listas suspensas'!$A$4,'Listas suspensas'!$B$4,IF(AA471='Listas suspensas'!$A$5,'Listas suspensas'!$B$5,IF(AA471='Listas suspensas'!$A$6,'Listas suspensas'!$B$6,"")))))</f>
        <v>Profunda e irregular</v>
      </c>
      <c r="AC471" s="8" t="str">
        <f>IF(AA471='Listas suspensas'!$A$2,'Listas suspensas'!$C$2,IF(AA471='Listas suspensas'!$A$3,'Listas suspensas'!$C$3,IF(AA471='Listas suspensas'!$A$4,'Listas suspensas'!$C$4,IF(AA471='Listas suspensas'!$A$5,'Listas suspensas'!$C$5,IF(AA471='Listas suspensas'!$A$6,'Listas suspensas'!$C$6,"")))))</f>
        <v>Indica a penetração profunda, mas desuniforme em toda a extensão do alburno.</v>
      </c>
      <c r="BD471" s="13">
        <v>0.434</v>
      </c>
      <c r="BE471" s="18">
        <f t="shared" si="85"/>
        <v>434</v>
      </c>
      <c r="BF471" s="8">
        <v>0.81799999999999995</v>
      </c>
      <c r="BG471" s="8">
        <v>0.32300000000000001</v>
      </c>
      <c r="BH471" s="8">
        <v>0.501</v>
      </c>
      <c r="BI471" s="13">
        <f t="shared" si="86"/>
        <v>1.6419999999999999</v>
      </c>
      <c r="BJ471" s="14">
        <v>49.8</v>
      </c>
      <c r="BK471" s="14">
        <v>19.7</v>
      </c>
      <c r="BL471" s="14">
        <v>30.5</v>
      </c>
      <c r="BM471" s="16">
        <f t="shared" si="76"/>
        <v>100</v>
      </c>
      <c r="BN471" s="21">
        <f t="shared" si="77"/>
        <v>3.55</v>
      </c>
      <c r="BO471" s="21">
        <f t="shared" si="78"/>
        <v>1.4</v>
      </c>
      <c r="BP471" s="21">
        <f t="shared" si="79"/>
        <v>2.17</v>
      </c>
      <c r="BQ471" s="14">
        <f t="shared" si="80"/>
        <v>7.12</v>
      </c>
      <c r="BR471" s="22" t="str">
        <f>IF(OR(AND(X471="Mourões", BQ471&gt;=6.5),AND(X471="Postes", BQ471&gt;=9.6),AND(X471="Dormentes", BQ471&gt;=9.6),AND(X471="Estacas - Solo", BQ471&gt;=6.5),AND(X471="Estacas - Suspenso", BQ471&gt;=4),AND(X471="Cruzetas", BQ471&gt;=6.5),AND(X471="Outros - Solo", BQ471&gt;=6.5),AND(X471="Outros - Suspenso",BQ471&gt;=4),AND(X471="Deck",BQ471&gt;=4)),'Listas suspensas'!$C$21,'Listas suspensas'!$C$22)</f>
        <v>Os resultados da análise química apresentaram uma retenção do produto de acordo com o padrão mínimo exigido pela norma ABNT NBR 16143</v>
      </c>
    </row>
    <row r="472" spans="2:70" x14ac:dyDescent="0.25">
      <c r="B472" s="8" t="s">
        <v>1120</v>
      </c>
      <c r="C472" s="8" t="s">
        <v>71</v>
      </c>
      <c r="F472" s="11">
        <v>45960</v>
      </c>
      <c r="G472" s="11">
        <v>45964</v>
      </c>
      <c r="H472" s="11">
        <v>45968</v>
      </c>
      <c r="I472" s="8" t="s">
        <v>1400</v>
      </c>
      <c r="J472" s="8" t="s">
        <v>1401</v>
      </c>
      <c r="K472" s="8" t="s">
        <v>92</v>
      </c>
      <c r="L472" s="8" t="s">
        <v>15</v>
      </c>
      <c r="M472" s="30" t="s">
        <v>1402</v>
      </c>
      <c r="N472" s="8" t="s">
        <v>1165</v>
      </c>
      <c r="O472" s="8" t="s">
        <v>76</v>
      </c>
      <c r="P472" s="28" t="s">
        <v>146</v>
      </c>
      <c r="Q472" s="16" t="s">
        <v>1403</v>
      </c>
      <c r="X472" s="8" t="s">
        <v>79</v>
      </c>
      <c r="Y472" s="34">
        <f>IF(X472='Listas suspensas'!$A$21,'Listas suspensas'!$B$23,IF(X472='Listas suspensas'!$A$22,'Listas suspensas'!$B$23,IF(X472='Listas suspensas'!$A$23,'Listas suspensas'!$B$22,IF(X472='Listas suspensas'!$A$26,'Listas suspensas'!$B$22,IF(X472='Listas suspensas'!$A$32,'Listas suspensas'!$B$22,IF(X472='Listas suspensas'!$A$33,'Listas suspensas'!$B$21,IF(X472='Listas suspensas'!$A$24,'Listas suspensas'!$B$22,IF(X472='Listas suspensas'!$A$25,'Listas suspensas'!$B$21,IF(X472='Listas suspensas'!$A$30,'Listas suspensas'!$B$21,"")))))))))</f>
        <v>6.5</v>
      </c>
      <c r="Z472" s="8" t="s">
        <v>80</v>
      </c>
      <c r="AA472" s="8">
        <v>2</v>
      </c>
      <c r="AB472" s="8" t="str">
        <f>IF(AA472='Listas suspensas'!$A$2,'Listas suspensas'!$B$2,IF(AA472='Listas suspensas'!$A$3,'Listas suspensas'!$B$3,IF(AA472='Listas suspensas'!$A$4,'Listas suspensas'!$B$4,IF(AA472='Listas suspensas'!$A$5,'Listas suspensas'!$B$5,IF(AA472='Listas suspensas'!$A$6,'Listas suspensas'!$B$6,"")))))</f>
        <v>Profunda e irregular</v>
      </c>
      <c r="AC472" s="8" t="str">
        <f>IF(AA472='Listas suspensas'!$A$2,'Listas suspensas'!$C$2,IF(AA472='Listas suspensas'!$A$3,'Listas suspensas'!$C$3,IF(AA472='Listas suspensas'!$A$4,'Listas suspensas'!$C$4,IF(AA472='Listas suspensas'!$A$5,'Listas suspensas'!$C$5,IF(AA472='Listas suspensas'!$A$6,'Listas suspensas'!$C$6,"")))))</f>
        <v>Indica a penetração profunda, mas desuniforme em toda a extensão do alburno.</v>
      </c>
      <c r="BD472" s="13">
        <v>0.78300000000000003</v>
      </c>
      <c r="BE472" s="18">
        <f t="shared" si="85"/>
        <v>783</v>
      </c>
      <c r="BF472" s="8">
        <v>0.40600000000000003</v>
      </c>
      <c r="BG472" s="8">
        <v>0.17399999999999999</v>
      </c>
      <c r="BH472" s="8">
        <v>0.27300000000000002</v>
      </c>
      <c r="BI472" s="13">
        <f t="shared" si="86"/>
        <v>0.85300000000000009</v>
      </c>
      <c r="BJ472" s="14">
        <v>47.6</v>
      </c>
      <c r="BK472" s="14">
        <v>20.399999999999999</v>
      </c>
      <c r="BL472" s="14">
        <v>32</v>
      </c>
      <c r="BM472" s="16">
        <f t="shared" si="76"/>
        <v>100</v>
      </c>
      <c r="BN472" s="21">
        <f t="shared" si="77"/>
        <v>3.18</v>
      </c>
      <c r="BO472" s="21">
        <f t="shared" si="78"/>
        <v>1.36</v>
      </c>
      <c r="BP472" s="21">
        <f t="shared" si="79"/>
        <v>2.14</v>
      </c>
      <c r="BQ472" s="14">
        <f t="shared" si="80"/>
        <v>6.68</v>
      </c>
      <c r="BR472" s="22" t="str">
        <f>IF(OR(AND(X472="Mourões", BQ472&gt;=6.5),AND(X472="Postes", BQ472&gt;=9.6),AND(X472="Dormentes", BQ472&gt;=9.6),AND(X472="Estacas - Solo", BQ472&gt;=6.5),AND(X472="Estacas - Suspenso", BQ472&gt;=4),AND(X472="Cruzetas", BQ472&gt;=6.5),AND(X472="Outros - Solo", BQ472&gt;=6.5),AND(X472="Outros - Suspenso",BQ472&gt;=4),AND(X472="Deck",BQ472&gt;=4)),'Listas suspensas'!$C$21,'Listas suspensas'!$C$22)</f>
        <v>Os resultados da análise química apresentaram uma retenção do produto de acordo com o padrão mínimo exigido pela norma ABNT NBR 16143</v>
      </c>
    </row>
    <row r="473" spans="2:70" x14ac:dyDescent="0.25">
      <c r="B473" s="8" t="s">
        <v>1121</v>
      </c>
      <c r="C473" s="8" t="s">
        <v>71</v>
      </c>
      <c r="F473" s="11">
        <v>45960</v>
      </c>
      <c r="G473" s="11">
        <v>45964</v>
      </c>
      <c r="H473" s="11">
        <v>45968</v>
      </c>
      <c r="I473" s="8" t="s">
        <v>1400</v>
      </c>
      <c r="J473" s="8" t="s">
        <v>1401</v>
      </c>
      <c r="K473" s="8" t="s">
        <v>92</v>
      </c>
      <c r="L473" s="8" t="s">
        <v>15</v>
      </c>
      <c r="M473" s="30" t="s">
        <v>1402</v>
      </c>
      <c r="N473" s="8" t="s">
        <v>1165</v>
      </c>
      <c r="O473" s="8" t="s">
        <v>76</v>
      </c>
      <c r="P473" s="28" t="s">
        <v>146</v>
      </c>
      <c r="Q473" s="16" t="s">
        <v>1404</v>
      </c>
      <c r="X473" s="8" t="s">
        <v>79</v>
      </c>
      <c r="Y473" s="34">
        <f>IF(X473='Listas suspensas'!$A$21,'Listas suspensas'!$B$23,IF(X473='Listas suspensas'!$A$22,'Listas suspensas'!$B$23,IF(X473='Listas suspensas'!$A$23,'Listas suspensas'!$B$22,IF(X473='Listas suspensas'!$A$26,'Listas suspensas'!$B$22,IF(X473='Listas suspensas'!$A$32,'Listas suspensas'!$B$22,IF(X473='Listas suspensas'!$A$33,'Listas suspensas'!$B$21,IF(X473='Listas suspensas'!$A$24,'Listas suspensas'!$B$22,IF(X473='Listas suspensas'!$A$25,'Listas suspensas'!$B$21,IF(X473='Listas suspensas'!$A$30,'Listas suspensas'!$B$21,"")))))))))</f>
        <v>6.5</v>
      </c>
      <c r="Z473" s="8" t="s">
        <v>80</v>
      </c>
      <c r="AA473" s="8">
        <v>2</v>
      </c>
      <c r="AB473" s="8" t="str">
        <f>IF(AA473='Listas suspensas'!$A$2,'Listas suspensas'!$B$2,IF(AA473='Listas suspensas'!$A$3,'Listas suspensas'!$B$3,IF(AA473='Listas suspensas'!$A$4,'Listas suspensas'!$B$4,IF(AA473='Listas suspensas'!$A$5,'Listas suspensas'!$B$5,IF(AA473='Listas suspensas'!$A$6,'Listas suspensas'!$B$6,"")))))</f>
        <v>Profunda e irregular</v>
      </c>
      <c r="AC473" s="8" t="str">
        <f>IF(AA473='Listas suspensas'!$A$2,'Listas suspensas'!$C$2,IF(AA473='Listas suspensas'!$A$3,'Listas suspensas'!$C$3,IF(AA473='Listas suspensas'!$A$4,'Listas suspensas'!$C$4,IF(AA473='Listas suspensas'!$A$5,'Listas suspensas'!$C$5,IF(AA473='Listas suspensas'!$A$6,'Listas suspensas'!$C$6,"")))))</f>
        <v>Indica a penetração profunda, mas desuniforme em toda a extensão do alburno.</v>
      </c>
      <c r="BD473" s="13">
        <v>0.624</v>
      </c>
      <c r="BE473" s="18">
        <f t="shared" si="85"/>
        <v>624</v>
      </c>
      <c r="BF473" s="8">
        <v>0.49399999999999999</v>
      </c>
      <c r="BG473" s="8">
        <v>0.214</v>
      </c>
      <c r="BH473" s="8">
        <v>0.35399999999999998</v>
      </c>
      <c r="BI473" s="13">
        <f t="shared" si="86"/>
        <v>1.0619999999999998</v>
      </c>
      <c r="BJ473" s="14">
        <v>46.5</v>
      </c>
      <c r="BK473" s="14">
        <v>20.2</v>
      </c>
      <c r="BL473" s="14">
        <v>33.299999999999997</v>
      </c>
      <c r="BM473" s="16">
        <f t="shared" si="76"/>
        <v>100</v>
      </c>
      <c r="BN473" s="21">
        <f t="shared" si="77"/>
        <v>3.08</v>
      </c>
      <c r="BO473" s="21">
        <f t="shared" si="78"/>
        <v>1.34</v>
      </c>
      <c r="BP473" s="21">
        <f t="shared" si="79"/>
        <v>2.21</v>
      </c>
      <c r="BQ473" s="14">
        <f t="shared" si="80"/>
        <v>6.63</v>
      </c>
      <c r="BR473" s="22" t="str">
        <f>IF(OR(AND(X473="Mourões", BQ473&gt;=6.5),AND(X473="Postes", BQ473&gt;=9.6),AND(X473="Dormentes", BQ473&gt;=9.6),AND(X473="Estacas - Solo", BQ473&gt;=6.5),AND(X473="Estacas - Suspenso", BQ473&gt;=4),AND(X473="Cruzetas", BQ473&gt;=6.5),AND(X473="Outros - Solo", BQ473&gt;=6.5),AND(X473="Outros - Suspenso",BQ473&gt;=4),AND(X473="Deck",BQ473&gt;=4)),'Listas suspensas'!$C$21,'Listas suspensas'!$C$22)</f>
        <v>Os resultados da análise química apresentaram uma retenção do produto de acordo com o padrão mínimo exigido pela norma ABNT NBR 16143</v>
      </c>
    </row>
    <row r="474" spans="2:70" x14ac:dyDescent="0.25">
      <c r="B474" s="8" t="s">
        <v>1122</v>
      </c>
      <c r="C474" s="8" t="s">
        <v>71</v>
      </c>
      <c r="F474" s="11">
        <v>45960</v>
      </c>
      <c r="G474" s="11">
        <v>45964</v>
      </c>
      <c r="H474" s="11">
        <v>45972</v>
      </c>
      <c r="I474" s="8" t="s">
        <v>1400</v>
      </c>
      <c r="J474" s="8" t="s">
        <v>1401</v>
      </c>
      <c r="K474" s="8" t="s">
        <v>92</v>
      </c>
      <c r="L474" s="8" t="s">
        <v>15</v>
      </c>
      <c r="M474" s="30" t="s">
        <v>1402</v>
      </c>
      <c r="N474" s="8" t="s">
        <v>1165</v>
      </c>
      <c r="O474" s="8" t="s">
        <v>76</v>
      </c>
      <c r="P474" s="28" t="s">
        <v>146</v>
      </c>
      <c r="Q474" s="16" t="s">
        <v>1405</v>
      </c>
      <c r="X474" s="8" t="s">
        <v>79</v>
      </c>
      <c r="Y474" s="34">
        <f>IF(X474='Listas suspensas'!$A$21,'Listas suspensas'!$B$23,IF(X474='Listas suspensas'!$A$22,'Listas suspensas'!$B$23,IF(X474='Listas suspensas'!$A$23,'Listas suspensas'!$B$22,IF(X474='Listas suspensas'!$A$26,'Listas suspensas'!$B$22,IF(X474='Listas suspensas'!$A$32,'Listas suspensas'!$B$22,IF(X474='Listas suspensas'!$A$33,'Listas suspensas'!$B$21,IF(X474='Listas suspensas'!$A$24,'Listas suspensas'!$B$22,IF(X474='Listas suspensas'!$A$25,'Listas suspensas'!$B$21,IF(X474='Listas suspensas'!$A$30,'Listas suspensas'!$B$21,"")))))))))</f>
        <v>6.5</v>
      </c>
      <c r="Z474" s="8" t="s">
        <v>80</v>
      </c>
      <c r="AA474" s="8">
        <v>2</v>
      </c>
      <c r="AB474" s="8" t="str">
        <f>IF(AA474='Listas suspensas'!$A$2,'Listas suspensas'!$B$2,IF(AA474='Listas suspensas'!$A$3,'Listas suspensas'!$B$3,IF(AA474='Listas suspensas'!$A$4,'Listas suspensas'!$B$4,IF(AA474='Listas suspensas'!$A$5,'Listas suspensas'!$B$5,IF(AA474='Listas suspensas'!$A$6,'Listas suspensas'!$B$6,"")))))</f>
        <v>Profunda e irregular</v>
      </c>
      <c r="AC474" s="8" t="str">
        <f>IF(AA474='Listas suspensas'!$A$2,'Listas suspensas'!$C$2,IF(AA474='Listas suspensas'!$A$3,'Listas suspensas'!$C$3,IF(AA474='Listas suspensas'!$A$4,'Listas suspensas'!$C$4,IF(AA474='Listas suspensas'!$A$5,'Listas suspensas'!$C$5,IF(AA474='Listas suspensas'!$A$6,'Listas suspensas'!$C$6,"")))))</f>
        <v>Indica a penetração profunda, mas desuniforme em toda a extensão do alburno.</v>
      </c>
      <c r="BD474" s="13">
        <v>0.755</v>
      </c>
      <c r="BE474" s="18">
        <f t="shared" si="85"/>
        <v>755</v>
      </c>
      <c r="BF474" s="8">
        <v>0.374</v>
      </c>
      <c r="BG474" s="8">
        <v>0.17799999999999999</v>
      </c>
      <c r="BH474" s="8">
        <v>0.318</v>
      </c>
      <c r="BI474" s="13">
        <f t="shared" si="86"/>
        <v>0.87000000000000011</v>
      </c>
      <c r="BJ474" s="14">
        <v>43</v>
      </c>
      <c r="BK474" s="14">
        <v>20.399999999999999</v>
      </c>
      <c r="BL474" s="14">
        <v>36.6</v>
      </c>
      <c r="BM474" s="16">
        <f t="shared" si="76"/>
        <v>100</v>
      </c>
      <c r="BN474" s="21">
        <f t="shared" si="77"/>
        <v>2.82</v>
      </c>
      <c r="BO474" s="21">
        <f t="shared" si="78"/>
        <v>1.34</v>
      </c>
      <c r="BP474" s="21">
        <f t="shared" si="79"/>
        <v>2.4</v>
      </c>
      <c r="BQ474" s="14">
        <f t="shared" si="80"/>
        <v>6.56</v>
      </c>
      <c r="BR474" s="22" t="str">
        <f>IF(OR(AND(X474="Mourões", BQ474&gt;=6.5),AND(X474="Postes", BQ474&gt;=9.6),AND(X474="Dormentes", BQ474&gt;=9.6),AND(X474="Estacas - Solo", BQ474&gt;=6.5),AND(X474="Estacas - Suspenso", BQ474&gt;=4),AND(X474="Cruzetas", BQ474&gt;=6.5),AND(X474="Outros - Solo", BQ474&gt;=6.5),AND(X474="Outros - Suspenso",BQ474&gt;=4),AND(X474="Deck",BQ474&gt;=4)),'Listas suspensas'!$C$21,'Listas suspensas'!$C$22)</f>
        <v>Os resultados da análise química apresentaram uma retenção do produto de acordo com o padrão mínimo exigido pela norma ABNT NBR 16143</v>
      </c>
    </row>
    <row r="475" spans="2:70" x14ac:dyDescent="0.25">
      <c r="B475" s="8" t="s">
        <v>1123</v>
      </c>
      <c r="C475" s="8" t="s">
        <v>71</v>
      </c>
      <c r="F475" s="11">
        <v>45964</v>
      </c>
      <c r="G475" s="11">
        <v>45964</v>
      </c>
      <c r="H475" s="11">
        <v>45972</v>
      </c>
      <c r="I475" s="8" t="s">
        <v>611</v>
      </c>
      <c r="J475" s="8" t="s">
        <v>612</v>
      </c>
      <c r="K475" s="8" t="s">
        <v>613</v>
      </c>
      <c r="L475" s="8" t="s">
        <v>15</v>
      </c>
      <c r="N475" s="8" t="s">
        <v>1165</v>
      </c>
      <c r="O475" s="8" t="s">
        <v>76</v>
      </c>
      <c r="P475" s="28" t="s">
        <v>146</v>
      </c>
      <c r="Q475" s="16" t="s">
        <v>146</v>
      </c>
      <c r="X475" s="8" t="s">
        <v>79</v>
      </c>
      <c r="Y475" s="34">
        <f>IF(X475='Listas suspensas'!$A$21,'Listas suspensas'!$B$23,IF(X475='Listas suspensas'!$A$22,'Listas suspensas'!$B$23,IF(X475='Listas suspensas'!$A$23,'Listas suspensas'!$B$22,IF(X475='Listas suspensas'!$A$26,'Listas suspensas'!$B$22,IF(X475='Listas suspensas'!$A$32,'Listas suspensas'!$B$22,IF(X475='Listas suspensas'!$A$33,'Listas suspensas'!$B$21,IF(X475='Listas suspensas'!$A$24,'Listas suspensas'!$B$22,IF(X475='Listas suspensas'!$A$25,'Listas suspensas'!$B$21,IF(X475='Listas suspensas'!$A$30,'Listas suspensas'!$B$21,"")))))))))</f>
        <v>6.5</v>
      </c>
      <c r="Z475" s="8" t="s">
        <v>80</v>
      </c>
      <c r="AA475" s="8">
        <v>2</v>
      </c>
      <c r="AB475" s="8" t="str">
        <f>IF(AA475='Listas suspensas'!$A$2,'Listas suspensas'!$B$2,IF(AA475='Listas suspensas'!$A$3,'Listas suspensas'!$B$3,IF(AA475='Listas suspensas'!$A$4,'Listas suspensas'!$B$4,IF(AA475='Listas suspensas'!$A$5,'Listas suspensas'!$B$5,IF(AA475='Listas suspensas'!$A$6,'Listas suspensas'!$B$6,"")))))</f>
        <v>Profunda e irregular</v>
      </c>
      <c r="AC475" s="8" t="str">
        <f>IF(AA475='Listas suspensas'!$A$2,'Listas suspensas'!$C$2,IF(AA475='Listas suspensas'!$A$3,'Listas suspensas'!$C$3,IF(AA475='Listas suspensas'!$A$4,'Listas suspensas'!$C$4,IF(AA475='Listas suspensas'!$A$5,'Listas suspensas'!$C$5,IF(AA475='Listas suspensas'!$A$6,'Listas suspensas'!$C$6,"")))))</f>
        <v>Indica a penetração profunda, mas desuniforme em toda a extensão do alburno.</v>
      </c>
      <c r="BD475" s="13">
        <v>0.49</v>
      </c>
      <c r="BE475" s="18">
        <f t="shared" si="85"/>
        <v>490</v>
      </c>
      <c r="BF475" s="8">
        <v>0.65600000000000003</v>
      </c>
      <c r="BG475" s="8">
        <v>0.28899999999999998</v>
      </c>
      <c r="BH475" s="8">
        <v>0.53400000000000003</v>
      </c>
      <c r="BI475" s="13">
        <f t="shared" si="86"/>
        <v>1.4790000000000001</v>
      </c>
      <c r="BJ475" s="14">
        <v>44.4</v>
      </c>
      <c r="BK475" s="14">
        <v>19.5</v>
      </c>
      <c r="BL475" s="14">
        <v>36.1</v>
      </c>
      <c r="BM475" s="16">
        <f t="shared" si="76"/>
        <v>100</v>
      </c>
      <c r="BN475" s="21">
        <f t="shared" si="77"/>
        <v>3.21</v>
      </c>
      <c r="BO475" s="21">
        <f t="shared" si="78"/>
        <v>1.42</v>
      </c>
      <c r="BP475" s="21">
        <f t="shared" si="79"/>
        <v>2.62</v>
      </c>
      <c r="BQ475" s="14">
        <f t="shared" si="80"/>
        <v>7.25</v>
      </c>
      <c r="BR475" s="22" t="str">
        <f>IF(OR(AND(X475="Mourões", BQ475&gt;=6.5),AND(X475="Postes", BQ475&gt;=9.6),AND(X475="Dormentes", BQ475&gt;=9.6),AND(X475="Estacas - Solo", BQ475&gt;=6.5),AND(X475="Estacas - Suspenso", BQ475&gt;=4),AND(X475="Cruzetas", BQ475&gt;=6.5),AND(X475="Outros - Solo", BQ475&gt;=6.5),AND(X475="Outros - Suspenso",BQ475&gt;=4),AND(X475="Deck",BQ475&gt;=4)),'Listas suspensas'!$C$21,'Listas suspensas'!$C$22)</f>
        <v>Os resultados da análise química apresentaram uma retenção do produto de acordo com o padrão mínimo exigido pela norma ABNT NBR 16143</v>
      </c>
    </row>
    <row r="476" spans="2:70" x14ac:dyDescent="0.25">
      <c r="B476" s="8" t="s">
        <v>1124</v>
      </c>
      <c r="C476" s="8" t="s">
        <v>71</v>
      </c>
      <c r="F476" s="11">
        <v>45968</v>
      </c>
      <c r="G476" s="11">
        <v>45974</v>
      </c>
      <c r="H476" s="11">
        <v>45979</v>
      </c>
      <c r="I476" s="8" t="s">
        <v>1412</v>
      </c>
      <c r="J476" s="8" t="s">
        <v>1413</v>
      </c>
      <c r="K476" s="8" t="s">
        <v>74</v>
      </c>
      <c r="L476" s="8" t="s">
        <v>15</v>
      </c>
      <c r="M476" s="30" t="s">
        <v>1414</v>
      </c>
      <c r="N476" s="8" t="s">
        <v>1165</v>
      </c>
      <c r="O476" s="8" t="s">
        <v>94</v>
      </c>
      <c r="P476" s="28" t="s">
        <v>77</v>
      </c>
      <c r="Q476" s="16" t="s">
        <v>1415</v>
      </c>
      <c r="X476" s="8" t="s">
        <v>994</v>
      </c>
      <c r="Y476" s="34">
        <f>IF(X476='Listas suspensas'!$A$21,'Listas suspensas'!$B$23,IF(X476='Listas suspensas'!$A$22,'Listas suspensas'!$B$23,IF(X476='Listas suspensas'!$A$23,'Listas suspensas'!$B$22,IF(X476='Listas suspensas'!$A$26,'Listas suspensas'!$B$22,IF(X476='Listas suspensas'!$A$32,'Listas suspensas'!$B$22,IF(X476='Listas suspensas'!$A$33,'Listas suspensas'!$B$21,IF(X476='Listas suspensas'!$A$24,'Listas suspensas'!$B$22,IF(X476='Listas suspensas'!$A$25,'Listas suspensas'!$B$21,IF(X476='Listas suspensas'!$A$30,'Listas suspensas'!$B$21,"")))))))))</f>
        <v>4</v>
      </c>
      <c r="Z476" s="8" t="s">
        <v>80</v>
      </c>
      <c r="AA476" s="8">
        <v>1</v>
      </c>
      <c r="AB476" s="8" t="str">
        <f>IF(AA476='Listas suspensas'!$A$2,'Listas suspensas'!$B$2,IF(AA476='Listas suspensas'!$A$3,'Listas suspensas'!$B$3,IF(AA476='Listas suspensas'!$A$4,'Listas suspensas'!$B$4,IF(AA476='Listas suspensas'!$A$5,'Listas suspensas'!$B$5,IF(AA476='Listas suspensas'!$A$6,'Listas suspensas'!$B$6,"")))))</f>
        <v>Profunda e regular</v>
      </c>
      <c r="AC476" s="8" t="str">
        <f>IF(AA476='Listas suspensas'!$A$2,'Listas suspensas'!$C$2,IF(AA476='Listas suspensas'!$A$3,'Listas suspensas'!$C$3,IF(AA476='Listas suspensas'!$A$4,'Listas suspensas'!$C$4,IF(AA476='Listas suspensas'!$A$5,'Listas suspensas'!$C$5,IF(AA476='Listas suspensas'!$A$6,'Listas suspensas'!$C$6,"")))))</f>
        <v>Indica a penetração profunda e uniforme em toda a extensão do alburno.</v>
      </c>
      <c r="BD476" s="13">
        <v>0.74199999999999999</v>
      </c>
      <c r="BE476" s="18">
        <f t="shared" si="85"/>
        <v>742</v>
      </c>
      <c r="BF476" s="8">
        <v>0.40600000000000003</v>
      </c>
      <c r="BG476" s="8">
        <v>0.158</v>
      </c>
      <c r="BH476" s="8">
        <v>0.31</v>
      </c>
      <c r="BI476" s="13">
        <f t="shared" si="86"/>
        <v>0.87400000000000011</v>
      </c>
      <c r="BJ476" s="14">
        <v>46.5</v>
      </c>
      <c r="BK476" s="14">
        <v>18.100000000000001</v>
      </c>
      <c r="BL476" s="14">
        <v>35.4</v>
      </c>
      <c r="BM476" s="16">
        <f t="shared" si="76"/>
        <v>100</v>
      </c>
      <c r="BN476" s="21">
        <f t="shared" si="77"/>
        <v>3.01</v>
      </c>
      <c r="BO476" s="21">
        <f t="shared" si="78"/>
        <v>1.17</v>
      </c>
      <c r="BP476" s="21">
        <f t="shared" si="79"/>
        <v>2.2999999999999998</v>
      </c>
      <c r="BQ476" s="14">
        <f t="shared" si="80"/>
        <v>6.48</v>
      </c>
      <c r="BR476" s="22" t="str">
        <f>IF(OR(AND(X476="Mourões", BQ476&gt;=6.5),AND(X476="Postes", BQ476&gt;=9.6),AND(X476="Dormentes", BQ476&gt;=9.6),AND(X476="Estacas - Solo", BQ476&gt;=6.5),AND(X476="Estacas - Suspenso", BQ476&gt;=4),AND(X476="Cruzetas", BQ476&gt;=6.5),AND(X476="Outros - Solo", BQ476&gt;=6.5),AND(X476="Outros - Suspenso",BQ476&gt;=4),AND(X476="Deck",BQ476&gt;=4)),'Listas suspensas'!$C$21,'Listas suspensas'!$C$22)</f>
        <v>Os resultados da análise química apresentaram uma retenção do produto de acordo com o padrão mínimo exigido pela norma ABNT NBR 16143</v>
      </c>
    </row>
    <row r="477" spans="2:70" x14ac:dyDescent="0.25">
      <c r="B477" s="8" t="s">
        <v>1125</v>
      </c>
      <c r="C477" s="8" t="s">
        <v>71</v>
      </c>
      <c r="F477" s="11">
        <v>45968</v>
      </c>
      <c r="G477" s="11">
        <v>45974</v>
      </c>
      <c r="H477" s="11">
        <v>45979</v>
      </c>
      <c r="I477" s="8" t="s">
        <v>1412</v>
      </c>
      <c r="J477" s="8" t="s">
        <v>1413</v>
      </c>
      <c r="K477" s="8" t="s">
        <v>74</v>
      </c>
      <c r="L477" s="8" t="s">
        <v>15</v>
      </c>
      <c r="M477" s="30" t="s">
        <v>1414</v>
      </c>
      <c r="N477" s="8" t="s">
        <v>1165</v>
      </c>
      <c r="O477" s="8" t="s">
        <v>94</v>
      </c>
      <c r="P477" s="28" t="s">
        <v>77</v>
      </c>
      <c r="Q477" s="16" t="s">
        <v>1416</v>
      </c>
      <c r="X477" s="8" t="s">
        <v>994</v>
      </c>
      <c r="Y477" s="34">
        <f>IF(X477='Listas suspensas'!$A$21,'Listas suspensas'!$B$23,IF(X477='Listas suspensas'!$A$22,'Listas suspensas'!$B$23,IF(X477='Listas suspensas'!$A$23,'Listas suspensas'!$B$22,IF(X477='Listas suspensas'!$A$26,'Listas suspensas'!$B$22,IF(X477='Listas suspensas'!$A$32,'Listas suspensas'!$B$22,IF(X477='Listas suspensas'!$A$33,'Listas suspensas'!$B$21,IF(X477='Listas suspensas'!$A$24,'Listas suspensas'!$B$22,IF(X477='Listas suspensas'!$A$25,'Listas suspensas'!$B$21,IF(X477='Listas suspensas'!$A$30,'Listas suspensas'!$B$21,"")))))))))</f>
        <v>4</v>
      </c>
      <c r="Z477" s="8" t="s">
        <v>80</v>
      </c>
      <c r="AA477" s="8">
        <v>1</v>
      </c>
      <c r="AB477" s="8" t="str">
        <f>IF(AA477='Listas suspensas'!$A$2,'Listas suspensas'!$B$2,IF(AA477='Listas suspensas'!$A$3,'Listas suspensas'!$B$3,IF(AA477='Listas suspensas'!$A$4,'Listas suspensas'!$B$4,IF(AA477='Listas suspensas'!$A$5,'Listas suspensas'!$B$5,IF(AA477='Listas suspensas'!$A$6,'Listas suspensas'!$B$6,"")))))</f>
        <v>Profunda e regular</v>
      </c>
      <c r="AC477" s="8" t="str">
        <f>IF(AA477='Listas suspensas'!$A$2,'Listas suspensas'!$C$2,IF(AA477='Listas suspensas'!$A$3,'Listas suspensas'!$C$3,IF(AA477='Listas suspensas'!$A$4,'Listas suspensas'!$C$4,IF(AA477='Listas suspensas'!$A$5,'Listas suspensas'!$C$5,IF(AA477='Listas suspensas'!$A$6,'Listas suspensas'!$C$6,"")))))</f>
        <v>Indica a penetração profunda e uniforme em toda a extensão do alburno.</v>
      </c>
      <c r="BD477" s="13">
        <v>0.73899999999999999</v>
      </c>
      <c r="BE477" s="18">
        <f t="shared" si="85"/>
        <v>739</v>
      </c>
      <c r="BF477" s="8">
        <v>0.39600000000000002</v>
      </c>
      <c r="BG477" s="8">
        <v>0.19</v>
      </c>
      <c r="BH477" s="8">
        <v>0.41699999999999998</v>
      </c>
      <c r="BI477" s="13">
        <f t="shared" si="86"/>
        <v>1.0030000000000001</v>
      </c>
      <c r="BJ477" s="14">
        <v>39.5</v>
      </c>
      <c r="BK477" s="14">
        <v>18.899999999999999</v>
      </c>
      <c r="BL477" s="14">
        <v>41.6</v>
      </c>
      <c r="BM477" s="16">
        <f t="shared" si="76"/>
        <v>100</v>
      </c>
      <c r="BN477" s="21">
        <f t="shared" si="77"/>
        <v>2.93</v>
      </c>
      <c r="BO477" s="21">
        <f t="shared" si="78"/>
        <v>1.4</v>
      </c>
      <c r="BP477" s="21">
        <f t="shared" si="79"/>
        <v>3.08</v>
      </c>
      <c r="BQ477" s="14">
        <f t="shared" si="80"/>
        <v>7.41</v>
      </c>
      <c r="BR477" s="22" t="str">
        <f>IF(OR(AND(X477="Mourões", BQ477&gt;=6.5),AND(X477="Postes", BQ477&gt;=9.6),AND(X477="Dormentes", BQ477&gt;=9.6),AND(X477="Estacas - Solo", BQ477&gt;=6.5),AND(X477="Estacas - Suspenso", BQ477&gt;=4),AND(X477="Cruzetas", BQ477&gt;=6.5),AND(X477="Outros - Solo", BQ477&gt;=6.5),AND(X477="Outros - Suspenso",BQ477&gt;=4),AND(X477="Deck",BQ477&gt;=4)),'Listas suspensas'!$C$21,'Listas suspensas'!$C$22)</f>
        <v>Os resultados da análise química apresentaram uma retenção do produto de acordo com o padrão mínimo exigido pela norma ABNT NBR 16143</v>
      </c>
    </row>
    <row r="478" spans="2:70" x14ac:dyDescent="0.25">
      <c r="B478" s="8" t="s">
        <v>1126</v>
      </c>
      <c r="C478" s="8" t="s">
        <v>71</v>
      </c>
      <c r="F478" s="11">
        <v>45968</v>
      </c>
      <c r="G478" s="11">
        <v>45974</v>
      </c>
      <c r="H478" s="11">
        <v>45979</v>
      </c>
      <c r="I478" s="8" t="s">
        <v>1412</v>
      </c>
      <c r="J478" s="8" t="s">
        <v>1413</v>
      </c>
      <c r="K478" s="8" t="s">
        <v>74</v>
      </c>
      <c r="L478" s="8" t="s">
        <v>15</v>
      </c>
      <c r="M478" s="30" t="s">
        <v>1414</v>
      </c>
      <c r="N478" s="8" t="s">
        <v>1165</v>
      </c>
      <c r="O478" s="8" t="s">
        <v>94</v>
      </c>
      <c r="P478" s="28" t="s">
        <v>77</v>
      </c>
      <c r="Q478" s="16" t="s">
        <v>1417</v>
      </c>
      <c r="X478" s="8" t="s">
        <v>994</v>
      </c>
      <c r="Y478" s="34">
        <f>IF(X478='Listas suspensas'!$A$21,'Listas suspensas'!$B$23,IF(X478='Listas suspensas'!$A$22,'Listas suspensas'!$B$23,IF(X478='Listas suspensas'!$A$23,'Listas suspensas'!$B$22,IF(X478='Listas suspensas'!$A$26,'Listas suspensas'!$B$22,IF(X478='Listas suspensas'!$A$32,'Listas suspensas'!$B$22,IF(X478='Listas suspensas'!$A$33,'Listas suspensas'!$B$21,IF(X478='Listas suspensas'!$A$24,'Listas suspensas'!$B$22,IF(X478='Listas suspensas'!$A$25,'Listas suspensas'!$B$21,IF(X478='Listas suspensas'!$A$30,'Listas suspensas'!$B$21,"")))))))))</f>
        <v>4</v>
      </c>
      <c r="Z478" s="8" t="s">
        <v>80</v>
      </c>
      <c r="AA478" s="8">
        <v>1</v>
      </c>
      <c r="AB478" s="8" t="str">
        <f>IF(AA478='Listas suspensas'!$A$2,'Listas suspensas'!$B$2,IF(AA478='Listas suspensas'!$A$3,'Listas suspensas'!$B$3,IF(AA478='Listas suspensas'!$A$4,'Listas suspensas'!$B$4,IF(AA478='Listas suspensas'!$A$5,'Listas suspensas'!$B$5,IF(AA478='Listas suspensas'!$A$6,'Listas suspensas'!$B$6,"")))))</f>
        <v>Profunda e regular</v>
      </c>
      <c r="AC478" s="8" t="str">
        <f>IF(AA478='Listas suspensas'!$A$2,'Listas suspensas'!$C$2,IF(AA478='Listas suspensas'!$A$3,'Listas suspensas'!$C$3,IF(AA478='Listas suspensas'!$A$4,'Listas suspensas'!$C$4,IF(AA478='Listas suspensas'!$A$5,'Listas suspensas'!$C$5,IF(AA478='Listas suspensas'!$A$6,'Listas suspensas'!$C$6,"")))))</f>
        <v>Indica a penetração profunda e uniforme em toda a extensão do alburno.</v>
      </c>
      <c r="BD478" s="13">
        <v>0.83799999999999997</v>
      </c>
      <c r="BE478" s="18">
        <f t="shared" si="85"/>
        <v>838</v>
      </c>
      <c r="BF478" s="8">
        <v>0.32300000000000001</v>
      </c>
      <c r="BG478" s="8">
        <v>0.14699999999999999</v>
      </c>
      <c r="BH478" s="8">
        <v>0.26400000000000001</v>
      </c>
      <c r="BI478" s="13">
        <f t="shared" si="86"/>
        <v>0.73399999999999999</v>
      </c>
      <c r="BJ478" s="14">
        <v>44</v>
      </c>
      <c r="BK478" s="14">
        <v>20.100000000000001</v>
      </c>
      <c r="BL478" s="14">
        <v>35.9</v>
      </c>
      <c r="BM478" s="16">
        <f t="shared" si="76"/>
        <v>100</v>
      </c>
      <c r="BN478" s="21">
        <f t="shared" si="77"/>
        <v>2.71</v>
      </c>
      <c r="BO478" s="21">
        <f t="shared" si="78"/>
        <v>1.23</v>
      </c>
      <c r="BP478" s="21">
        <f t="shared" si="79"/>
        <v>2.21</v>
      </c>
      <c r="BQ478" s="14">
        <f t="shared" si="80"/>
        <v>6.15</v>
      </c>
      <c r="BR478" s="22" t="str">
        <f>IF(OR(AND(X478="Mourões", BQ478&gt;=6.5),AND(X478="Postes", BQ478&gt;=9.6),AND(X478="Dormentes", BQ478&gt;=9.6),AND(X478="Estacas - Solo", BQ478&gt;=6.5),AND(X478="Estacas - Suspenso", BQ478&gt;=4),AND(X478="Cruzetas", BQ478&gt;=6.5),AND(X478="Outros - Solo", BQ478&gt;=6.5),AND(X478="Outros - Suspenso",BQ478&gt;=4),AND(X478="Deck",BQ478&gt;=4)),'Listas suspensas'!$C$21,'Listas suspensas'!$C$22)</f>
        <v>Os resultados da análise química apresentaram uma retenção do produto de acordo com o padrão mínimo exigido pela norma ABNT NBR 16143</v>
      </c>
    </row>
    <row r="479" spans="2:70" x14ac:dyDescent="0.25">
      <c r="B479" s="8" t="s">
        <v>1127</v>
      </c>
      <c r="C479" s="8" t="s">
        <v>71</v>
      </c>
      <c r="F479" s="11">
        <v>45968</v>
      </c>
      <c r="G479" s="11">
        <v>45974</v>
      </c>
      <c r="H479" s="11">
        <v>45979</v>
      </c>
      <c r="I479" s="8" t="s">
        <v>1412</v>
      </c>
      <c r="J479" s="8" t="s">
        <v>1413</v>
      </c>
      <c r="K479" s="8" t="s">
        <v>74</v>
      </c>
      <c r="L479" s="8" t="s">
        <v>15</v>
      </c>
      <c r="M479" s="30" t="s">
        <v>1414</v>
      </c>
      <c r="N479" s="8" t="s">
        <v>1165</v>
      </c>
      <c r="O479" s="8" t="s">
        <v>76</v>
      </c>
      <c r="P479" s="28" t="s">
        <v>77</v>
      </c>
      <c r="Q479" s="16" t="s">
        <v>1418</v>
      </c>
      <c r="X479" s="8" t="s">
        <v>994</v>
      </c>
      <c r="Y479" s="34">
        <f>IF(X479='Listas suspensas'!$A$21,'Listas suspensas'!$B$23,IF(X479='Listas suspensas'!$A$22,'Listas suspensas'!$B$23,IF(X479='Listas suspensas'!$A$23,'Listas suspensas'!$B$22,IF(X479='Listas suspensas'!$A$26,'Listas suspensas'!$B$22,IF(X479='Listas suspensas'!$A$32,'Listas suspensas'!$B$22,IF(X479='Listas suspensas'!$A$33,'Listas suspensas'!$B$21,IF(X479='Listas suspensas'!$A$24,'Listas suspensas'!$B$22,IF(X479='Listas suspensas'!$A$25,'Listas suspensas'!$B$21,IF(X479='Listas suspensas'!$A$30,'Listas suspensas'!$B$21,"")))))))))</f>
        <v>4</v>
      </c>
      <c r="Z479" s="8" t="s">
        <v>80</v>
      </c>
      <c r="AA479" s="8">
        <v>1</v>
      </c>
      <c r="AB479" s="8" t="str">
        <f>IF(AA479='Listas suspensas'!$A$2,'Listas suspensas'!$B$2,IF(AA479='Listas suspensas'!$A$3,'Listas suspensas'!$B$3,IF(AA479='Listas suspensas'!$A$4,'Listas suspensas'!$B$4,IF(AA479='Listas suspensas'!$A$5,'Listas suspensas'!$B$5,IF(AA479='Listas suspensas'!$A$6,'Listas suspensas'!$B$6,"")))))</f>
        <v>Profunda e regular</v>
      </c>
      <c r="AC479" s="8" t="str">
        <f>IF(AA479='Listas suspensas'!$A$2,'Listas suspensas'!$C$2,IF(AA479='Listas suspensas'!$A$3,'Listas suspensas'!$C$3,IF(AA479='Listas suspensas'!$A$4,'Listas suspensas'!$C$4,IF(AA479='Listas suspensas'!$A$5,'Listas suspensas'!$C$5,IF(AA479='Listas suspensas'!$A$6,'Listas suspensas'!$C$6,"")))))</f>
        <v>Indica a penetração profunda e uniforme em toda a extensão do alburno.</v>
      </c>
      <c r="BD479" s="13">
        <v>0.89200000000000002</v>
      </c>
      <c r="BE479" s="18">
        <f t="shared" si="85"/>
        <v>892</v>
      </c>
      <c r="BF479" s="8">
        <v>0.31900000000000001</v>
      </c>
      <c r="BG479" s="8">
        <v>0.19700000000000001</v>
      </c>
      <c r="BH479" s="8">
        <v>0.442</v>
      </c>
      <c r="BI479" s="13">
        <f t="shared" si="86"/>
        <v>0.95799999999999996</v>
      </c>
      <c r="BJ479" s="14">
        <v>33.299999999999997</v>
      </c>
      <c r="BK479" s="14">
        <v>20.6</v>
      </c>
      <c r="BL479" s="14">
        <v>46.1</v>
      </c>
      <c r="BM479" s="16">
        <f t="shared" si="76"/>
        <v>100</v>
      </c>
      <c r="BN479" s="21">
        <f t="shared" si="77"/>
        <v>2.85</v>
      </c>
      <c r="BO479" s="21">
        <f t="shared" si="78"/>
        <v>1.76</v>
      </c>
      <c r="BP479" s="21">
        <f t="shared" si="79"/>
        <v>3.94</v>
      </c>
      <c r="BQ479" s="14">
        <f t="shared" si="80"/>
        <v>8.5500000000000007</v>
      </c>
      <c r="BR479" s="22" t="str">
        <f>IF(OR(AND(X479="Mourões", BQ479&gt;=6.5),AND(X479="Postes", BQ479&gt;=9.6),AND(X479="Dormentes", BQ479&gt;=9.6),AND(X479="Estacas - Solo", BQ479&gt;=6.5),AND(X479="Estacas - Suspenso", BQ479&gt;=4),AND(X479="Cruzetas", BQ479&gt;=6.5),AND(X479="Outros - Solo", BQ479&gt;=6.5),AND(X479="Outros - Suspenso",BQ479&gt;=4),AND(X479="Deck",BQ479&gt;=4)),'Listas suspensas'!$C$21,'Listas suspensas'!$C$22)</f>
        <v>Os resultados da análise química apresentaram uma retenção do produto de acordo com o padrão mínimo exigido pela norma ABNT NBR 16143</v>
      </c>
    </row>
    <row r="480" spans="2:70" x14ac:dyDescent="0.25">
      <c r="B480" s="8" t="s">
        <v>1128</v>
      </c>
      <c r="C480" s="8" t="s">
        <v>71</v>
      </c>
      <c r="F480" s="11">
        <v>45968</v>
      </c>
      <c r="G480" s="11">
        <v>45974</v>
      </c>
      <c r="H480" s="11">
        <v>45979</v>
      </c>
      <c r="I480" s="8" t="s">
        <v>1412</v>
      </c>
      <c r="J480" s="8" t="s">
        <v>1413</v>
      </c>
      <c r="K480" s="8" t="s">
        <v>74</v>
      </c>
      <c r="L480" s="8" t="s">
        <v>15</v>
      </c>
      <c r="M480" s="30" t="s">
        <v>1414</v>
      </c>
      <c r="N480" s="8" t="s">
        <v>1165</v>
      </c>
      <c r="O480" s="8" t="s">
        <v>76</v>
      </c>
      <c r="P480" s="28" t="s">
        <v>77</v>
      </c>
      <c r="Q480" s="16" t="s">
        <v>1419</v>
      </c>
      <c r="X480" s="8" t="s">
        <v>994</v>
      </c>
      <c r="Y480" s="34">
        <f>IF(X480='Listas suspensas'!$A$21,'Listas suspensas'!$B$23,IF(X480='Listas suspensas'!$A$22,'Listas suspensas'!$B$23,IF(X480='Listas suspensas'!$A$23,'Listas suspensas'!$B$22,IF(X480='Listas suspensas'!$A$26,'Listas suspensas'!$B$22,IF(X480='Listas suspensas'!$A$32,'Listas suspensas'!$B$22,IF(X480='Listas suspensas'!$A$33,'Listas suspensas'!$B$21,IF(X480='Listas suspensas'!$A$24,'Listas suspensas'!$B$22,IF(X480='Listas suspensas'!$A$25,'Listas suspensas'!$B$21,IF(X480='Listas suspensas'!$A$30,'Listas suspensas'!$B$21,"")))))))))</f>
        <v>4</v>
      </c>
      <c r="Z480" s="8" t="s">
        <v>80</v>
      </c>
      <c r="AA480" s="8">
        <v>2</v>
      </c>
      <c r="AB480" s="8" t="str">
        <f>IF(AA480='Listas suspensas'!$A$2,'Listas suspensas'!$B$2,IF(AA480='Listas suspensas'!$A$3,'Listas suspensas'!$B$3,IF(AA480='Listas suspensas'!$A$4,'Listas suspensas'!$B$4,IF(AA480='Listas suspensas'!$A$5,'Listas suspensas'!$B$5,IF(AA480='Listas suspensas'!$A$6,'Listas suspensas'!$B$6,"")))))</f>
        <v>Profunda e irregular</v>
      </c>
      <c r="AC480" s="8" t="str">
        <f>IF(AA480='Listas suspensas'!$A$2,'Listas suspensas'!$C$2,IF(AA480='Listas suspensas'!$A$3,'Listas suspensas'!$C$3,IF(AA480='Listas suspensas'!$A$4,'Listas suspensas'!$C$4,IF(AA480='Listas suspensas'!$A$5,'Listas suspensas'!$C$5,IF(AA480='Listas suspensas'!$A$6,'Listas suspensas'!$C$6,"")))))</f>
        <v>Indica a penetração profunda, mas desuniforme em toda a extensão do alburno.</v>
      </c>
      <c r="BD480" s="13">
        <v>0.73399999999999999</v>
      </c>
      <c r="BE480" s="18">
        <f t="shared" si="85"/>
        <v>734</v>
      </c>
      <c r="BF480" s="8">
        <v>0.30199999999999999</v>
      </c>
      <c r="BG480" s="8">
        <v>0.16200000000000001</v>
      </c>
      <c r="BH480" s="8">
        <v>0.33300000000000002</v>
      </c>
      <c r="BI480" s="13">
        <f t="shared" si="86"/>
        <v>0.79699999999999993</v>
      </c>
      <c r="BJ480" s="14">
        <v>37.9</v>
      </c>
      <c r="BK480" s="14">
        <v>20.399999999999999</v>
      </c>
      <c r="BL480" s="14">
        <v>41.7</v>
      </c>
      <c r="BM480" s="16">
        <f t="shared" si="76"/>
        <v>100</v>
      </c>
      <c r="BN480" s="21">
        <f t="shared" si="77"/>
        <v>2.2200000000000002</v>
      </c>
      <c r="BO480" s="21">
        <f t="shared" si="78"/>
        <v>1.19</v>
      </c>
      <c r="BP480" s="21">
        <f t="shared" si="79"/>
        <v>2.44</v>
      </c>
      <c r="BQ480" s="14">
        <f t="shared" si="80"/>
        <v>5.85</v>
      </c>
      <c r="BR480" s="22" t="str">
        <f>IF(OR(AND(X480="Mourões", BQ480&gt;=6.5),AND(X480="Postes", BQ480&gt;=9.6),AND(X480="Dormentes", BQ480&gt;=9.6),AND(X480="Estacas - Solo", BQ480&gt;=6.5),AND(X480="Estacas - Suspenso", BQ480&gt;=4),AND(X480="Cruzetas", BQ480&gt;=6.5),AND(X480="Outros - Solo", BQ480&gt;=6.5),AND(X480="Outros - Suspenso",BQ480&gt;=4),AND(X480="Deck",BQ480&gt;=4)),'Listas suspensas'!$C$21,'Listas suspensas'!$C$22)</f>
        <v>Os resultados da análise química apresentaram uma retenção do produto de acordo com o padrão mínimo exigido pela norma ABNT NBR 16143</v>
      </c>
    </row>
    <row r="481" spans="2:70" x14ac:dyDescent="0.25">
      <c r="B481" s="8" t="s">
        <v>1129</v>
      </c>
      <c r="C481" s="8" t="s">
        <v>71</v>
      </c>
      <c r="F481" s="11">
        <v>45968</v>
      </c>
      <c r="G481" s="11">
        <v>45974</v>
      </c>
      <c r="H481" s="11">
        <v>45979</v>
      </c>
      <c r="I481" s="8" t="s">
        <v>1420</v>
      </c>
      <c r="J481" s="8" t="s">
        <v>1421</v>
      </c>
      <c r="K481" s="8" t="s">
        <v>619</v>
      </c>
      <c r="L481" s="8" t="s">
        <v>15</v>
      </c>
      <c r="M481" s="30" t="s">
        <v>1422</v>
      </c>
      <c r="N481" s="8" t="s">
        <v>1165</v>
      </c>
      <c r="O481" s="8" t="s">
        <v>76</v>
      </c>
      <c r="P481" s="28" t="s">
        <v>471</v>
      </c>
      <c r="Q481" s="16" t="s">
        <v>1423</v>
      </c>
      <c r="X481" s="8" t="s">
        <v>473</v>
      </c>
      <c r="Y481" s="34">
        <f>IF(X481='Listas suspensas'!$A$21,'Listas suspensas'!$B$23,IF(X481='Listas suspensas'!$A$22,'Listas suspensas'!$B$23,IF(X481='Listas suspensas'!$A$23,'Listas suspensas'!$B$22,IF(X481='Listas suspensas'!$A$26,'Listas suspensas'!$B$22,IF(X481='Listas suspensas'!$A$32,'Listas suspensas'!$B$22,IF(X481='Listas suspensas'!$A$33,'Listas suspensas'!$B$21,IF(X481='Listas suspensas'!$A$24,'Listas suspensas'!$B$22,IF(X481='Listas suspensas'!$A$25,'Listas suspensas'!$B$21,IF(X481='Listas suspensas'!$A$30,'Listas suspensas'!$B$21,"")))))))))</f>
        <v>4</v>
      </c>
      <c r="Z481" s="8" t="s">
        <v>80</v>
      </c>
      <c r="AA481" s="8">
        <v>2</v>
      </c>
      <c r="AB481" s="8" t="str">
        <f>IF(AA481='Listas suspensas'!$A$2,'Listas suspensas'!$B$2,IF(AA481='Listas suspensas'!$A$3,'Listas suspensas'!$B$3,IF(AA481='Listas suspensas'!$A$4,'Listas suspensas'!$B$4,IF(AA481='Listas suspensas'!$A$5,'Listas suspensas'!$B$5,IF(AA481='Listas suspensas'!$A$6,'Listas suspensas'!$B$6,"")))))</f>
        <v>Profunda e irregular</v>
      </c>
      <c r="AC481" s="8" t="str">
        <f>IF(AA481='Listas suspensas'!$A$2,'Listas suspensas'!$C$2,IF(AA481='Listas suspensas'!$A$3,'Listas suspensas'!$C$3,IF(AA481='Listas suspensas'!$A$4,'Listas suspensas'!$C$4,IF(AA481='Listas suspensas'!$A$5,'Listas suspensas'!$C$5,IF(AA481='Listas suspensas'!$A$6,'Listas suspensas'!$C$6,"")))))</f>
        <v>Indica a penetração profunda, mas desuniforme em toda a extensão do alburno.</v>
      </c>
      <c r="BD481" s="13">
        <v>0.45600000000000002</v>
      </c>
      <c r="BE481" s="18">
        <f t="shared" si="85"/>
        <v>456</v>
      </c>
      <c r="BF481" s="8">
        <v>0.377</v>
      </c>
      <c r="BG481" s="8">
        <v>0.20300000000000001</v>
      </c>
      <c r="BH481" s="8">
        <v>0.48699999999999999</v>
      </c>
      <c r="BI481" s="13">
        <f t="shared" si="86"/>
        <v>1.0670000000000002</v>
      </c>
      <c r="BJ481" s="14">
        <v>35.299999999999997</v>
      </c>
      <c r="BK481" s="14">
        <v>19</v>
      </c>
      <c r="BL481" s="14">
        <v>45.7</v>
      </c>
      <c r="BM481" s="16">
        <f t="shared" si="76"/>
        <v>100</v>
      </c>
      <c r="BN481" s="21">
        <f t="shared" si="77"/>
        <v>1.72</v>
      </c>
      <c r="BO481" s="21">
        <f t="shared" si="78"/>
        <v>0.93</v>
      </c>
      <c r="BP481" s="21">
        <f t="shared" si="79"/>
        <v>2.2200000000000002</v>
      </c>
      <c r="BQ481" s="14">
        <f t="shared" si="80"/>
        <v>4.87</v>
      </c>
      <c r="BR481" s="22" t="str">
        <f>IF(OR(AND(X481="Mourões", BQ481&gt;=6.5),AND(X481="Postes", BQ481&gt;=9.6),AND(X481="Dormentes", BQ481&gt;=9.6),AND(X481="Estacas - Solo", BQ481&gt;=6.5),AND(X481="Estacas - Suspenso", BQ481&gt;=4),AND(X481="Cruzetas", BQ481&gt;=6.5),AND(X481="Outros - Solo", BQ481&gt;=6.5),AND(X481="Outros - Suspenso",BQ481&gt;=4),AND(X481="Deck",BQ481&gt;=4)),'Listas suspensas'!$C$21,'Listas suspensas'!$C$22)</f>
        <v>Os resultados da análise química apresentaram uma retenção do produto de acordo com o padrão mínimo exigido pela norma ABNT NBR 16143</v>
      </c>
    </row>
    <row r="482" spans="2:70" x14ac:dyDescent="0.25">
      <c r="B482" s="8" t="s">
        <v>1130</v>
      </c>
      <c r="C482" s="8" t="s">
        <v>71</v>
      </c>
      <c r="F482" s="11">
        <v>45968</v>
      </c>
      <c r="G482" s="11">
        <v>45974</v>
      </c>
      <c r="H482" s="11">
        <v>45979</v>
      </c>
      <c r="I482" s="8" t="s">
        <v>1420</v>
      </c>
      <c r="J482" s="8" t="s">
        <v>1421</v>
      </c>
      <c r="K482" s="8" t="s">
        <v>619</v>
      </c>
      <c r="L482" s="8" t="s">
        <v>15</v>
      </c>
      <c r="M482" s="30" t="s">
        <v>1422</v>
      </c>
      <c r="N482" s="8" t="s">
        <v>1165</v>
      </c>
      <c r="O482" s="8" t="s">
        <v>76</v>
      </c>
      <c r="P482" s="28" t="s">
        <v>471</v>
      </c>
      <c r="Q482" s="16" t="s">
        <v>1424</v>
      </c>
      <c r="X482" s="8" t="s">
        <v>473</v>
      </c>
      <c r="Y482" s="34">
        <f>IF(X482='Listas suspensas'!$A$21,'Listas suspensas'!$B$23,IF(X482='Listas suspensas'!$A$22,'Listas suspensas'!$B$23,IF(X482='Listas suspensas'!$A$23,'Listas suspensas'!$B$22,IF(X482='Listas suspensas'!$A$26,'Listas suspensas'!$B$22,IF(X482='Listas suspensas'!$A$32,'Listas suspensas'!$B$22,IF(X482='Listas suspensas'!$A$33,'Listas suspensas'!$B$21,IF(X482='Listas suspensas'!$A$24,'Listas suspensas'!$B$22,IF(X482='Listas suspensas'!$A$25,'Listas suspensas'!$B$21,IF(X482='Listas suspensas'!$A$30,'Listas suspensas'!$B$21,"")))))))))</f>
        <v>4</v>
      </c>
      <c r="Z482" s="8" t="s">
        <v>80</v>
      </c>
      <c r="AA482" s="8">
        <v>2</v>
      </c>
      <c r="AB482" s="8" t="str">
        <f>IF(AA482='Listas suspensas'!$A$2,'Listas suspensas'!$B$2,IF(AA482='Listas suspensas'!$A$3,'Listas suspensas'!$B$3,IF(AA482='Listas suspensas'!$A$4,'Listas suspensas'!$B$4,IF(AA482='Listas suspensas'!$A$5,'Listas suspensas'!$B$5,IF(AA482='Listas suspensas'!$A$6,'Listas suspensas'!$B$6,"")))))</f>
        <v>Profunda e irregular</v>
      </c>
      <c r="AC482" s="8" t="str">
        <f>IF(AA482='Listas suspensas'!$A$2,'Listas suspensas'!$C$2,IF(AA482='Listas suspensas'!$A$3,'Listas suspensas'!$C$3,IF(AA482='Listas suspensas'!$A$4,'Listas suspensas'!$C$4,IF(AA482='Listas suspensas'!$A$5,'Listas suspensas'!$C$5,IF(AA482='Listas suspensas'!$A$6,'Listas suspensas'!$C$6,"")))))</f>
        <v>Indica a penetração profunda, mas desuniforme em toda a extensão do alburno.</v>
      </c>
      <c r="BD482" s="13">
        <v>0.36499999999999999</v>
      </c>
      <c r="BE482" s="18">
        <f t="shared" si="85"/>
        <v>365</v>
      </c>
      <c r="BF482" s="8">
        <v>0.40699999999999997</v>
      </c>
      <c r="BG482" s="8">
        <v>0.18</v>
      </c>
      <c r="BH482" s="8">
        <v>0.378</v>
      </c>
      <c r="BI482" s="13">
        <f t="shared" si="86"/>
        <v>0.96499999999999997</v>
      </c>
      <c r="BJ482" s="14">
        <v>42.2</v>
      </c>
      <c r="BK482" s="14">
        <v>18.600000000000001</v>
      </c>
      <c r="BL482" s="14">
        <v>39.200000000000003</v>
      </c>
      <c r="BM482" s="16">
        <f t="shared" si="76"/>
        <v>100</v>
      </c>
      <c r="BN482" s="21">
        <f t="shared" si="77"/>
        <v>1.49</v>
      </c>
      <c r="BO482" s="21">
        <f t="shared" si="78"/>
        <v>0.66</v>
      </c>
      <c r="BP482" s="21">
        <f t="shared" si="79"/>
        <v>1.38</v>
      </c>
      <c r="BQ482" s="14">
        <f t="shared" si="80"/>
        <v>3.53</v>
      </c>
      <c r="BR482" s="22" t="str">
        <f>IF(OR(AND(X482="Mourões", BQ482&gt;=6.5),AND(X482="Postes", BQ482&gt;=9.6),AND(X482="Dormentes", BQ482&gt;=9.6),AND(X482="Estacas - Solo", BQ482&gt;=6.5),AND(X482="Estacas - Suspenso", BQ482&gt;=4),AND(X482="Cruzetas", BQ482&gt;=6.5),AND(X482="Outros - Solo", BQ482&gt;=6.5),AND(X482="Outros - Suspenso",BQ482&gt;=4),AND(X482="Deck",BQ482&gt;=4)),'Listas suspensas'!$C$21,'Listas suspensas'!$C$22)</f>
        <v>Os resultados da análise química apresentaram uma retenção do produto inferior ao padrão mínimo exigido pela norma ABNT NBR 16143</v>
      </c>
    </row>
    <row r="483" spans="2:70" x14ac:dyDescent="0.25">
      <c r="B483" s="8" t="s">
        <v>1131</v>
      </c>
      <c r="C483" s="8" t="s">
        <v>71</v>
      </c>
      <c r="F483" s="11">
        <v>45968</v>
      </c>
      <c r="G483" s="11">
        <v>45974</v>
      </c>
      <c r="H483" s="11">
        <v>45979</v>
      </c>
      <c r="I483" s="8" t="s">
        <v>1420</v>
      </c>
      <c r="J483" s="8" t="s">
        <v>1421</v>
      </c>
      <c r="K483" s="8" t="s">
        <v>619</v>
      </c>
      <c r="L483" s="8" t="s">
        <v>15</v>
      </c>
      <c r="M483" s="30" t="s">
        <v>1422</v>
      </c>
      <c r="N483" s="8" t="s">
        <v>1165</v>
      </c>
      <c r="O483" s="8" t="s">
        <v>76</v>
      </c>
      <c r="P483" s="28" t="s">
        <v>146</v>
      </c>
      <c r="Q483" s="16" t="s">
        <v>1425</v>
      </c>
      <c r="X483" s="8" t="s">
        <v>473</v>
      </c>
      <c r="Y483" s="34">
        <f>IF(X483='Listas suspensas'!$A$21,'Listas suspensas'!$B$23,IF(X483='Listas suspensas'!$A$22,'Listas suspensas'!$B$23,IF(X483='Listas suspensas'!$A$23,'Listas suspensas'!$B$22,IF(X483='Listas suspensas'!$A$26,'Listas suspensas'!$B$22,IF(X483='Listas suspensas'!$A$32,'Listas suspensas'!$B$22,IF(X483='Listas suspensas'!$A$33,'Listas suspensas'!$B$21,IF(X483='Listas suspensas'!$A$24,'Listas suspensas'!$B$22,IF(X483='Listas suspensas'!$A$25,'Listas suspensas'!$B$21,IF(X483='Listas suspensas'!$A$30,'Listas suspensas'!$B$21,"")))))))))</f>
        <v>4</v>
      </c>
      <c r="Z483" s="8" t="s">
        <v>80</v>
      </c>
      <c r="AA483" s="8">
        <v>2</v>
      </c>
      <c r="AB483" s="8" t="str">
        <f>IF(AA483='Listas suspensas'!$A$2,'Listas suspensas'!$B$2,IF(AA483='Listas suspensas'!$A$3,'Listas suspensas'!$B$3,IF(AA483='Listas suspensas'!$A$4,'Listas suspensas'!$B$4,IF(AA483='Listas suspensas'!$A$5,'Listas suspensas'!$B$5,IF(AA483='Listas suspensas'!$A$6,'Listas suspensas'!$B$6,"")))))</f>
        <v>Profunda e irregular</v>
      </c>
      <c r="AC483" s="8" t="str">
        <f>IF(AA483='Listas suspensas'!$A$2,'Listas suspensas'!$C$2,IF(AA483='Listas suspensas'!$A$3,'Listas suspensas'!$C$3,IF(AA483='Listas suspensas'!$A$4,'Listas suspensas'!$C$4,IF(AA483='Listas suspensas'!$A$5,'Listas suspensas'!$C$5,IF(AA483='Listas suspensas'!$A$6,'Listas suspensas'!$C$6,"")))))</f>
        <v>Indica a penetração profunda, mas desuniforme em toda a extensão do alburno.</v>
      </c>
      <c r="BD483" s="13">
        <v>0.33200000000000002</v>
      </c>
      <c r="BE483" s="18">
        <f t="shared" si="85"/>
        <v>332</v>
      </c>
      <c r="BF483" s="8">
        <v>0.44500000000000001</v>
      </c>
      <c r="BG483" s="8">
        <v>0.183</v>
      </c>
      <c r="BH483" s="8">
        <v>0.40500000000000003</v>
      </c>
      <c r="BI483" s="13">
        <f t="shared" si="86"/>
        <v>1.0329999999999999</v>
      </c>
      <c r="BJ483" s="14">
        <v>43</v>
      </c>
      <c r="BK483" s="14">
        <v>17.7</v>
      </c>
      <c r="BL483" s="14">
        <v>39.299999999999997</v>
      </c>
      <c r="BM483" s="16">
        <f t="shared" si="76"/>
        <v>100</v>
      </c>
      <c r="BN483" s="21">
        <f t="shared" si="77"/>
        <v>1.48</v>
      </c>
      <c r="BO483" s="21">
        <f t="shared" si="78"/>
        <v>0.61</v>
      </c>
      <c r="BP483" s="21">
        <f t="shared" si="79"/>
        <v>1.34</v>
      </c>
      <c r="BQ483" s="14">
        <f t="shared" si="80"/>
        <v>3.43</v>
      </c>
      <c r="BR483" s="22" t="str">
        <f>IF(OR(AND(X483="Mourões", BQ483&gt;=6.5),AND(X483="Postes", BQ483&gt;=9.6),AND(X483="Dormentes", BQ483&gt;=9.6),AND(X483="Estacas - Solo", BQ483&gt;=6.5),AND(X483="Estacas - Suspenso", BQ483&gt;=4),AND(X483="Cruzetas", BQ483&gt;=6.5),AND(X483="Outros - Solo", BQ483&gt;=6.5),AND(X483="Outros - Suspenso",BQ483&gt;=4),AND(X483="Deck",BQ483&gt;=4)),'Listas suspensas'!$C$21,'Listas suspensas'!$C$22)</f>
        <v>Os resultados da análise química apresentaram uma retenção do produto inferior ao padrão mínimo exigido pela norma ABNT NBR 16143</v>
      </c>
    </row>
    <row r="484" spans="2:70" x14ac:dyDescent="0.25">
      <c r="B484" s="8" t="s">
        <v>1132</v>
      </c>
      <c r="C484" s="8" t="s">
        <v>71</v>
      </c>
      <c r="F484" s="11">
        <v>45968</v>
      </c>
      <c r="G484" s="11">
        <v>45974</v>
      </c>
      <c r="H484" s="11">
        <v>45979</v>
      </c>
      <c r="I484" s="8" t="s">
        <v>1420</v>
      </c>
      <c r="J484" s="8" t="s">
        <v>1421</v>
      </c>
      <c r="K484" s="8" t="s">
        <v>619</v>
      </c>
      <c r="L484" s="8" t="s">
        <v>15</v>
      </c>
      <c r="M484" s="30" t="s">
        <v>1422</v>
      </c>
      <c r="N484" s="8" t="s">
        <v>1165</v>
      </c>
      <c r="O484" s="8" t="s">
        <v>76</v>
      </c>
      <c r="P484" s="28" t="s">
        <v>471</v>
      </c>
      <c r="Q484" s="16" t="s">
        <v>1426</v>
      </c>
      <c r="X484" s="8" t="s">
        <v>473</v>
      </c>
      <c r="Y484" s="34">
        <f>IF(X484='Listas suspensas'!$A$21,'Listas suspensas'!$B$23,IF(X484='Listas suspensas'!$A$22,'Listas suspensas'!$B$23,IF(X484='Listas suspensas'!$A$23,'Listas suspensas'!$B$22,IF(X484='Listas suspensas'!$A$26,'Listas suspensas'!$B$22,IF(X484='Listas suspensas'!$A$32,'Listas suspensas'!$B$22,IF(X484='Listas suspensas'!$A$33,'Listas suspensas'!$B$21,IF(X484='Listas suspensas'!$A$24,'Listas suspensas'!$B$22,IF(X484='Listas suspensas'!$A$25,'Listas suspensas'!$B$21,IF(X484='Listas suspensas'!$A$30,'Listas suspensas'!$B$21,"")))))))))</f>
        <v>4</v>
      </c>
      <c r="Z484" s="8" t="s">
        <v>80</v>
      </c>
      <c r="AA484" s="8">
        <v>2</v>
      </c>
      <c r="AB484" s="8" t="str">
        <f>IF(AA484='Listas suspensas'!$A$2,'Listas suspensas'!$B$2,IF(AA484='Listas suspensas'!$A$3,'Listas suspensas'!$B$3,IF(AA484='Listas suspensas'!$A$4,'Listas suspensas'!$B$4,IF(AA484='Listas suspensas'!$A$5,'Listas suspensas'!$B$5,IF(AA484='Listas suspensas'!$A$6,'Listas suspensas'!$B$6,"")))))</f>
        <v>Profunda e irregular</v>
      </c>
      <c r="AC484" s="8" t="str">
        <f>IF(AA484='Listas suspensas'!$A$2,'Listas suspensas'!$C$2,IF(AA484='Listas suspensas'!$A$3,'Listas suspensas'!$C$3,IF(AA484='Listas suspensas'!$A$4,'Listas suspensas'!$C$4,IF(AA484='Listas suspensas'!$A$5,'Listas suspensas'!$C$5,IF(AA484='Listas suspensas'!$A$6,'Listas suspensas'!$C$6,"")))))</f>
        <v>Indica a penetração profunda, mas desuniforme em toda a extensão do alburno.</v>
      </c>
      <c r="BD484" s="13">
        <v>0.36899999999999999</v>
      </c>
      <c r="BE484" s="18">
        <f t="shared" si="85"/>
        <v>369</v>
      </c>
      <c r="BF484" s="8">
        <v>0.50700000000000001</v>
      </c>
      <c r="BG484" s="8">
        <v>0.19500000000000001</v>
      </c>
      <c r="BH484" s="8">
        <v>0.40500000000000003</v>
      </c>
      <c r="BI484" s="13">
        <f t="shared" si="86"/>
        <v>1.107</v>
      </c>
      <c r="BJ484" s="14">
        <v>45.8</v>
      </c>
      <c r="BK484" s="14">
        <v>17.600000000000001</v>
      </c>
      <c r="BL484" s="14">
        <v>36.6</v>
      </c>
      <c r="BM484" s="16">
        <f t="shared" si="76"/>
        <v>100</v>
      </c>
      <c r="BN484" s="21">
        <f t="shared" si="77"/>
        <v>1.87</v>
      </c>
      <c r="BO484" s="21">
        <f t="shared" si="78"/>
        <v>0.72</v>
      </c>
      <c r="BP484" s="21">
        <f t="shared" si="79"/>
        <v>1.49</v>
      </c>
      <c r="BQ484" s="14">
        <f t="shared" si="80"/>
        <v>4.08</v>
      </c>
      <c r="BR484" s="22" t="str">
        <f>IF(OR(AND(X484="Mourões", BQ484&gt;=6.5),AND(X484="Postes", BQ484&gt;=9.6),AND(X484="Dormentes", BQ484&gt;=9.6),AND(X484="Estacas - Solo", BQ484&gt;=6.5),AND(X484="Estacas - Suspenso", BQ484&gt;=4),AND(X484="Cruzetas", BQ484&gt;=6.5),AND(X484="Outros - Solo", BQ484&gt;=6.5),AND(X484="Outros - Suspenso",BQ484&gt;=4),AND(X484="Deck",BQ484&gt;=4)),'Listas suspensas'!$C$21,'Listas suspensas'!$C$22)</f>
        <v>Os resultados da análise química apresentaram uma retenção do produto de acordo com o padrão mínimo exigido pela norma ABNT NBR 16143</v>
      </c>
    </row>
    <row r="485" spans="2:70" x14ac:dyDescent="0.25">
      <c r="B485" s="8" t="s">
        <v>1133</v>
      </c>
      <c r="C485" s="8" t="s">
        <v>71</v>
      </c>
      <c r="F485" s="11">
        <v>45974</v>
      </c>
      <c r="G485" s="11">
        <v>45978</v>
      </c>
      <c r="H485" s="11">
        <v>45989</v>
      </c>
      <c r="I485" s="8" t="s">
        <v>521</v>
      </c>
      <c r="J485" s="8" t="s">
        <v>522</v>
      </c>
      <c r="K485" s="8" t="s">
        <v>523</v>
      </c>
      <c r="L485" s="8" t="s">
        <v>15</v>
      </c>
      <c r="M485" s="30" t="s">
        <v>524</v>
      </c>
      <c r="N485" s="8" t="s">
        <v>1165</v>
      </c>
      <c r="O485" s="8" t="s">
        <v>94</v>
      </c>
      <c r="P485" s="28" t="s">
        <v>77</v>
      </c>
      <c r="Q485" s="16" t="s">
        <v>1432</v>
      </c>
      <c r="X485" s="8" t="s">
        <v>79</v>
      </c>
      <c r="Y485" s="34">
        <f>IF(X485='Listas suspensas'!$A$21,'Listas suspensas'!$B$23,IF(X485='Listas suspensas'!$A$22,'Listas suspensas'!$B$23,IF(X485='Listas suspensas'!$A$23,'Listas suspensas'!$B$22,IF(X485='Listas suspensas'!$A$26,'Listas suspensas'!$B$22,IF(X485='Listas suspensas'!$A$32,'Listas suspensas'!$B$22,IF(X485='Listas suspensas'!$A$33,'Listas suspensas'!$B$21,IF(X485='Listas suspensas'!$A$24,'Listas suspensas'!$B$22,IF(X485='Listas suspensas'!$A$25,'Listas suspensas'!$B$21,IF(X485='Listas suspensas'!$A$30,'Listas suspensas'!$B$21,"")))))))))</f>
        <v>6.5</v>
      </c>
      <c r="Z485" s="8" t="s">
        <v>80</v>
      </c>
      <c r="AA485" s="8">
        <v>2</v>
      </c>
      <c r="AB485" s="8" t="str">
        <f>IF(AA485='Listas suspensas'!$A$2,'Listas suspensas'!$B$2,IF(AA485='Listas suspensas'!$A$3,'Listas suspensas'!$B$3,IF(AA485='Listas suspensas'!$A$4,'Listas suspensas'!$B$4,IF(AA485='Listas suspensas'!$A$5,'Listas suspensas'!$B$5,IF(AA485='Listas suspensas'!$A$6,'Listas suspensas'!$B$6,"")))))</f>
        <v>Profunda e irregular</v>
      </c>
      <c r="AC485" s="8" t="str">
        <f>IF(AA485='Listas suspensas'!$A$2,'Listas suspensas'!$C$2,IF(AA485='Listas suspensas'!$A$3,'Listas suspensas'!$C$3,IF(AA485='Listas suspensas'!$A$4,'Listas suspensas'!$C$4,IF(AA485='Listas suspensas'!$A$5,'Listas suspensas'!$C$5,IF(AA485='Listas suspensas'!$A$6,'Listas suspensas'!$C$6,"")))))</f>
        <v>Indica a penetração profunda, mas desuniforme em toda a extensão do alburno.</v>
      </c>
      <c r="BD485" s="13">
        <v>0.68</v>
      </c>
      <c r="BE485" s="18">
        <f t="shared" si="85"/>
        <v>680</v>
      </c>
      <c r="BF485" s="8">
        <v>0.55700000000000005</v>
      </c>
      <c r="BG485" s="8">
        <v>0.219</v>
      </c>
      <c r="BH485" s="8">
        <v>0.42199999999999999</v>
      </c>
      <c r="BI485" s="13">
        <f t="shared" si="86"/>
        <v>1.198</v>
      </c>
      <c r="BJ485" s="14">
        <v>46.5</v>
      </c>
      <c r="BK485" s="14">
        <v>18.3</v>
      </c>
      <c r="BL485" s="14">
        <v>35.200000000000003</v>
      </c>
      <c r="BM485" s="16">
        <f t="shared" si="76"/>
        <v>100</v>
      </c>
      <c r="BN485" s="21">
        <f t="shared" si="77"/>
        <v>3.79</v>
      </c>
      <c r="BO485" s="21">
        <f t="shared" si="78"/>
        <v>1.49</v>
      </c>
      <c r="BP485" s="21">
        <f t="shared" si="79"/>
        <v>2.87</v>
      </c>
      <c r="BQ485" s="14">
        <f t="shared" si="80"/>
        <v>8.15</v>
      </c>
      <c r="BR485" s="22" t="str">
        <f>IF(OR(AND(X485="Mourões", BQ485&gt;=6.5),AND(X485="Postes", BQ485&gt;=9.6),AND(X485="Dormentes", BQ485&gt;=9.6),AND(X485="Estacas - Solo", BQ485&gt;=6.5),AND(X485="Estacas - Suspenso", BQ485&gt;=4),AND(X485="Cruzetas", BQ485&gt;=6.5),AND(X485="Outros - Solo", BQ485&gt;=6.5),AND(X485="Outros - Suspenso",BQ485&gt;=4),AND(X485="Deck",BQ485&gt;=4)),'Listas suspensas'!$C$21,'Listas suspensas'!$C$22)</f>
        <v>Os resultados da análise química apresentaram uma retenção do produto de acordo com o padrão mínimo exigido pela norma ABNT NBR 16143</v>
      </c>
    </row>
    <row r="486" spans="2:70" x14ac:dyDescent="0.25">
      <c r="B486" s="8" t="s">
        <v>1134</v>
      </c>
      <c r="C486" s="8" t="s">
        <v>71</v>
      </c>
      <c r="F486" s="11">
        <v>45974</v>
      </c>
      <c r="G486" s="11">
        <v>45978</v>
      </c>
      <c r="H486" s="11">
        <v>45989</v>
      </c>
      <c r="I486" s="8" t="s">
        <v>521</v>
      </c>
      <c r="J486" s="8" t="s">
        <v>522</v>
      </c>
      <c r="K486" s="8" t="s">
        <v>523</v>
      </c>
      <c r="L486" s="8" t="s">
        <v>15</v>
      </c>
      <c r="M486" s="30" t="s">
        <v>524</v>
      </c>
      <c r="N486" s="8" t="s">
        <v>1165</v>
      </c>
      <c r="O486" s="8" t="s">
        <v>94</v>
      </c>
      <c r="P486" s="28" t="s">
        <v>77</v>
      </c>
      <c r="Q486" s="16" t="s">
        <v>1433</v>
      </c>
      <c r="X486" s="8" t="s">
        <v>79</v>
      </c>
      <c r="Y486" s="34">
        <f>IF(X486='Listas suspensas'!$A$21,'Listas suspensas'!$B$23,IF(X486='Listas suspensas'!$A$22,'Listas suspensas'!$B$23,IF(X486='Listas suspensas'!$A$23,'Listas suspensas'!$B$22,IF(X486='Listas suspensas'!$A$26,'Listas suspensas'!$B$22,IF(X486='Listas suspensas'!$A$32,'Listas suspensas'!$B$22,IF(X486='Listas suspensas'!$A$33,'Listas suspensas'!$B$21,IF(X486='Listas suspensas'!$A$24,'Listas suspensas'!$B$22,IF(X486='Listas suspensas'!$A$25,'Listas suspensas'!$B$21,IF(X486='Listas suspensas'!$A$30,'Listas suspensas'!$B$21,"")))))))))</f>
        <v>6.5</v>
      </c>
      <c r="Z486" s="8" t="s">
        <v>80</v>
      </c>
      <c r="AA486" s="8">
        <v>2</v>
      </c>
      <c r="AB486" s="8" t="str">
        <f>IF(AA486='Listas suspensas'!$A$2,'Listas suspensas'!$B$2,IF(AA486='Listas suspensas'!$A$3,'Listas suspensas'!$B$3,IF(AA486='Listas suspensas'!$A$4,'Listas suspensas'!$B$4,IF(AA486='Listas suspensas'!$A$5,'Listas suspensas'!$B$5,IF(AA486='Listas suspensas'!$A$6,'Listas suspensas'!$B$6,"")))))</f>
        <v>Profunda e irregular</v>
      </c>
      <c r="AC486" s="8" t="str">
        <f>IF(AA486='Listas suspensas'!$A$2,'Listas suspensas'!$C$2,IF(AA486='Listas suspensas'!$A$3,'Listas suspensas'!$C$3,IF(AA486='Listas suspensas'!$A$4,'Listas suspensas'!$C$4,IF(AA486='Listas suspensas'!$A$5,'Listas suspensas'!$C$5,IF(AA486='Listas suspensas'!$A$6,'Listas suspensas'!$C$6,"")))))</f>
        <v>Indica a penetração profunda, mas desuniforme em toda a extensão do alburno.</v>
      </c>
      <c r="BD486" s="13">
        <v>0.753</v>
      </c>
      <c r="BE486" s="18">
        <f t="shared" si="85"/>
        <v>753</v>
      </c>
      <c r="BF486" s="8">
        <v>0.42</v>
      </c>
      <c r="BG486" s="8">
        <v>0.217</v>
      </c>
      <c r="BH486" s="8">
        <v>0.47199999999999998</v>
      </c>
      <c r="BI486" s="13">
        <f t="shared" si="86"/>
        <v>1.109</v>
      </c>
      <c r="BJ486" s="14">
        <v>37.9</v>
      </c>
      <c r="BK486" s="14">
        <v>19.600000000000001</v>
      </c>
      <c r="BL486" s="14">
        <v>42.5</v>
      </c>
      <c r="BM486" s="16">
        <f t="shared" si="76"/>
        <v>100</v>
      </c>
      <c r="BN486" s="21">
        <f t="shared" si="77"/>
        <v>3.16</v>
      </c>
      <c r="BO486" s="21">
        <f t="shared" si="78"/>
        <v>1.63</v>
      </c>
      <c r="BP486" s="21">
        <f t="shared" si="79"/>
        <v>3.55</v>
      </c>
      <c r="BQ486" s="14">
        <f t="shared" si="80"/>
        <v>8.34</v>
      </c>
      <c r="BR486" s="22" t="str">
        <f>IF(OR(AND(X486="Mourões", BQ486&gt;=6.5),AND(X486="Postes", BQ486&gt;=9.6),AND(X486="Dormentes", BQ486&gt;=9.6),AND(X486="Estacas - Solo", BQ486&gt;=6.5),AND(X486="Estacas - Suspenso", BQ486&gt;=4),AND(X486="Cruzetas", BQ486&gt;=6.5),AND(X486="Outros - Solo", BQ486&gt;=6.5),AND(X486="Outros - Suspenso",BQ486&gt;=4),AND(X486="Deck",BQ486&gt;=4)),'Listas suspensas'!$C$21,'Listas suspensas'!$C$22)</f>
        <v>Os resultados da análise química apresentaram uma retenção do produto de acordo com o padrão mínimo exigido pela norma ABNT NBR 16143</v>
      </c>
    </row>
    <row r="487" spans="2:70" x14ac:dyDescent="0.25">
      <c r="B487" s="8" t="s">
        <v>1135</v>
      </c>
      <c r="C487" s="8" t="s">
        <v>71</v>
      </c>
      <c r="F487" s="11">
        <v>45974</v>
      </c>
      <c r="G487" s="11">
        <v>45978</v>
      </c>
      <c r="H487" s="11">
        <v>45989</v>
      </c>
      <c r="I487" s="8" t="s">
        <v>521</v>
      </c>
      <c r="J487" s="8" t="s">
        <v>522</v>
      </c>
      <c r="K487" s="8" t="s">
        <v>523</v>
      </c>
      <c r="L487" s="8" t="s">
        <v>15</v>
      </c>
      <c r="M487" s="30" t="s">
        <v>524</v>
      </c>
      <c r="N487" s="8" t="s">
        <v>1165</v>
      </c>
      <c r="O487" s="8" t="s">
        <v>94</v>
      </c>
      <c r="P487" s="28" t="s">
        <v>77</v>
      </c>
      <c r="Q487" s="16" t="s">
        <v>1434</v>
      </c>
      <c r="X487" s="8" t="s">
        <v>79</v>
      </c>
      <c r="Y487" s="34">
        <f>IF(X487='Listas suspensas'!$A$21,'Listas suspensas'!$B$23,IF(X487='Listas suspensas'!$A$22,'Listas suspensas'!$B$23,IF(X487='Listas suspensas'!$A$23,'Listas suspensas'!$B$22,IF(X487='Listas suspensas'!$A$26,'Listas suspensas'!$B$22,IF(X487='Listas suspensas'!$A$32,'Listas suspensas'!$B$22,IF(X487='Listas suspensas'!$A$33,'Listas suspensas'!$B$21,IF(X487='Listas suspensas'!$A$24,'Listas suspensas'!$B$22,IF(X487='Listas suspensas'!$A$25,'Listas suspensas'!$B$21,IF(X487='Listas suspensas'!$A$30,'Listas suspensas'!$B$21,"")))))))))</f>
        <v>6.5</v>
      </c>
      <c r="Z487" s="8" t="s">
        <v>80</v>
      </c>
      <c r="AA487" s="8">
        <v>2</v>
      </c>
      <c r="AB487" s="8" t="str">
        <f>IF(AA487='Listas suspensas'!$A$2,'Listas suspensas'!$B$2,IF(AA487='Listas suspensas'!$A$3,'Listas suspensas'!$B$3,IF(AA487='Listas suspensas'!$A$4,'Listas suspensas'!$B$4,IF(AA487='Listas suspensas'!$A$5,'Listas suspensas'!$B$5,IF(AA487='Listas suspensas'!$A$6,'Listas suspensas'!$B$6,"")))))</f>
        <v>Profunda e irregular</v>
      </c>
      <c r="AC487" s="8" t="str">
        <f>IF(AA487='Listas suspensas'!$A$2,'Listas suspensas'!$C$2,IF(AA487='Listas suspensas'!$A$3,'Listas suspensas'!$C$3,IF(AA487='Listas suspensas'!$A$4,'Listas suspensas'!$C$4,IF(AA487='Listas suspensas'!$A$5,'Listas suspensas'!$C$5,IF(AA487='Listas suspensas'!$A$6,'Listas suspensas'!$C$6,"")))))</f>
        <v>Indica a penetração profunda, mas desuniforme em toda a extensão do alburno.</v>
      </c>
      <c r="BD487" s="13">
        <v>0.70299999999999996</v>
      </c>
      <c r="BE487" s="18">
        <f t="shared" si="85"/>
        <v>703</v>
      </c>
      <c r="BF487" s="8">
        <v>0.55000000000000004</v>
      </c>
      <c r="BG487" s="8">
        <v>0.255</v>
      </c>
      <c r="BH487" s="8">
        <v>0.501</v>
      </c>
      <c r="BI487" s="13">
        <f t="shared" si="86"/>
        <v>1.306</v>
      </c>
      <c r="BJ487" s="14">
        <v>42.1</v>
      </c>
      <c r="BK487" s="14">
        <v>19.5</v>
      </c>
      <c r="BL487" s="14">
        <v>38.4</v>
      </c>
      <c r="BM487" s="16">
        <f t="shared" ref="BM487:BM550" si="87">ROUND(SUM(BJ487:BL487),2)</f>
        <v>100</v>
      </c>
      <c r="BN487" s="21">
        <f t="shared" ref="BN487:BN550" si="88">ROUND((BF487/100)*BE487,2)</f>
        <v>3.87</v>
      </c>
      <c r="BO487" s="21">
        <f t="shared" ref="BO487:BO550" si="89">ROUND((BG487/100)*BE487,2)</f>
        <v>1.79</v>
      </c>
      <c r="BP487" s="21">
        <f t="shared" ref="BP487:BP550" si="90">ROUND((BH487/100)*BE487,2)</f>
        <v>3.52</v>
      </c>
      <c r="BQ487" s="14">
        <f t="shared" ref="BQ487:BQ550" si="91">ROUND(SUM(BN487:BP487),2)</f>
        <v>9.18</v>
      </c>
      <c r="BR487" s="22" t="str">
        <f>IF(OR(AND(X487="Mourões", BQ487&gt;=6.5),AND(X487="Postes", BQ487&gt;=9.6),AND(X487="Dormentes", BQ487&gt;=9.6),AND(X487="Estacas - Solo", BQ487&gt;=6.5),AND(X487="Estacas - Suspenso", BQ487&gt;=4),AND(X487="Cruzetas", BQ487&gt;=6.5),AND(X487="Outros - Solo", BQ487&gt;=6.5),AND(X487="Outros - Suspenso",BQ487&gt;=4),AND(X487="Deck",BQ487&gt;=4)),'Listas suspensas'!$C$21,'Listas suspensas'!$C$22)</f>
        <v>Os resultados da análise química apresentaram uma retenção do produto de acordo com o padrão mínimo exigido pela norma ABNT NBR 16143</v>
      </c>
    </row>
    <row r="488" spans="2:70" x14ac:dyDescent="0.25">
      <c r="B488" s="8" t="s">
        <v>1136</v>
      </c>
      <c r="C488" s="8" t="s">
        <v>71</v>
      </c>
      <c r="F488" s="11">
        <v>45974</v>
      </c>
      <c r="G488" s="11">
        <v>45978</v>
      </c>
      <c r="H488" s="11">
        <v>45989</v>
      </c>
      <c r="I488" s="8" t="s">
        <v>521</v>
      </c>
      <c r="J488" s="8" t="s">
        <v>522</v>
      </c>
      <c r="K488" s="8" t="s">
        <v>523</v>
      </c>
      <c r="L488" s="8" t="s">
        <v>15</v>
      </c>
      <c r="M488" s="30" t="s">
        <v>524</v>
      </c>
      <c r="N488" s="8" t="s">
        <v>1165</v>
      </c>
      <c r="O488" s="8" t="s">
        <v>94</v>
      </c>
      <c r="P488" s="28" t="s">
        <v>77</v>
      </c>
      <c r="Q488" s="16" t="s">
        <v>1435</v>
      </c>
      <c r="X488" s="8" t="s">
        <v>79</v>
      </c>
      <c r="Y488" s="34">
        <f>IF(X488='Listas suspensas'!$A$21,'Listas suspensas'!$B$23,IF(X488='Listas suspensas'!$A$22,'Listas suspensas'!$B$23,IF(X488='Listas suspensas'!$A$23,'Listas suspensas'!$B$22,IF(X488='Listas suspensas'!$A$26,'Listas suspensas'!$B$22,IF(X488='Listas suspensas'!$A$32,'Listas suspensas'!$B$22,IF(X488='Listas suspensas'!$A$33,'Listas suspensas'!$B$21,IF(X488='Listas suspensas'!$A$24,'Listas suspensas'!$B$22,IF(X488='Listas suspensas'!$A$25,'Listas suspensas'!$B$21,IF(X488='Listas suspensas'!$A$30,'Listas suspensas'!$B$21,"")))))))))</f>
        <v>6.5</v>
      </c>
      <c r="Z488" s="8" t="s">
        <v>80</v>
      </c>
      <c r="AA488" s="8">
        <v>2</v>
      </c>
      <c r="AB488" s="8" t="str">
        <f>IF(AA488='Listas suspensas'!$A$2,'Listas suspensas'!$B$2,IF(AA488='Listas suspensas'!$A$3,'Listas suspensas'!$B$3,IF(AA488='Listas suspensas'!$A$4,'Listas suspensas'!$B$4,IF(AA488='Listas suspensas'!$A$5,'Listas suspensas'!$B$5,IF(AA488='Listas suspensas'!$A$6,'Listas suspensas'!$B$6,"")))))</f>
        <v>Profunda e irregular</v>
      </c>
      <c r="AC488" s="8" t="str">
        <f>IF(AA488='Listas suspensas'!$A$2,'Listas suspensas'!$C$2,IF(AA488='Listas suspensas'!$A$3,'Listas suspensas'!$C$3,IF(AA488='Listas suspensas'!$A$4,'Listas suspensas'!$C$4,IF(AA488='Listas suspensas'!$A$5,'Listas suspensas'!$C$5,IF(AA488='Listas suspensas'!$A$6,'Listas suspensas'!$C$6,"")))))</f>
        <v>Indica a penetração profunda, mas desuniforme em toda a extensão do alburno.</v>
      </c>
      <c r="BD488" s="13">
        <v>0.621</v>
      </c>
      <c r="BE488" s="18">
        <f t="shared" si="85"/>
        <v>621</v>
      </c>
      <c r="BF488" s="8">
        <v>0.65</v>
      </c>
      <c r="BG488" s="8">
        <v>0.26700000000000002</v>
      </c>
      <c r="BH488" s="8">
        <v>0.48899999999999999</v>
      </c>
      <c r="BI488" s="13">
        <f t="shared" si="86"/>
        <v>1.4060000000000001</v>
      </c>
      <c r="BJ488" s="14">
        <v>46.2</v>
      </c>
      <c r="BK488" s="14">
        <v>19</v>
      </c>
      <c r="BL488" s="14">
        <v>34.799999999999997</v>
      </c>
      <c r="BM488" s="16">
        <f t="shared" si="87"/>
        <v>100</v>
      </c>
      <c r="BN488" s="21">
        <f t="shared" si="88"/>
        <v>4.04</v>
      </c>
      <c r="BO488" s="21">
        <f t="shared" si="89"/>
        <v>1.66</v>
      </c>
      <c r="BP488" s="21">
        <f t="shared" si="90"/>
        <v>3.04</v>
      </c>
      <c r="BQ488" s="14">
        <f t="shared" si="91"/>
        <v>8.74</v>
      </c>
      <c r="BR488" s="22" t="str">
        <f>IF(OR(AND(X488="Mourões", BQ488&gt;=6.5),AND(X488="Postes", BQ488&gt;=9.6),AND(X488="Dormentes", BQ488&gt;=9.6),AND(X488="Estacas - Solo", BQ488&gt;=6.5),AND(X488="Estacas - Suspenso", BQ488&gt;=4),AND(X488="Cruzetas", BQ488&gt;=6.5),AND(X488="Outros - Solo", BQ488&gt;=6.5),AND(X488="Outros - Suspenso",BQ488&gt;=4),AND(X488="Deck",BQ488&gt;=4)),'Listas suspensas'!$C$21,'Listas suspensas'!$C$22)</f>
        <v>Os resultados da análise química apresentaram uma retenção do produto de acordo com o padrão mínimo exigido pela norma ABNT NBR 16143</v>
      </c>
    </row>
    <row r="489" spans="2:70" x14ac:dyDescent="0.25">
      <c r="B489" s="8" t="s">
        <v>1137</v>
      </c>
      <c r="C489" s="8" t="s">
        <v>71</v>
      </c>
      <c r="F489" s="11">
        <v>45974</v>
      </c>
      <c r="G489" s="11">
        <v>45978</v>
      </c>
      <c r="H489" s="11">
        <v>45989</v>
      </c>
      <c r="I489" s="8" t="s">
        <v>521</v>
      </c>
      <c r="J489" s="8" t="s">
        <v>522</v>
      </c>
      <c r="K489" s="8" t="s">
        <v>523</v>
      </c>
      <c r="L489" s="8" t="s">
        <v>15</v>
      </c>
      <c r="M489" s="30" t="s">
        <v>524</v>
      </c>
      <c r="N489" s="8" t="s">
        <v>1165</v>
      </c>
      <c r="O489" s="8" t="s">
        <v>94</v>
      </c>
      <c r="P489" s="28" t="s">
        <v>77</v>
      </c>
      <c r="Q489" s="16" t="s">
        <v>1436</v>
      </c>
      <c r="X489" s="8" t="s">
        <v>79</v>
      </c>
      <c r="Y489" s="34">
        <f>IF(X489='Listas suspensas'!$A$21,'Listas suspensas'!$B$23,IF(X489='Listas suspensas'!$A$22,'Listas suspensas'!$B$23,IF(X489='Listas suspensas'!$A$23,'Listas suspensas'!$B$22,IF(X489='Listas suspensas'!$A$26,'Listas suspensas'!$B$22,IF(X489='Listas suspensas'!$A$32,'Listas suspensas'!$B$22,IF(X489='Listas suspensas'!$A$33,'Listas suspensas'!$B$21,IF(X489='Listas suspensas'!$A$24,'Listas suspensas'!$B$22,IF(X489='Listas suspensas'!$A$25,'Listas suspensas'!$B$21,IF(X489='Listas suspensas'!$A$30,'Listas suspensas'!$B$21,"")))))))))</f>
        <v>6.5</v>
      </c>
      <c r="Z489" s="8" t="s">
        <v>80</v>
      </c>
      <c r="AA489" s="8">
        <v>2</v>
      </c>
      <c r="AB489" s="8" t="str">
        <f>IF(AA489='Listas suspensas'!$A$2,'Listas suspensas'!$B$2,IF(AA489='Listas suspensas'!$A$3,'Listas suspensas'!$B$3,IF(AA489='Listas suspensas'!$A$4,'Listas suspensas'!$B$4,IF(AA489='Listas suspensas'!$A$5,'Listas suspensas'!$B$5,IF(AA489='Listas suspensas'!$A$6,'Listas suspensas'!$B$6,"")))))</f>
        <v>Profunda e irregular</v>
      </c>
      <c r="AC489" s="8" t="str">
        <f>IF(AA489='Listas suspensas'!$A$2,'Listas suspensas'!$C$2,IF(AA489='Listas suspensas'!$A$3,'Listas suspensas'!$C$3,IF(AA489='Listas suspensas'!$A$4,'Listas suspensas'!$C$4,IF(AA489='Listas suspensas'!$A$5,'Listas suspensas'!$C$5,IF(AA489='Listas suspensas'!$A$6,'Listas suspensas'!$C$6,"")))))</f>
        <v>Indica a penetração profunda, mas desuniforme em toda a extensão do alburno.</v>
      </c>
      <c r="BD489" s="13">
        <v>0.69699999999999995</v>
      </c>
      <c r="BE489" s="18">
        <f t="shared" si="85"/>
        <v>697</v>
      </c>
      <c r="BF489" s="8">
        <v>0.54800000000000004</v>
      </c>
      <c r="BG489" s="8">
        <v>0.23400000000000001</v>
      </c>
      <c r="BH489" s="8">
        <v>0.45200000000000001</v>
      </c>
      <c r="BI489" s="13">
        <f t="shared" si="86"/>
        <v>1.234</v>
      </c>
      <c r="BJ489" s="14">
        <v>44.4</v>
      </c>
      <c r="BK489" s="14">
        <v>19</v>
      </c>
      <c r="BL489" s="14">
        <v>36.6</v>
      </c>
      <c r="BM489" s="16">
        <f t="shared" si="87"/>
        <v>100</v>
      </c>
      <c r="BN489" s="21">
        <f t="shared" si="88"/>
        <v>3.82</v>
      </c>
      <c r="BO489" s="21">
        <f t="shared" si="89"/>
        <v>1.63</v>
      </c>
      <c r="BP489" s="21">
        <f t="shared" si="90"/>
        <v>3.15</v>
      </c>
      <c r="BQ489" s="14">
        <f t="shared" si="91"/>
        <v>8.6</v>
      </c>
      <c r="BR489" s="22" t="str">
        <f>IF(OR(AND(X489="Mourões", BQ489&gt;=6.5),AND(X489="Postes", BQ489&gt;=9.6),AND(X489="Dormentes", BQ489&gt;=9.6),AND(X489="Estacas - Solo", BQ489&gt;=6.5),AND(X489="Estacas - Suspenso", BQ489&gt;=4),AND(X489="Cruzetas", BQ489&gt;=6.5),AND(X489="Outros - Solo", BQ489&gt;=6.5),AND(X489="Outros - Suspenso",BQ489&gt;=4),AND(X489="Deck",BQ489&gt;=4)),'Listas suspensas'!$C$21,'Listas suspensas'!$C$22)</f>
        <v>Os resultados da análise química apresentaram uma retenção do produto de acordo com o padrão mínimo exigido pela norma ABNT NBR 16143</v>
      </c>
    </row>
    <row r="490" spans="2:70" x14ac:dyDescent="0.25">
      <c r="B490" s="8" t="s">
        <v>1138</v>
      </c>
      <c r="C490" s="8" t="s">
        <v>71</v>
      </c>
      <c r="F490" s="11">
        <v>45974</v>
      </c>
      <c r="G490" s="11">
        <v>45978</v>
      </c>
      <c r="H490" s="11">
        <v>45989</v>
      </c>
      <c r="I490" s="8" t="s">
        <v>521</v>
      </c>
      <c r="J490" s="8" t="s">
        <v>522</v>
      </c>
      <c r="K490" s="8" t="s">
        <v>523</v>
      </c>
      <c r="L490" s="8" t="s">
        <v>15</v>
      </c>
      <c r="M490" s="30" t="s">
        <v>524</v>
      </c>
      <c r="N490" s="8" t="s">
        <v>1165</v>
      </c>
      <c r="O490" s="8" t="s">
        <v>94</v>
      </c>
      <c r="P490" s="28" t="s">
        <v>77</v>
      </c>
      <c r="Q490" s="16" t="s">
        <v>1437</v>
      </c>
      <c r="X490" s="8" t="s">
        <v>79</v>
      </c>
      <c r="Y490" s="34">
        <f>IF(X490='Listas suspensas'!$A$21,'Listas suspensas'!$B$23,IF(X490='Listas suspensas'!$A$22,'Listas suspensas'!$B$23,IF(X490='Listas suspensas'!$A$23,'Listas suspensas'!$B$22,IF(X490='Listas suspensas'!$A$26,'Listas suspensas'!$B$22,IF(X490='Listas suspensas'!$A$32,'Listas suspensas'!$B$22,IF(X490='Listas suspensas'!$A$33,'Listas suspensas'!$B$21,IF(X490='Listas suspensas'!$A$24,'Listas suspensas'!$B$22,IF(X490='Listas suspensas'!$A$25,'Listas suspensas'!$B$21,IF(X490='Listas suspensas'!$A$30,'Listas suspensas'!$B$21,"")))))))))</f>
        <v>6.5</v>
      </c>
      <c r="Z490" s="8" t="s">
        <v>80</v>
      </c>
      <c r="AA490" s="8">
        <v>2</v>
      </c>
      <c r="AB490" s="8" t="str">
        <f>IF(AA490='Listas suspensas'!$A$2,'Listas suspensas'!$B$2,IF(AA490='Listas suspensas'!$A$3,'Listas suspensas'!$B$3,IF(AA490='Listas suspensas'!$A$4,'Listas suspensas'!$B$4,IF(AA490='Listas suspensas'!$A$5,'Listas suspensas'!$B$5,IF(AA490='Listas suspensas'!$A$6,'Listas suspensas'!$B$6,"")))))</f>
        <v>Profunda e irregular</v>
      </c>
      <c r="AC490" s="8" t="str">
        <f>IF(AA490='Listas suspensas'!$A$2,'Listas suspensas'!$C$2,IF(AA490='Listas suspensas'!$A$3,'Listas suspensas'!$C$3,IF(AA490='Listas suspensas'!$A$4,'Listas suspensas'!$C$4,IF(AA490='Listas suspensas'!$A$5,'Listas suspensas'!$C$5,IF(AA490='Listas suspensas'!$A$6,'Listas suspensas'!$C$6,"")))))</f>
        <v>Indica a penetração profunda, mas desuniforme em toda a extensão do alburno.</v>
      </c>
      <c r="BD490" s="13">
        <v>0.73899999999999999</v>
      </c>
      <c r="BE490" s="18">
        <f t="shared" si="85"/>
        <v>739</v>
      </c>
      <c r="BF490" s="8">
        <v>0.48799999999999999</v>
      </c>
      <c r="BG490" s="8">
        <v>0.224</v>
      </c>
      <c r="BH490" s="8">
        <v>0.42699999999999999</v>
      </c>
      <c r="BI490" s="13">
        <f t="shared" si="86"/>
        <v>1.139</v>
      </c>
      <c r="BJ490" s="14">
        <v>42.8</v>
      </c>
      <c r="BK490" s="14">
        <v>19.600000000000001</v>
      </c>
      <c r="BL490" s="14">
        <v>37.6</v>
      </c>
      <c r="BM490" s="16">
        <f t="shared" si="87"/>
        <v>100</v>
      </c>
      <c r="BN490" s="21">
        <f t="shared" si="88"/>
        <v>3.61</v>
      </c>
      <c r="BO490" s="21">
        <f t="shared" si="89"/>
        <v>1.66</v>
      </c>
      <c r="BP490" s="21">
        <f t="shared" si="90"/>
        <v>3.16</v>
      </c>
      <c r="BQ490" s="14">
        <f t="shared" si="91"/>
        <v>8.43</v>
      </c>
      <c r="BR490" s="22" t="str">
        <f>IF(OR(AND(X490="Mourões", BQ490&gt;=6.5),AND(X490="Postes", BQ490&gt;=9.6),AND(X490="Dormentes", BQ490&gt;=9.6),AND(X490="Estacas - Solo", BQ490&gt;=6.5),AND(X490="Estacas - Suspenso", BQ490&gt;=4),AND(X490="Cruzetas", BQ490&gt;=6.5),AND(X490="Outros - Solo", BQ490&gt;=6.5),AND(X490="Outros - Suspenso",BQ490&gt;=4),AND(X490="Deck",BQ490&gt;=4)),'Listas suspensas'!$C$21,'Listas suspensas'!$C$22)</f>
        <v>Os resultados da análise química apresentaram uma retenção do produto de acordo com o padrão mínimo exigido pela norma ABNT NBR 16143</v>
      </c>
    </row>
    <row r="491" spans="2:70" x14ac:dyDescent="0.25">
      <c r="B491" s="8" t="s">
        <v>1139</v>
      </c>
      <c r="C491" s="8" t="s">
        <v>71</v>
      </c>
      <c r="F491" s="11">
        <v>45974</v>
      </c>
      <c r="G491" s="11">
        <v>45978</v>
      </c>
      <c r="H491" s="11">
        <v>45989</v>
      </c>
      <c r="I491" s="8" t="s">
        <v>521</v>
      </c>
      <c r="J491" s="8" t="s">
        <v>522</v>
      </c>
      <c r="K491" s="8" t="s">
        <v>523</v>
      </c>
      <c r="L491" s="8" t="s">
        <v>15</v>
      </c>
      <c r="M491" s="30" t="s">
        <v>524</v>
      </c>
      <c r="N491" s="8" t="s">
        <v>1165</v>
      </c>
      <c r="O491" s="8" t="s">
        <v>94</v>
      </c>
      <c r="P491" s="28" t="s">
        <v>77</v>
      </c>
      <c r="Q491" s="16" t="s">
        <v>1438</v>
      </c>
      <c r="X491" s="8" t="s">
        <v>79</v>
      </c>
      <c r="Y491" s="34">
        <f>IF(X491='Listas suspensas'!$A$21,'Listas suspensas'!$B$23,IF(X491='Listas suspensas'!$A$22,'Listas suspensas'!$B$23,IF(X491='Listas suspensas'!$A$23,'Listas suspensas'!$B$22,IF(X491='Listas suspensas'!$A$26,'Listas suspensas'!$B$22,IF(X491='Listas suspensas'!$A$32,'Listas suspensas'!$B$22,IF(X491='Listas suspensas'!$A$33,'Listas suspensas'!$B$21,IF(X491='Listas suspensas'!$A$24,'Listas suspensas'!$B$22,IF(X491='Listas suspensas'!$A$25,'Listas suspensas'!$B$21,IF(X491='Listas suspensas'!$A$30,'Listas suspensas'!$B$21,"")))))))))</f>
        <v>6.5</v>
      </c>
      <c r="Z491" s="8" t="s">
        <v>80</v>
      </c>
      <c r="AA491" s="8">
        <v>2</v>
      </c>
      <c r="AB491" s="8" t="str">
        <f>IF(AA491='Listas suspensas'!$A$2,'Listas suspensas'!$B$2,IF(AA491='Listas suspensas'!$A$3,'Listas suspensas'!$B$3,IF(AA491='Listas suspensas'!$A$4,'Listas suspensas'!$B$4,IF(AA491='Listas suspensas'!$A$5,'Listas suspensas'!$B$5,IF(AA491='Listas suspensas'!$A$6,'Listas suspensas'!$B$6,"")))))</f>
        <v>Profunda e irregular</v>
      </c>
      <c r="AC491" s="8" t="str">
        <f>IF(AA491='Listas suspensas'!$A$2,'Listas suspensas'!$C$2,IF(AA491='Listas suspensas'!$A$3,'Listas suspensas'!$C$3,IF(AA491='Listas suspensas'!$A$4,'Listas suspensas'!$C$4,IF(AA491='Listas suspensas'!$A$5,'Listas suspensas'!$C$5,IF(AA491='Listas suspensas'!$A$6,'Listas suspensas'!$C$6,"")))))</f>
        <v>Indica a penetração profunda, mas desuniforme em toda a extensão do alburno.</v>
      </c>
      <c r="BD491" s="13">
        <v>0.75600000000000001</v>
      </c>
      <c r="BE491" s="18">
        <f t="shared" si="85"/>
        <v>756</v>
      </c>
      <c r="BF491" s="8">
        <v>0.71099999999999997</v>
      </c>
      <c r="BG491" s="8">
        <v>0.24399999999999999</v>
      </c>
      <c r="BH491" s="8">
        <v>0.52200000000000002</v>
      </c>
      <c r="BI491" s="13">
        <f t="shared" si="86"/>
        <v>1.4769999999999999</v>
      </c>
      <c r="BJ491" s="14">
        <v>48.1</v>
      </c>
      <c r="BK491" s="14">
        <v>16.5</v>
      </c>
      <c r="BL491" s="14">
        <v>35.4</v>
      </c>
      <c r="BM491" s="16">
        <f t="shared" si="87"/>
        <v>100</v>
      </c>
      <c r="BN491" s="21">
        <f t="shared" si="88"/>
        <v>5.38</v>
      </c>
      <c r="BO491" s="21">
        <f t="shared" si="89"/>
        <v>1.84</v>
      </c>
      <c r="BP491" s="21">
        <f t="shared" si="90"/>
        <v>3.95</v>
      </c>
      <c r="BQ491" s="14">
        <f t="shared" si="91"/>
        <v>11.17</v>
      </c>
      <c r="BR491" s="22" t="str">
        <f>IF(OR(AND(X491="Mourões", BQ491&gt;=6.5),AND(X491="Postes", BQ491&gt;=9.6),AND(X491="Dormentes", BQ491&gt;=9.6),AND(X491="Estacas - Solo", BQ491&gt;=6.5),AND(X491="Estacas - Suspenso", BQ491&gt;=4),AND(X491="Cruzetas", BQ491&gt;=6.5),AND(X491="Outros - Solo", BQ491&gt;=6.5),AND(X491="Outros - Suspenso",BQ491&gt;=4),AND(X491="Deck",BQ491&gt;=4)),'Listas suspensas'!$C$21,'Listas suspensas'!$C$22)</f>
        <v>Os resultados da análise química apresentaram uma retenção do produto de acordo com o padrão mínimo exigido pela norma ABNT NBR 16143</v>
      </c>
    </row>
    <row r="492" spans="2:70" x14ac:dyDescent="0.25">
      <c r="B492" s="8" t="s">
        <v>1140</v>
      </c>
      <c r="C492" s="8" t="s">
        <v>71</v>
      </c>
      <c r="F492" s="11">
        <v>45974</v>
      </c>
      <c r="G492" s="11">
        <v>45978</v>
      </c>
      <c r="H492" s="11">
        <v>45989</v>
      </c>
      <c r="I492" s="8" t="s">
        <v>521</v>
      </c>
      <c r="J492" s="8" t="s">
        <v>522</v>
      </c>
      <c r="K492" s="8" t="s">
        <v>523</v>
      </c>
      <c r="L492" s="8" t="s">
        <v>15</v>
      </c>
      <c r="M492" s="30" t="s">
        <v>524</v>
      </c>
      <c r="N492" s="8" t="s">
        <v>1165</v>
      </c>
      <c r="O492" s="8" t="s">
        <v>94</v>
      </c>
      <c r="P492" s="28" t="s">
        <v>77</v>
      </c>
      <c r="Q492" s="16" t="s">
        <v>1439</v>
      </c>
      <c r="X492" s="8" t="s">
        <v>79</v>
      </c>
      <c r="Y492" s="34">
        <f>IF(X492='Listas suspensas'!$A$21,'Listas suspensas'!$B$23,IF(X492='Listas suspensas'!$A$22,'Listas suspensas'!$B$23,IF(X492='Listas suspensas'!$A$23,'Listas suspensas'!$B$22,IF(X492='Listas suspensas'!$A$26,'Listas suspensas'!$B$22,IF(X492='Listas suspensas'!$A$32,'Listas suspensas'!$B$22,IF(X492='Listas suspensas'!$A$33,'Listas suspensas'!$B$21,IF(X492='Listas suspensas'!$A$24,'Listas suspensas'!$B$22,IF(X492='Listas suspensas'!$A$25,'Listas suspensas'!$B$21,IF(X492='Listas suspensas'!$A$30,'Listas suspensas'!$B$21,"")))))))))</f>
        <v>6.5</v>
      </c>
      <c r="Z492" s="8" t="s">
        <v>80</v>
      </c>
      <c r="AA492" s="8">
        <v>2</v>
      </c>
      <c r="AB492" s="8" t="str">
        <f>IF(AA492='Listas suspensas'!$A$2,'Listas suspensas'!$B$2,IF(AA492='Listas suspensas'!$A$3,'Listas suspensas'!$B$3,IF(AA492='Listas suspensas'!$A$4,'Listas suspensas'!$B$4,IF(AA492='Listas suspensas'!$A$5,'Listas suspensas'!$B$5,IF(AA492='Listas suspensas'!$A$6,'Listas suspensas'!$B$6,"")))))</f>
        <v>Profunda e irregular</v>
      </c>
      <c r="AC492" s="8" t="str">
        <f>IF(AA492='Listas suspensas'!$A$2,'Listas suspensas'!$C$2,IF(AA492='Listas suspensas'!$A$3,'Listas suspensas'!$C$3,IF(AA492='Listas suspensas'!$A$4,'Listas suspensas'!$C$4,IF(AA492='Listas suspensas'!$A$5,'Listas suspensas'!$C$5,IF(AA492='Listas suspensas'!$A$6,'Listas suspensas'!$C$6,"")))))</f>
        <v>Indica a penetração profunda, mas desuniforme em toda a extensão do alburno.</v>
      </c>
      <c r="BD492" s="13">
        <v>0.64100000000000001</v>
      </c>
      <c r="BE492" s="18">
        <f t="shared" si="85"/>
        <v>641</v>
      </c>
      <c r="BF492" s="8">
        <v>0.59199999999999997</v>
      </c>
      <c r="BG492" s="8">
        <v>0.316</v>
      </c>
      <c r="BH492" s="8">
        <v>0.72099999999999997</v>
      </c>
      <c r="BI492" s="13">
        <f t="shared" si="86"/>
        <v>1.629</v>
      </c>
      <c r="BJ492" s="14">
        <v>36.299999999999997</v>
      </c>
      <c r="BK492" s="14">
        <v>19.399999999999999</v>
      </c>
      <c r="BL492" s="14">
        <v>44.3</v>
      </c>
      <c r="BM492" s="16">
        <f t="shared" si="87"/>
        <v>100</v>
      </c>
      <c r="BN492" s="21">
        <f t="shared" si="88"/>
        <v>3.79</v>
      </c>
      <c r="BO492" s="21">
        <f t="shared" si="89"/>
        <v>2.0299999999999998</v>
      </c>
      <c r="BP492" s="21">
        <f t="shared" si="90"/>
        <v>4.62</v>
      </c>
      <c r="BQ492" s="14">
        <f t="shared" si="91"/>
        <v>10.44</v>
      </c>
      <c r="BR492" s="22" t="str">
        <f>IF(OR(AND(X492="Mourões", BQ492&gt;=6.5),AND(X492="Postes", BQ492&gt;=9.6),AND(X492="Dormentes", BQ492&gt;=9.6),AND(X492="Estacas - Solo", BQ492&gt;=6.5),AND(X492="Estacas - Suspenso", BQ492&gt;=4),AND(X492="Cruzetas", BQ492&gt;=6.5),AND(X492="Outros - Solo", BQ492&gt;=6.5),AND(X492="Outros - Suspenso",BQ492&gt;=4),AND(X492="Deck",BQ492&gt;=4)),'Listas suspensas'!$C$21,'Listas suspensas'!$C$22)</f>
        <v>Os resultados da análise química apresentaram uma retenção do produto de acordo com o padrão mínimo exigido pela norma ABNT NBR 16143</v>
      </c>
    </row>
    <row r="493" spans="2:70" x14ac:dyDescent="0.25">
      <c r="B493" s="8" t="s">
        <v>1141</v>
      </c>
      <c r="C493" s="8" t="s">
        <v>71</v>
      </c>
      <c r="F493" s="11">
        <v>45974</v>
      </c>
      <c r="G493" s="11">
        <v>45978</v>
      </c>
      <c r="H493" s="11">
        <v>45989</v>
      </c>
      <c r="I493" s="8" t="s">
        <v>1540</v>
      </c>
      <c r="J493" s="8" t="s">
        <v>1541</v>
      </c>
      <c r="K493" s="8" t="s">
        <v>1542</v>
      </c>
      <c r="L493" s="8" t="s">
        <v>15</v>
      </c>
      <c r="M493" s="30" t="s">
        <v>1543</v>
      </c>
      <c r="N493" s="8" t="s">
        <v>1165</v>
      </c>
      <c r="O493" s="8" t="s">
        <v>94</v>
      </c>
      <c r="P493" s="28" t="s">
        <v>146</v>
      </c>
      <c r="Q493" s="16" t="s">
        <v>1544</v>
      </c>
      <c r="X493" s="8" t="s">
        <v>79</v>
      </c>
      <c r="Y493" s="34">
        <f>IF(X493='Listas suspensas'!$A$21,'Listas suspensas'!$B$23,IF(X493='Listas suspensas'!$A$22,'Listas suspensas'!$B$23,IF(X493='Listas suspensas'!$A$23,'Listas suspensas'!$B$22,IF(X493='Listas suspensas'!$A$26,'Listas suspensas'!$B$22,IF(X493='Listas suspensas'!$A$32,'Listas suspensas'!$B$22,IF(X493='Listas suspensas'!$A$33,'Listas suspensas'!$B$21,IF(X493='Listas suspensas'!$A$24,'Listas suspensas'!$B$22,IF(X493='Listas suspensas'!$A$25,'Listas suspensas'!$B$21,IF(X493='Listas suspensas'!$A$30,'Listas suspensas'!$B$21,"")))))))))</f>
        <v>6.5</v>
      </c>
      <c r="Z493" s="8" t="s">
        <v>80</v>
      </c>
      <c r="AA493" s="8">
        <v>4</v>
      </c>
      <c r="AB493" s="8" t="str">
        <f>IF(AA493='Listas suspensas'!$A$2,'Listas suspensas'!$B$2,IF(AA493='Listas suspensas'!$A$3,'Listas suspensas'!$B$3,IF(AA493='Listas suspensas'!$A$4,'Listas suspensas'!$B$4,IF(AA493='Listas suspensas'!$A$5,'Listas suspensas'!$B$5,IF(AA493='Listas suspensas'!$A$6,'Listas suspensas'!$B$6,"")))))</f>
        <v>Parcial e irregular</v>
      </c>
      <c r="AC493" s="8" t="str">
        <f>IF(AA493='Listas suspensas'!$A$2,'Listas suspensas'!$C$2,IF(AA493='Listas suspensas'!$A$3,'Listas suspensas'!$C$3,IF(AA493='Listas suspensas'!$A$4,'Listas suspensas'!$C$4,IF(AA493='Listas suspensas'!$A$5,'Listas suspensas'!$C$5,IF(AA493='Listas suspensas'!$A$6,'Listas suspensas'!$C$6,"")))))</f>
        <v>Indica a penetração desuniforme e não total pela extensão do alburno.</v>
      </c>
      <c r="AD493" s="8" t="str">
        <f>IF(AB493='Listas suspensas'!$A$2,'Listas suspensas'!$C$2,IF(AB493='Listas suspensas'!$A$3,'Listas suspensas'!$C$3,IF(AB493='Listas suspensas'!$A$4,'Listas suspensas'!$C$4,IF(AB493='Listas suspensas'!$A$5,'Listas suspensas'!$C$5,IF(AB493='Listas suspensas'!$A$6,'Listas suspensas'!$C$6,"")))))</f>
        <v/>
      </c>
      <c r="AE493" s="8" t="str">
        <f>IF(AC493='Listas suspensas'!$A$2,'Listas suspensas'!$C$2,IF(AC493='Listas suspensas'!$A$3,'Listas suspensas'!$C$3,IF(AC493='Listas suspensas'!$A$4,'Listas suspensas'!$C$4,IF(AC493='Listas suspensas'!$A$5,'Listas suspensas'!$C$5,IF(AC493='Listas suspensas'!$A$6,'Listas suspensas'!$C$6,"")))))</f>
        <v/>
      </c>
      <c r="AF493" s="8" t="str">
        <f>IF(AD493='Listas suspensas'!$A$2,'Listas suspensas'!$C$2,IF(AD493='Listas suspensas'!$A$3,'Listas suspensas'!$C$3,IF(AD493='Listas suspensas'!$A$4,'Listas suspensas'!$C$4,IF(AD493='Listas suspensas'!$A$5,'Listas suspensas'!$C$5,IF(AD493='Listas suspensas'!$A$6,'Listas suspensas'!$C$6,"")))))</f>
        <v/>
      </c>
      <c r="AG493" s="8" t="str">
        <f>IF(AE493='Listas suspensas'!$A$2,'Listas suspensas'!$C$2,IF(AE493='Listas suspensas'!$A$3,'Listas suspensas'!$C$3,IF(AE493='Listas suspensas'!$A$4,'Listas suspensas'!$C$4,IF(AE493='Listas suspensas'!$A$5,'Listas suspensas'!$C$5,IF(AE493='Listas suspensas'!$A$6,'Listas suspensas'!$C$6,"")))))</f>
        <v/>
      </c>
      <c r="AH493" s="8" t="str">
        <f>IF(AF493='Listas suspensas'!$A$2,'Listas suspensas'!$C$2,IF(AF493='Listas suspensas'!$A$3,'Listas suspensas'!$C$3,IF(AF493='Listas suspensas'!$A$4,'Listas suspensas'!$C$4,IF(AF493='Listas suspensas'!$A$5,'Listas suspensas'!$C$5,IF(AF493='Listas suspensas'!$A$6,'Listas suspensas'!$C$6,"")))))</f>
        <v/>
      </c>
      <c r="AI493" s="8" t="str">
        <f>IF(AG493='Listas suspensas'!$A$2,'Listas suspensas'!$C$2,IF(AG493='Listas suspensas'!$A$3,'Listas suspensas'!$C$3,IF(AG493='Listas suspensas'!$A$4,'Listas suspensas'!$C$4,IF(AG493='Listas suspensas'!$A$5,'Listas suspensas'!$C$5,IF(AG493='Listas suspensas'!$A$6,'Listas suspensas'!$C$6,"")))))</f>
        <v/>
      </c>
      <c r="AJ493" s="8" t="str">
        <f>IF(AH493='Listas suspensas'!$A$2,'Listas suspensas'!$C$2,IF(AH493='Listas suspensas'!$A$3,'Listas suspensas'!$C$3,IF(AH493='Listas suspensas'!$A$4,'Listas suspensas'!$C$4,IF(AH493='Listas suspensas'!$A$5,'Listas suspensas'!$C$5,IF(AH493='Listas suspensas'!$A$6,'Listas suspensas'!$C$6,"")))))</f>
        <v/>
      </c>
      <c r="AK493" s="8" t="str">
        <f>IF(AI493='Listas suspensas'!$A$2,'Listas suspensas'!$C$2,IF(AI493='Listas suspensas'!$A$3,'Listas suspensas'!$C$3,IF(AI493='Listas suspensas'!$A$4,'Listas suspensas'!$C$4,IF(AI493='Listas suspensas'!$A$5,'Listas suspensas'!$C$5,IF(AI493='Listas suspensas'!$A$6,'Listas suspensas'!$C$6,"")))))</f>
        <v/>
      </c>
      <c r="AL493" s="8" t="str">
        <f>IF(AJ493='Listas suspensas'!$A$2,'Listas suspensas'!$C$2,IF(AJ493='Listas suspensas'!$A$3,'Listas suspensas'!$C$3,IF(AJ493='Listas suspensas'!$A$4,'Listas suspensas'!$C$4,IF(AJ493='Listas suspensas'!$A$5,'Listas suspensas'!$C$5,IF(AJ493='Listas suspensas'!$A$6,'Listas suspensas'!$C$6,"")))))</f>
        <v/>
      </c>
      <c r="AM493" s="8" t="str">
        <f>IF(AK493='Listas suspensas'!$A$2,'Listas suspensas'!$C$2,IF(AK493='Listas suspensas'!$A$3,'Listas suspensas'!$C$3,IF(AK493='Listas suspensas'!$A$4,'Listas suspensas'!$C$4,IF(AK493='Listas suspensas'!$A$5,'Listas suspensas'!$C$5,IF(AK493='Listas suspensas'!$A$6,'Listas suspensas'!$C$6,"")))))</f>
        <v/>
      </c>
      <c r="AN493" s="8" t="str">
        <f>IF(AL493='Listas suspensas'!$A$2,'Listas suspensas'!$C$2,IF(AL493='Listas suspensas'!$A$3,'Listas suspensas'!$C$3,IF(AL493='Listas suspensas'!$A$4,'Listas suspensas'!$C$4,IF(AL493='Listas suspensas'!$A$5,'Listas suspensas'!$C$5,IF(AL493='Listas suspensas'!$A$6,'Listas suspensas'!$C$6,"")))))</f>
        <v/>
      </c>
      <c r="AO493" s="8" t="str">
        <f>IF(AM493='Listas suspensas'!$A$2,'Listas suspensas'!$C$2,IF(AM493='Listas suspensas'!$A$3,'Listas suspensas'!$C$3,IF(AM493='Listas suspensas'!$A$4,'Listas suspensas'!$C$4,IF(AM493='Listas suspensas'!$A$5,'Listas suspensas'!$C$5,IF(AM493='Listas suspensas'!$A$6,'Listas suspensas'!$C$6,"")))))</f>
        <v/>
      </c>
      <c r="AP493" s="8" t="str">
        <f>IF(AN493='Listas suspensas'!$A$2,'Listas suspensas'!$C$2,IF(AN493='Listas suspensas'!$A$3,'Listas suspensas'!$C$3,IF(AN493='Listas suspensas'!$A$4,'Listas suspensas'!$C$4,IF(AN493='Listas suspensas'!$A$5,'Listas suspensas'!$C$5,IF(AN493='Listas suspensas'!$A$6,'Listas suspensas'!$C$6,"")))))</f>
        <v/>
      </c>
      <c r="AQ493" s="8" t="str">
        <f>IF(AO493='Listas suspensas'!$A$2,'Listas suspensas'!$C$2,IF(AO493='Listas suspensas'!$A$3,'Listas suspensas'!$C$3,IF(AO493='Listas suspensas'!$A$4,'Listas suspensas'!$C$4,IF(AO493='Listas suspensas'!$A$5,'Listas suspensas'!$C$5,IF(AO493='Listas suspensas'!$A$6,'Listas suspensas'!$C$6,"")))))</f>
        <v/>
      </c>
      <c r="AR493" s="8" t="str">
        <f>IF(AP493='Listas suspensas'!$A$2,'Listas suspensas'!$C$2,IF(AP493='Listas suspensas'!$A$3,'Listas suspensas'!$C$3,IF(AP493='Listas suspensas'!$A$4,'Listas suspensas'!$C$4,IF(AP493='Listas suspensas'!$A$5,'Listas suspensas'!$C$5,IF(AP493='Listas suspensas'!$A$6,'Listas suspensas'!$C$6,"")))))</f>
        <v/>
      </c>
      <c r="AS493" s="8" t="str">
        <f>IF(AQ493='Listas suspensas'!$A$2,'Listas suspensas'!$C$2,IF(AQ493='Listas suspensas'!$A$3,'Listas suspensas'!$C$3,IF(AQ493='Listas suspensas'!$A$4,'Listas suspensas'!$C$4,IF(AQ493='Listas suspensas'!$A$5,'Listas suspensas'!$C$5,IF(AQ493='Listas suspensas'!$A$6,'Listas suspensas'!$C$6,"")))))</f>
        <v/>
      </c>
      <c r="AT493" s="8" t="str">
        <f>IF(AR493='Listas suspensas'!$A$2,'Listas suspensas'!$C$2,IF(AR493='Listas suspensas'!$A$3,'Listas suspensas'!$C$3,IF(AR493='Listas suspensas'!$A$4,'Listas suspensas'!$C$4,IF(AR493='Listas suspensas'!$A$5,'Listas suspensas'!$C$5,IF(AR493='Listas suspensas'!$A$6,'Listas suspensas'!$C$6,"")))))</f>
        <v/>
      </c>
      <c r="AU493" s="8" t="str">
        <f>IF(AS493='Listas suspensas'!$A$2,'Listas suspensas'!$C$2,IF(AS493='Listas suspensas'!$A$3,'Listas suspensas'!$C$3,IF(AS493='Listas suspensas'!$A$4,'Listas suspensas'!$C$4,IF(AS493='Listas suspensas'!$A$5,'Listas suspensas'!$C$5,IF(AS493='Listas suspensas'!$A$6,'Listas suspensas'!$C$6,"")))))</f>
        <v/>
      </c>
      <c r="AV493" s="8" t="str">
        <f>IF(AT493='Listas suspensas'!$A$2,'Listas suspensas'!$C$2,IF(AT493='Listas suspensas'!$A$3,'Listas suspensas'!$C$3,IF(AT493='Listas suspensas'!$A$4,'Listas suspensas'!$C$4,IF(AT493='Listas suspensas'!$A$5,'Listas suspensas'!$C$5,IF(AT493='Listas suspensas'!$A$6,'Listas suspensas'!$C$6,"")))))</f>
        <v/>
      </c>
      <c r="AW493" s="8" t="str">
        <f>IF(AU493='Listas suspensas'!$A$2,'Listas suspensas'!$C$2,IF(AU493='Listas suspensas'!$A$3,'Listas suspensas'!$C$3,IF(AU493='Listas suspensas'!$A$4,'Listas suspensas'!$C$4,IF(AU493='Listas suspensas'!$A$5,'Listas suspensas'!$C$5,IF(AU493='Listas suspensas'!$A$6,'Listas suspensas'!$C$6,"")))))</f>
        <v/>
      </c>
      <c r="AX493" s="8" t="str">
        <f>IF(AV493='Listas suspensas'!$A$2,'Listas suspensas'!$C$2,IF(AV493='Listas suspensas'!$A$3,'Listas suspensas'!$C$3,IF(AV493='Listas suspensas'!$A$4,'Listas suspensas'!$C$4,IF(AV493='Listas suspensas'!$A$5,'Listas suspensas'!$C$5,IF(AV493='Listas suspensas'!$A$6,'Listas suspensas'!$C$6,"")))))</f>
        <v/>
      </c>
      <c r="AY493" s="8" t="str">
        <f>IF(AW493='Listas suspensas'!$A$2,'Listas suspensas'!$C$2,IF(AW493='Listas suspensas'!$A$3,'Listas suspensas'!$C$3,IF(AW493='Listas suspensas'!$A$4,'Listas suspensas'!$C$4,IF(AW493='Listas suspensas'!$A$5,'Listas suspensas'!$C$5,IF(AW493='Listas suspensas'!$A$6,'Listas suspensas'!$C$6,"")))))</f>
        <v/>
      </c>
      <c r="AZ493" s="8" t="str">
        <f>IF(AX493='Listas suspensas'!$A$2,'Listas suspensas'!$C$2,IF(AX493='Listas suspensas'!$A$3,'Listas suspensas'!$C$3,IF(AX493='Listas suspensas'!$A$4,'Listas suspensas'!$C$4,IF(AX493='Listas suspensas'!$A$5,'Listas suspensas'!$C$5,IF(AX493='Listas suspensas'!$A$6,'Listas suspensas'!$C$6,"")))))</f>
        <v/>
      </c>
      <c r="BA493" s="8" t="str">
        <f>IF(AY493='Listas suspensas'!$A$2,'Listas suspensas'!$C$2,IF(AY493='Listas suspensas'!$A$3,'Listas suspensas'!$C$3,IF(AY493='Listas suspensas'!$A$4,'Listas suspensas'!$C$4,IF(AY493='Listas suspensas'!$A$5,'Listas suspensas'!$C$5,IF(AY493='Listas suspensas'!$A$6,'Listas suspensas'!$C$6,"")))))</f>
        <v/>
      </c>
      <c r="BB493" s="8" t="str">
        <f>IF(AZ493='Listas suspensas'!$A$2,'Listas suspensas'!$C$2,IF(AZ493='Listas suspensas'!$A$3,'Listas suspensas'!$C$3,IF(AZ493='Listas suspensas'!$A$4,'Listas suspensas'!$C$4,IF(AZ493='Listas suspensas'!$A$5,'Listas suspensas'!$C$5,IF(AZ493='Listas suspensas'!$A$6,'Listas suspensas'!$C$6,"")))))</f>
        <v/>
      </c>
      <c r="BC493" s="8" t="str">
        <f>IF(BA493='Listas suspensas'!$A$2,'Listas suspensas'!$C$2,IF(BA493='Listas suspensas'!$A$3,'Listas suspensas'!$C$3,IF(BA493='Listas suspensas'!$A$4,'Listas suspensas'!$C$4,IF(BA493='Listas suspensas'!$A$5,'Listas suspensas'!$C$5,IF(BA493='Listas suspensas'!$A$6,'Listas suspensas'!$C$6,"")))))</f>
        <v/>
      </c>
      <c r="BD493" s="13">
        <v>0.75900000000000001</v>
      </c>
      <c r="BE493" s="18">
        <f t="shared" si="85"/>
        <v>759</v>
      </c>
      <c r="BF493" s="8">
        <v>0.24399999999999999</v>
      </c>
      <c r="BG493" s="8">
        <v>0.13100000000000001</v>
      </c>
      <c r="BH493" s="8">
        <v>0.32</v>
      </c>
      <c r="BI493" s="13">
        <f t="shared" si="86"/>
        <v>0.69500000000000006</v>
      </c>
      <c r="BJ493" s="14">
        <v>35.1</v>
      </c>
      <c r="BK493" s="14">
        <v>18.899999999999999</v>
      </c>
      <c r="BL493" s="14">
        <v>56</v>
      </c>
      <c r="BM493" s="16">
        <f t="shared" si="87"/>
        <v>110</v>
      </c>
      <c r="BN493" s="21">
        <f t="shared" si="88"/>
        <v>1.85</v>
      </c>
      <c r="BO493" s="21">
        <f t="shared" si="89"/>
        <v>0.99</v>
      </c>
      <c r="BP493" s="21">
        <f t="shared" si="90"/>
        <v>2.4300000000000002</v>
      </c>
      <c r="BQ493" s="14">
        <f t="shared" si="91"/>
        <v>5.27</v>
      </c>
      <c r="BR493" s="22" t="str">
        <f>IF(OR(AND(X493="Mourões", BQ493&gt;=6.5),AND(X493="Postes", BQ493&gt;=9.6),AND(X493="Dormentes", BQ493&gt;=9.6),AND(X493="Estacas - Solo", BQ493&gt;=6.5),AND(X493="Estacas - Suspenso", BQ493&gt;=4),AND(X493="Cruzetas", BQ493&gt;=6.5),AND(X493="Outros - Solo", BQ493&gt;=6.5),AND(X493="Outros - Suspenso",BQ493&gt;=4),AND(X493="Deck",BQ493&gt;=4)),'Listas suspensas'!$C$21,'Listas suspensas'!$C$22)</f>
        <v>Os resultados da análise química apresentaram uma retenção do produto inferior ao padrão mínimo exigido pela norma ABNT NBR 16143</v>
      </c>
    </row>
    <row r="494" spans="2:70" x14ac:dyDescent="0.25">
      <c r="B494" s="8" t="s">
        <v>1142</v>
      </c>
      <c r="C494" s="8" t="s">
        <v>71</v>
      </c>
      <c r="F494" s="11">
        <v>45974</v>
      </c>
      <c r="G494" s="11">
        <v>45978</v>
      </c>
      <c r="H494" s="11">
        <v>45989</v>
      </c>
      <c r="I494" s="8" t="s">
        <v>1540</v>
      </c>
      <c r="J494" s="8" t="s">
        <v>1541</v>
      </c>
      <c r="K494" s="8" t="s">
        <v>1542</v>
      </c>
      <c r="L494" s="8" t="s">
        <v>15</v>
      </c>
      <c r="M494" s="30" t="s">
        <v>1543</v>
      </c>
      <c r="N494" s="8" t="s">
        <v>1165</v>
      </c>
      <c r="O494" s="8" t="s">
        <v>94</v>
      </c>
      <c r="P494" s="28" t="s">
        <v>146</v>
      </c>
      <c r="Q494" s="16" t="s">
        <v>1545</v>
      </c>
      <c r="X494" s="8" t="s">
        <v>79</v>
      </c>
      <c r="Y494" s="34">
        <f>IF(X494='Listas suspensas'!$A$21,'Listas suspensas'!$B$23,IF(X494='Listas suspensas'!$A$22,'Listas suspensas'!$B$23,IF(X494='Listas suspensas'!$A$23,'Listas suspensas'!$B$22,IF(X494='Listas suspensas'!$A$26,'Listas suspensas'!$B$22,IF(X494='Listas suspensas'!$A$32,'Listas suspensas'!$B$22,IF(X494='Listas suspensas'!$A$33,'Listas suspensas'!$B$21,IF(X494='Listas suspensas'!$A$24,'Listas suspensas'!$B$22,IF(X494='Listas suspensas'!$A$25,'Listas suspensas'!$B$21,IF(X494='Listas suspensas'!$A$30,'Listas suspensas'!$B$21,"")))))))))</f>
        <v>6.5</v>
      </c>
      <c r="Z494" s="8" t="s">
        <v>80</v>
      </c>
      <c r="AA494" s="8">
        <v>3</v>
      </c>
      <c r="AB494" s="8" t="str">
        <f>IF(AA494='Listas suspensas'!$A$2,'Listas suspensas'!$B$2,IF(AA494='Listas suspensas'!$A$3,'Listas suspensas'!$B$3,IF(AA494='Listas suspensas'!$A$4,'Listas suspensas'!$B$4,IF(AA494='Listas suspensas'!$A$5,'Listas suspensas'!$B$5,IF(AA494='Listas suspensas'!$A$6,'Listas suspensas'!$B$6,"")))))</f>
        <v xml:space="preserve"> Parcial e regular</v>
      </c>
      <c r="AC494" s="8" t="str">
        <f>IF(AA494='Listas suspensas'!$A$2,'Listas suspensas'!$C$2,IF(AA494='Listas suspensas'!$A$3,'Listas suspensas'!$C$3,IF(AA494='Listas suspensas'!$A$4,'Listas suspensas'!$C$4,IF(AA494='Listas suspensas'!$A$5,'Listas suspensas'!$C$5,IF(AA494='Listas suspensas'!$A$6,'Listas suspensas'!$C$6,"")))))</f>
        <v>Indica a penetração uniforme, mas não total pela extensão do alburno.</v>
      </c>
      <c r="AD494" s="8" t="str">
        <f>IF(AB494='Listas suspensas'!$A$2,'Listas suspensas'!$C$2,IF(AB494='Listas suspensas'!$A$3,'Listas suspensas'!$C$3,IF(AB494='Listas suspensas'!$A$4,'Listas suspensas'!$C$4,IF(AB494='Listas suspensas'!$A$5,'Listas suspensas'!$C$5,IF(AB494='Listas suspensas'!$A$6,'Listas suspensas'!$C$6,"")))))</f>
        <v/>
      </c>
      <c r="AE494" s="8" t="str">
        <f>IF(AC494='Listas suspensas'!$A$2,'Listas suspensas'!$C$2,IF(AC494='Listas suspensas'!$A$3,'Listas suspensas'!$C$3,IF(AC494='Listas suspensas'!$A$4,'Listas suspensas'!$C$4,IF(AC494='Listas suspensas'!$A$5,'Listas suspensas'!$C$5,IF(AC494='Listas suspensas'!$A$6,'Listas suspensas'!$C$6,"")))))</f>
        <v/>
      </c>
      <c r="AF494" s="8" t="str">
        <f>IF(AD494='Listas suspensas'!$A$2,'Listas suspensas'!$C$2,IF(AD494='Listas suspensas'!$A$3,'Listas suspensas'!$C$3,IF(AD494='Listas suspensas'!$A$4,'Listas suspensas'!$C$4,IF(AD494='Listas suspensas'!$A$5,'Listas suspensas'!$C$5,IF(AD494='Listas suspensas'!$A$6,'Listas suspensas'!$C$6,"")))))</f>
        <v/>
      </c>
      <c r="AG494" s="8" t="str">
        <f>IF(AE494='Listas suspensas'!$A$2,'Listas suspensas'!$C$2,IF(AE494='Listas suspensas'!$A$3,'Listas suspensas'!$C$3,IF(AE494='Listas suspensas'!$A$4,'Listas suspensas'!$C$4,IF(AE494='Listas suspensas'!$A$5,'Listas suspensas'!$C$5,IF(AE494='Listas suspensas'!$A$6,'Listas suspensas'!$C$6,"")))))</f>
        <v/>
      </c>
      <c r="AH494" s="8" t="str">
        <f>IF(AF494='Listas suspensas'!$A$2,'Listas suspensas'!$C$2,IF(AF494='Listas suspensas'!$A$3,'Listas suspensas'!$C$3,IF(AF494='Listas suspensas'!$A$4,'Listas suspensas'!$C$4,IF(AF494='Listas suspensas'!$A$5,'Listas suspensas'!$C$5,IF(AF494='Listas suspensas'!$A$6,'Listas suspensas'!$C$6,"")))))</f>
        <v/>
      </c>
      <c r="AI494" s="8" t="str">
        <f>IF(AG494='Listas suspensas'!$A$2,'Listas suspensas'!$C$2,IF(AG494='Listas suspensas'!$A$3,'Listas suspensas'!$C$3,IF(AG494='Listas suspensas'!$A$4,'Listas suspensas'!$C$4,IF(AG494='Listas suspensas'!$A$5,'Listas suspensas'!$C$5,IF(AG494='Listas suspensas'!$A$6,'Listas suspensas'!$C$6,"")))))</f>
        <v/>
      </c>
      <c r="AJ494" s="8" t="str">
        <f>IF(AH494='Listas suspensas'!$A$2,'Listas suspensas'!$C$2,IF(AH494='Listas suspensas'!$A$3,'Listas suspensas'!$C$3,IF(AH494='Listas suspensas'!$A$4,'Listas suspensas'!$C$4,IF(AH494='Listas suspensas'!$A$5,'Listas suspensas'!$C$5,IF(AH494='Listas suspensas'!$A$6,'Listas suspensas'!$C$6,"")))))</f>
        <v/>
      </c>
      <c r="AK494" s="8" t="str">
        <f>IF(AI494='Listas suspensas'!$A$2,'Listas suspensas'!$C$2,IF(AI494='Listas suspensas'!$A$3,'Listas suspensas'!$C$3,IF(AI494='Listas suspensas'!$A$4,'Listas suspensas'!$C$4,IF(AI494='Listas suspensas'!$A$5,'Listas suspensas'!$C$5,IF(AI494='Listas suspensas'!$A$6,'Listas suspensas'!$C$6,"")))))</f>
        <v/>
      </c>
      <c r="AL494" s="8" t="str">
        <f>IF(AJ494='Listas suspensas'!$A$2,'Listas suspensas'!$C$2,IF(AJ494='Listas suspensas'!$A$3,'Listas suspensas'!$C$3,IF(AJ494='Listas suspensas'!$A$4,'Listas suspensas'!$C$4,IF(AJ494='Listas suspensas'!$A$5,'Listas suspensas'!$C$5,IF(AJ494='Listas suspensas'!$A$6,'Listas suspensas'!$C$6,"")))))</f>
        <v/>
      </c>
      <c r="AM494" s="8" t="str">
        <f>IF(AK494='Listas suspensas'!$A$2,'Listas suspensas'!$C$2,IF(AK494='Listas suspensas'!$A$3,'Listas suspensas'!$C$3,IF(AK494='Listas suspensas'!$A$4,'Listas suspensas'!$C$4,IF(AK494='Listas suspensas'!$A$5,'Listas suspensas'!$C$5,IF(AK494='Listas suspensas'!$A$6,'Listas suspensas'!$C$6,"")))))</f>
        <v/>
      </c>
      <c r="AN494" s="8" t="str">
        <f>IF(AL494='Listas suspensas'!$A$2,'Listas suspensas'!$C$2,IF(AL494='Listas suspensas'!$A$3,'Listas suspensas'!$C$3,IF(AL494='Listas suspensas'!$A$4,'Listas suspensas'!$C$4,IF(AL494='Listas suspensas'!$A$5,'Listas suspensas'!$C$5,IF(AL494='Listas suspensas'!$A$6,'Listas suspensas'!$C$6,"")))))</f>
        <v/>
      </c>
      <c r="AO494" s="8" t="str">
        <f>IF(AM494='Listas suspensas'!$A$2,'Listas suspensas'!$C$2,IF(AM494='Listas suspensas'!$A$3,'Listas suspensas'!$C$3,IF(AM494='Listas suspensas'!$A$4,'Listas suspensas'!$C$4,IF(AM494='Listas suspensas'!$A$5,'Listas suspensas'!$C$5,IF(AM494='Listas suspensas'!$A$6,'Listas suspensas'!$C$6,"")))))</f>
        <v/>
      </c>
      <c r="AP494" s="8" t="str">
        <f>IF(AN494='Listas suspensas'!$A$2,'Listas suspensas'!$C$2,IF(AN494='Listas suspensas'!$A$3,'Listas suspensas'!$C$3,IF(AN494='Listas suspensas'!$A$4,'Listas suspensas'!$C$4,IF(AN494='Listas suspensas'!$A$5,'Listas suspensas'!$C$5,IF(AN494='Listas suspensas'!$A$6,'Listas suspensas'!$C$6,"")))))</f>
        <v/>
      </c>
      <c r="AQ494" s="8" t="str">
        <f>IF(AO494='Listas suspensas'!$A$2,'Listas suspensas'!$C$2,IF(AO494='Listas suspensas'!$A$3,'Listas suspensas'!$C$3,IF(AO494='Listas suspensas'!$A$4,'Listas suspensas'!$C$4,IF(AO494='Listas suspensas'!$A$5,'Listas suspensas'!$C$5,IF(AO494='Listas suspensas'!$A$6,'Listas suspensas'!$C$6,"")))))</f>
        <v/>
      </c>
      <c r="AR494" s="8" t="str">
        <f>IF(AP494='Listas suspensas'!$A$2,'Listas suspensas'!$C$2,IF(AP494='Listas suspensas'!$A$3,'Listas suspensas'!$C$3,IF(AP494='Listas suspensas'!$A$4,'Listas suspensas'!$C$4,IF(AP494='Listas suspensas'!$A$5,'Listas suspensas'!$C$5,IF(AP494='Listas suspensas'!$A$6,'Listas suspensas'!$C$6,"")))))</f>
        <v/>
      </c>
      <c r="AS494" s="8" t="str">
        <f>IF(AQ494='Listas suspensas'!$A$2,'Listas suspensas'!$C$2,IF(AQ494='Listas suspensas'!$A$3,'Listas suspensas'!$C$3,IF(AQ494='Listas suspensas'!$A$4,'Listas suspensas'!$C$4,IF(AQ494='Listas suspensas'!$A$5,'Listas suspensas'!$C$5,IF(AQ494='Listas suspensas'!$A$6,'Listas suspensas'!$C$6,"")))))</f>
        <v/>
      </c>
      <c r="AT494" s="8" t="str">
        <f>IF(AR494='Listas suspensas'!$A$2,'Listas suspensas'!$C$2,IF(AR494='Listas suspensas'!$A$3,'Listas suspensas'!$C$3,IF(AR494='Listas suspensas'!$A$4,'Listas suspensas'!$C$4,IF(AR494='Listas suspensas'!$A$5,'Listas suspensas'!$C$5,IF(AR494='Listas suspensas'!$A$6,'Listas suspensas'!$C$6,"")))))</f>
        <v/>
      </c>
      <c r="AU494" s="8" t="str">
        <f>IF(AS494='Listas suspensas'!$A$2,'Listas suspensas'!$C$2,IF(AS494='Listas suspensas'!$A$3,'Listas suspensas'!$C$3,IF(AS494='Listas suspensas'!$A$4,'Listas suspensas'!$C$4,IF(AS494='Listas suspensas'!$A$5,'Listas suspensas'!$C$5,IF(AS494='Listas suspensas'!$A$6,'Listas suspensas'!$C$6,"")))))</f>
        <v/>
      </c>
      <c r="AV494" s="8" t="str">
        <f>IF(AT494='Listas suspensas'!$A$2,'Listas suspensas'!$C$2,IF(AT494='Listas suspensas'!$A$3,'Listas suspensas'!$C$3,IF(AT494='Listas suspensas'!$A$4,'Listas suspensas'!$C$4,IF(AT494='Listas suspensas'!$A$5,'Listas suspensas'!$C$5,IF(AT494='Listas suspensas'!$A$6,'Listas suspensas'!$C$6,"")))))</f>
        <v/>
      </c>
      <c r="AW494" s="8" t="str">
        <f>IF(AU494='Listas suspensas'!$A$2,'Listas suspensas'!$C$2,IF(AU494='Listas suspensas'!$A$3,'Listas suspensas'!$C$3,IF(AU494='Listas suspensas'!$A$4,'Listas suspensas'!$C$4,IF(AU494='Listas suspensas'!$A$5,'Listas suspensas'!$C$5,IF(AU494='Listas suspensas'!$A$6,'Listas suspensas'!$C$6,"")))))</f>
        <v/>
      </c>
      <c r="AX494" s="8" t="str">
        <f>IF(AV494='Listas suspensas'!$A$2,'Listas suspensas'!$C$2,IF(AV494='Listas suspensas'!$A$3,'Listas suspensas'!$C$3,IF(AV494='Listas suspensas'!$A$4,'Listas suspensas'!$C$4,IF(AV494='Listas suspensas'!$A$5,'Listas suspensas'!$C$5,IF(AV494='Listas suspensas'!$A$6,'Listas suspensas'!$C$6,"")))))</f>
        <v/>
      </c>
      <c r="AY494" s="8" t="str">
        <f>IF(AW494='Listas suspensas'!$A$2,'Listas suspensas'!$C$2,IF(AW494='Listas suspensas'!$A$3,'Listas suspensas'!$C$3,IF(AW494='Listas suspensas'!$A$4,'Listas suspensas'!$C$4,IF(AW494='Listas suspensas'!$A$5,'Listas suspensas'!$C$5,IF(AW494='Listas suspensas'!$A$6,'Listas suspensas'!$C$6,"")))))</f>
        <v/>
      </c>
      <c r="AZ494" s="8" t="str">
        <f>IF(AX494='Listas suspensas'!$A$2,'Listas suspensas'!$C$2,IF(AX494='Listas suspensas'!$A$3,'Listas suspensas'!$C$3,IF(AX494='Listas suspensas'!$A$4,'Listas suspensas'!$C$4,IF(AX494='Listas suspensas'!$A$5,'Listas suspensas'!$C$5,IF(AX494='Listas suspensas'!$A$6,'Listas suspensas'!$C$6,"")))))</f>
        <v/>
      </c>
      <c r="BA494" s="8" t="str">
        <f>IF(AY494='Listas suspensas'!$A$2,'Listas suspensas'!$C$2,IF(AY494='Listas suspensas'!$A$3,'Listas suspensas'!$C$3,IF(AY494='Listas suspensas'!$A$4,'Listas suspensas'!$C$4,IF(AY494='Listas suspensas'!$A$5,'Listas suspensas'!$C$5,IF(AY494='Listas suspensas'!$A$6,'Listas suspensas'!$C$6,"")))))</f>
        <v/>
      </c>
      <c r="BB494" s="8" t="str">
        <f>IF(AZ494='Listas suspensas'!$A$2,'Listas suspensas'!$C$2,IF(AZ494='Listas suspensas'!$A$3,'Listas suspensas'!$C$3,IF(AZ494='Listas suspensas'!$A$4,'Listas suspensas'!$C$4,IF(AZ494='Listas suspensas'!$A$5,'Listas suspensas'!$C$5,IF(AZ494='Listas suspensas'!$A$6,'Listas suspensas'!$C$6,"")))))</f>
        <v/>
      </c>
      <c r="BC494" s="8" t="str">
        <f>IF(BA494='Listas suspensas'!$A$2,'Listas suspensas'!$C$2,IF(BA494='Listas suspensas'!$A$3,'Listas suspensas'!$C$3,IF(BA494='Listas suspensas'!$A$4,'Listas suspensas'!$C$4,IF(BA494='Listas suspensas'!$A$5,'Listas suspensas'!$C$5,IF(BA494='Listas suspensas'!$A$6,'Listas suspensas'!$C$6,"")))))</f>
        <v/>
      </c>
      <c r="BD494" s="13">
        <v>0.69299999999999995</v>
      </c>
      <c r="BE494" s="18">
        <f t="shared" si="85"/>
        <v>693</v>
      </c>
      <c r="BF494" s="8">
        <v>0.41199999999999998</v>
      </c>
      <c r="BG494" s="8">
        <v>0.18099999999999999</v>
      </c>
      <c r="BH494" s="8">
        <v>0.44900000000000001</v>
      </c>
      <c r="BI494" s="13">
        <f t="shared" si="86"/>
        <v>1.042</v>
      </c>
      <c r="BJ494" s="14">
        <v>39.5</v>
      </c>
      <c r="BK494" s="14">
        <v>17.399999999999999</v>
      </c>
      <c r="BL494" s="14">
        <v>43.1</v>
      </c>
      <c r="BM494" s="16">
        <f t="shared" si="87"/>
        <v>100</v>
      </c>
      <c r="BN494" s="21">
        <f t="shared" si="88"/>
        <v>2.86</v>
      </c>
      <c r="BO494" s="21">
        <f t="shared" si="89"/>
        <v>1.25</v>
      </c>
      <c r="BP494" s="21">
        <f t="shared" si="90"/>
        <v>3.11</v>
      </c>
      <c r="BQ494" s="14">
        <f t="shared" si="91"/>
        <v>7.22</v>
      </c>
      <c r="BR494" s="22" t="str">
        <f>IF(OR(AND(X494="Mourões", BQ494&gt;=6.5),AND(X494="Postes", BQ494&gt;=9.6),AND(X494="Dormentes", BQ494&gt;=9.6),AND(X494="Estacas - Solo", BQ494&gt;=6.5),AND(X494="Estacas - Suspenso", BQ494&gt;=4),AND(X494="Cruzetas", BQ494&gt;=6.5),AND(X494="Outros - Solo", BQ494&gt;=6.5),AND(X494="Outros - Suspenso",BQ494&gt;=4),AND(X494="Deck",BQ494&gt;=4)),'Listas suspensas'!$C$21,'Listas suspensas'!$C$22)</f>
        <v>Os resultados da análise química apresentaram uma retenção do produto de acordo com o padrão mínimo exigido pela norma ABNT NBR 16143</v>
      </c>
    </row>
    <row r="495" spans="2:70" x14ac:dyDescent="0.25">
      <c r="B495" s="8" t="s">
        <v>1143</v>
      </c>
      <c r="C495" s="8" t="s">
        <v>71</v>
      </c>
      <c r="F495" s="11">
        <v>45974</v>
      </c>
      <c r="G495" s="11">
        <v>45978</v>
      </c>
      <c r="H495" s="11">
        <v>45989</v>
      </c>
      <c r="I495" s="8" t="s">
        <v>1540</v>
      </c>
      <c r="J495" s="8" t="s">
        <v>1541</v>
      </c>
      <c r="K495" s="8" t="s">
        <v>1542</v>
      </c>
      <c r="L495" s="8" t="s">
        <v>15</v>
      </c>
      <c r="M495" s="30" t="s">
        <v>1543</v>
      </c>
      <c r="N495" s="8" t="s">
        <v>1165</v>
      </c>
      <c r="O495" s="8" t="s">
        <v>94</v>
      </c>
      <c r="P495" s="28" t="s">
        <v>146</v>
      </c>
      <c r="Q495" s="16" t="s">
        <v>1546</v>
      </c>
      <c r="X495" s="8" t="s">
        <v>79</v>
      </c>
      <c r="Y495" s="34">
        <f>IF(X495='Listas suspensas'!$A$21,'Listas suspensas'!$B$23,IF(X495='Listas suspensas'!$A$22,'Listas suspensas'!$B$23,IF(X495='Listas suspensas'!$A$23,'Listas suspensas'!$B$22,IF(X495='Listas suspensas'!$A$26,'Listas suspensas'!$B$22,IF(X495='Listas suspensas'!$A$32,'Listas suspensas'!$B$22,IF(X495='Listas suspensas'!$A$33,'Listas suspensas'!$B$21,IF(X495='Listas suspensas'!$A$24,'Listas suspensas'!$B$22,IF(X495='Listas suspensas'!$A$25,'Listas suspensas'!$B$21,IF(X495='Listas suspensas'!$A$30,'Listas suspensas'!$B$21,"")))))))))</f>
        <v>6.5</v>
      </c>
      <c r="Z495" s="8" t="s">
        <v>80</v>
      </c>
      <c r="AA495" s="8">
        <v>3</v>
      </c>
      <c r="AB495" s="8" t="str">
        <f>IF(AA495='Listas suspensas'!$A$2,'Listas suspensas'!$B$2,IF(AA495='Listas suspensas'!$A$3,'Listas suspensas'!$B$3,IF(AA495='Listas suspensas'!$A$4,'Listas suspensas'!$B$4,IF(AA495='Listas suspensas'!$A$5,'Listas suspensas'!$B$5,IF(AA495='Listas suspensas'!$A$6,'Listas suspensas'!$B$6,"")))))</f>
        <v xml:space="preserve"> Parcial e regular</v>
      </c>
      <c r="AC495" s="8" t="str">
        <f>IF(AA495='Listas suspensas'!$A$2,'Listas suspensas'!$C$2,IF(AA495='Listas suspensas'!$A$3,'Listas suspensas'!$C$3,IF(AA495='Listas suspensas'!$A$4,'Listas suspensas'!$C$4,IF(AA495='Listas suspensas'!$A$5,'Listas suspensas'!$C$5,IF(AA495='Listas suspensas'!$A$6,'Listas suspensas'!$C$6,"")))))</f>
        <v>Indica a penetração uniforme, mas não total pela extensão do alburno.</v>
      </c>
      <c r="AD495" s="8" t="str">
        <f>IF(AB495='Listas suspensas'!$A$2,'Listas suspensas'!$C$2,IF(AB495='Listas suspensas'!$A$3,'Listas suspensas'!$C$3,IF(AB495='Listas suspensas'!$A$4,'Listas suspensas'!$C$4,IF(AB495='Listas suspensas'!$A$5,'Listas suspensas'!$C$5,IF(AB495='Listas suspensas'!$A$6,'Listas suspensas'!$C$6,"")))))</f>
        <v/>
      </c>
      <c r="AE495" s="8" t="str">
        <f>IF(AC495='Listas suspensas'!$A$2,'Listas suspensas'!$C$2,IF(AC495='Listas suspensas'!$A$3,'Listas suspensas'!$C$3,IF(AC495='Listas suspensas'!$A$4,'Listas suspensas'!$C$4,IF(AC495='Listas suspensas'!$A$5,'Listas suspensas'!$C$5,IF(AC495='Listas suspensas'!$A$6,'Listas suspensas'!$C$6,"")))))</f>
        <v/>
      </c>
      <c r="AF495" s="8" t="str">
        <f>IF(AD495='Listas suspensas'!$A$2,'Listas suspensas'!$C$2,IF(AD495='Listas suspensas'!$A$3,'Listas suspensas'!$C$3,IF(AD495='Listas suspensas'!$A$4,'Listas suspensas'!$C$4,IF(AD495='Listas suspensas'!$A$5,'Listas suspensas'!$C$5,IF(AD495='Listas suspensas'!$A$6,'Listas suspensas'!$C$6,"")))))</f>
        <v/>
      </c>
      <c r="AG495" s="8" t="str">
        <f>IF(AE495='Listas suspensas'!$A$2,'Listas suspensas'!$C$2,IF(AE495='Listas suspensas'!$A$3,'Listas suspensas'!$C$3,IF(AE495='Listas suspensas'!$A$4,'Listas suspensas'!$C$4,IF(AE495='Listas suspensas'!$A$5,'Listas suspensas'!$C$5,IF(AE495='Listas suspensas'!$A$6,'Listas suspensas'!$C$6,"")))))</f>
        <v/>
      </c>
      <c r="AH495" s="8" t="str">
        <f>IF(AF495='Listas suspensas'!$A$2,'Listas suspensas'!$C$2,IF(AF495='Listas suspensas'!$A$3,'Listas suspensas'!$C$3,IF(AF495='Listas suspensas'!$A$4,'Listas suspensas'!$C$4,IF(AF495='Listas suspensas'!$A$5,'Listas suspensas'!$C$5,IF(AF495='Listas suspensas'!$A$6,'Listas suspensas'!$C$6,"")))))</f>
        <v/>
      </c>
      <c r="AI495" s="8" t="str">
        <f>IF(AG495='Listas suspensas'!$A$2,'Listas suspensas'!$C$2,IF(AG495='Listas suspensas'!$A$3,'Listas suspensas'!$C$3,IF(AG495='Listas suspensas'!$A$4,'Listas suspensas'!$C$4,IF(AG495='Listas suspensas'!$A$5,'Listas suspensas'!$C$5,IF(AG495='Listas suspensas'!$A$6,'Listas suspensas'!$C$6,"")))))</f>
        <v/>
      </c>
      <c r="AJ495" s="8" t="str">
        <f>IF(AH495='Listas suspensas'!$A$2,'Listas suspensas'!$C$2,IF(AH495='Listas suspensas'!$A$3,'Listas suspensas'!$C$3,IF(AH495='Listas suspensas'!$A$4,'Listas suspensas'!$C$4,IF(AH495='Listas suspensas'!$A$5,'Listas suspensas'!$C$5,IF(AH495='Listas suspensas'!$A$6,'Listas suspensas'!$C$6,"")))))</f>
        <v/>
      </c>
      <c r="AK495" s="8" t="str">
        <f>IF(AI495='Listas suspensas'!$A$2,'Listas suspensas'!$C$2,IF(AI495='Listas suspensas'!$A$3,'Listas suspensas'!$C$3,IF(AI495='Listas suspensas'!$A$4,'Listas suspensas'!$C$4,IF(AI495='Listas suspensas'!$A$5,'Listas suspensas'!$C$5,IF(AI495='Listas suspensas'!$A$6,'Listas suspensas'!$C$6,"")))))</f>
        <v/>
      </c>
      <c r="AL495" s="8" t="str">
        <f>IF(AJ495='Listas suspensas'!$A$2,'Listas suspensas'!$C$2,IF(AJ495='Listas suspensas'!$A$3,'Listas suspensas'!$C$3,IF(AJ495='Listas suspensas'!$A$4,'Listas suspensas'!$C$4,IF(AJ495='Listas suspensas'!$A$5,'Listas suspensas'!$C$5,IF(AJ495='Listas suspensas'!$A$6,'Listas suspensas'!$C$6,"")))))</f>
        <v/>
      </c>
      <c r="AM495" s="8" t="str">
        <f>IF(AK495='Listas suspensas'!$A$2,'Listas suspensas'!$C$2,IF(AK495='Listas suspensas'!$A$3,'Listas suspensas'!$C$3,IF(AK495='Listas suspensas'!$A$4,'Listas suspensas'!$C$4,IF(AK495='Listas suspensas'!$A$5,'Listas suspensas'!$C$5,IF(AK495='Listas suspensas'!$A$6,'Listas suspensas'!$C$6,"")))))</f>
        <v/>
      </c>
      <c r="AN495" s="8" t="str">
        <f>IF(AL495='Listas suspensas'!$A$2,'Listas suspensas'!$C$2,IF(AL495='Listas suspensas'!$A$3,'Listas suspensas'!$C$3,IF(AL495='Listas suspensas'!$A$4,'Listas suspensas'!$C$4,IF(AL495='Listas suspensas'!$A$5,'Listas suspensas'!$C$5,IF(AL495='Listas suspensas'!$A$6,'Listas suspensas'!$C$6,"")))))</f>
        <v/>
      </c>
      <c r="AO495" s="8" t="str">
        <f>IF(AM495='Listas suspensas'!$A$2,'Listas suspensas'!$C$2,IF(AM495='Listas suspensas'!$A$3,'Listas suspensas'!$C$3,IF(AM495='Listas suspensas'!$A$4,'Listas suspensas'!$C$4,IF(AM495='Listas suspensas'!$A$5,'Listas suspensas'!$C$5,IF(AM495='Listas suspensas'!$A$6,'Listas suspensas'!$C$6,"")))))</f>
        <v/>
      </c>
      <c r="AP495" s="8" t="str">
        <f>IF(AN495='Listas suspensas'!$A$2,'Listas suspensas'!$C$2,IF(AN495='Listas suspensas'!$A$3,'Listas suspensas'!$C$3,IF(AN495='Listas suspensas'!$A$4,'Listas suspensas'!$C$4,IF(AN495='Listas suspensas'!$A$5,'Listas suspensas'!$C$5,IF(AN495='Listas suspensas'!$A$6,'Listas suspensas'!$C$6,"")))))</f>
        <v/>
      </c>
      <c r="AQ495" s="8" t="str">
        <f>IF(AO495='Listas suspensas'!$A$2,'Listas suspensas'!$C$2,IF(AO495='Listas suspensas'!$A$3,'Listas suspensas'!$C$3,IF(AO495='Listas suspensas'!$A$4,'Listas suspensas'!$C$4,IF(AO495='Listas suspensas'!$A$5,'Listas suspensas'!$C$5,IF(AO495='Listas suspensas'!$A$6,'Listas suspensas'!$C$6,"")))))</f>
        <v/>
      </c>
      <c r="AR495" s="8" t="str">
        <f>IF(AP495='Listas suspensas'!$A$2,'Listas suspensas'!$C$2,IF(AP495='Listas suspensas'!$A$3,'Listas suspensas'!$C$3,IF(AP495='Listas suspensas'!$A$4,'Listas suspensas'!$C$4,IF(AP495='Listas suspensas'!$A$5,'Listas suspensas'!$C$5,IF(AP495='Listas suspensas'!$A$6,'Listas suspensas'!$C$6,"")))))</f>
        <v/>
      </c>
      <c r="AS495" s="8" t="str">
        <f>IF(AQ495='Listas suspensas'!$A$2,'Listas suspensas'!$C$2,IF(AQ495='Listas suspensas'!$A$3,'Listas suspensas'!$C$3,IF(AQ495='Listas suspensas'!$A$4,'Listas suspensas'!$C$4,IF(AQ495='Listas suspensas'!$A$5,'Listas suspensas'!$C$5,IF(AQ495='Listas suspensas'!$A$6,'Listas suspensas'!$C$6,"")))))</f>
        <v/>
      </c>
      <c r="AT495" s="8" t="str">
        <f>IF(AR495='Listas suspensas'!$A$2,'Listas suspensas'!$C$2,IF(AR495='Listas suspensas'!$A$3,'Listas suspensas'!$C$3,IF(AR495='Listas suspensas'!$A$4,'Listas suspensas'!$C$4,IF(AR495='Listas suspensas'!$A$5,'Listas suspensas'!$C$5,IF(AR495='Listas suspensas'!$A$6,'Listas suspensas'!$C$6,"")))))</f>
        <v/>
      </c>
      <c r="AU495" s="8" t="str">
        <f>IF(AS495='Listas suspensas'!$A$2,'Listas suspensas'!$C$2,IF(AS495='Listas suspensas'!$A$3,'Listas suspensas'!$C$3,IF(AS495='Listas suspensas'!$A$4,'Listas suspensas'!$C$4,IF(AS495='Listas suspensas'!$A$5,'Listas suspensas'!$C$5,IF(AS495='Listas suspensas'!$A$6,'Listas suspensas'!$C$6,"")))))</f>
        <v/>
      </c>
      <c r="AV495" s="8" t="str">
        <f>IF(AT495='Listas suspensas'!$A$2,'Listas suspensas'!$C$2,IF(AT495='Listas suspensas'!$A$3,'Listas suspensas'!$C$3,IF(AT495='Listas suspensas'!$A$4,'Listas suspensas'!$C$4,IF(AT495='Listas suspensas'!$A$5,'Listas suspensas'!$C$5,IF(AT495='Listas suspensas'!$A$6,'Listas suspensas'!$C$6,"")))))</f>
        <v/>
      </c>
      <c r="AW495" s="8" t="str">
        <f>IF(AU495='Listas suspensas'!$A$2,'Listas suspensas'!$C$2,IF(AU495='Listas suspensas'!$A$3,'Listas suspensas'!$C$3,IF(AU495='Listas suspensas'!$A$4,'Listas suspensas'!$C$4,IF(AU495='Listas suspensas'!$A$5,'Listas suspensas'!$C$5,IF(AU495='Listas suspensas'!$A$6,'Listas suspensas'!$C$6,"")))))</f>
        <v/>
      </c>
      <c r="AX495" s="8" t="str">
        <f>IF(AV495='Listas suspensas'!$A$2,'Listas suspensas'!$C$2,IF(AV495='Listas suspensas'!$A$3,'Listas suspensas'!$C$3,IF(AV495='Listas suspensas'!$A$4,'Listas suspensas'!$C$4,IF(AV495='Listas suspensas'!$A$5,'Listas suspensas'!$C$5,IF(AV495='Listas suspensas'!$A$6,'Listas suspensas'!$C$6,"")))))</f>
        <v/>
      </c>
      <c r="AY495" s="8" t="str">
        <f>IF(AW495='Listas suspensas'!$A$2,'Listas suspensas'!$C$2,IF(AW495='Listas suspensas'!$A$3,'Listas suspensas'!$C$3,IF(AW495='Listas suspensas'!$A$4,'Listas suspensas'!$C$4,IF(AW495='Listas suspensas'!$A$5,'Listas suspensas'!$C$5,IF(AW495='Listas suspensas'!$A$6,'Listas suspensas'!$C$6,"")))))</f>
        <v/>
      </c>
      <c r="AZ495" s="8" t="str">
        <f>IF(AX495='Listas suspensas'!$A$2,'Listas suspensas'!$C$2,IF(AX495='Listas suspensas'!$A$3,'Listas suspensas'!$C$3,IF(AX495='Listas suspensas'!$A$4,'Listas suspensas'!$C$4,IF(AX495='Listas suspensas'!$A$5,'Listas suspensas'!$C$5,IF(AX495='Listas suspensas'!$A$6,'Listas suspensas'!$C$6,"")))))</f>
        <v/>
      </c>
      <c r="BA495" s="8" t="str">
        <f>IF(AY495='Listas suspensas'!$A$2,'Listas suspensas'!$C$2,IF(AY495='Listas suspensas'!$A$3,'Listas suspensas'!$C$3,IF(AY495='Listas suspensas'!$A$4,'Listas suspensas'!$C$4,IF(AY495='Listas suspensas'!$A$5,'Listas suspensas'!$C$5,IF(AY495='Listas suspensas'!$A$6,'Listas suspensas'!$C$6,"")))))</f>
        <v/>
      </c>
      <c r="BB495" s="8" t="str">
        <f>IF(AZ495='Listas suspensas'!$A$2,'Listas suspensas'!$C$2,IF(AZ495='Listas suspensas'!$A$3,'Listas suspensas'!$C$3,IF(AZ495='Listas suspensas'!$A$4,'Listas suspensas'!$C$4,IF(AZ495='Listas suspensas'!$A$5,'Listas suspensas'!$C$5,IF(AZ495='Listas suspensas'!$A$6,'Listas suspensas'!$C$6,"")))))</f>
        <v/>
      </c>
      <c r="BC495" s="8" t="str">
        <f>IF(BA495='Listas suspensas'!$A$2,'Listas suspensas'!$C$2,IF(BA495='Listas suspensas'!$A$3,'Listas suspensas'!$C$3,IF(BA495='Listas suspensas'!$A$4,'Listas suspensas'!$C$4,IF(BA495='Listas suspensas'!$A$5,'Listas suspensas'!$C$5,IF(BA495='Listas suspensas'!$A$6,'Listas suspensas'!$C$6,"")))))</f>
        <v/>
      </c>
      <c r="BD495" s="13">
        <v>0.78200000000000003</v>
      </c>
      <c r="BE495" s="18">
        <f t="shared" si="85"/>
        <v>782</v>
      </c>
      <c r="BF495" s="8">
        <v>0.27700000000000002</v>
      </c>
      <c r="BG495" s="8">
        <v>0.153</v>
      </c>
      <c r="BH495" s="8">
        <v>0.29699999999999999</v>
      </c>
      <c r="BI495" s="13">
        <f t="shared" si="86"/>
        <v>0.72700000000000009</v>
      </c>
      <c r="BJ495" s="14">
        <v>38.1</v>
      </c>
      <c r="BK495" s="14">
        <v>21</v>
      </c>
      <c r="BL495" s="14">
        <v>40.9</v>
      </c>
      <c r="BM495" s="16">
        <f t="shared" si="87"/>
        <v>100</v>
      </c>
      <c r="BN495" s="21">
        <f t="shared" si="88"/>
        <v>2.17</v>
      </c>
      <c r="BO495" s="21">
        <f t="shared" si="89"/>
        <v>1.2</v>
      </c>
      <c r="BP495" s="21">
        <f t="shared" si="90"/>
        <v>2.3199999999999998</v>
      </c>
      <c r="BQ495" s="14">
        <f t="shared" si="91"/>
        <v>5.69</v>
      </c>
      <c r="BR495" s="22" t="str">
        <f>IF(OR(AND(X495="Mourões", BQ495&gt;=6.5),AND(X495="Postes", BQ495&gt;=9.6),AND(X495="Dormentes", BQ495&gt;=9.6),AND(X495="Estacas - Solo", BQ495&gt;=6.5),AND(X495="Estacas - Suspenso", BQ495&gt;=4),AND(X495="Cruzetas", BQ495&gt;=6.5),AND(X495="Outros - Solo", BQ495&gt;=6.5),AND(X495="Outros - Suspenso",BQ495&gt;=4),AND(X495="Deck",BQ495&gt;=4)),'Listas suspensas'!$C$21,'Listas suspensas'!$C$22)</f>
        <v>Os resultados da análise química apresentaram uma retenção do produto inferior ao padrão mínimo exigido pela norma ABNT NBR 16143</v>
      </c>
    </row>
    <row r="496" spans="2:70" x14ac:dyDescent="0.25">
      <c r="B496" s="8" t="s">
        <v>1144</v>
      </c>
      <c r="C496" s="8" t="s">
        <v>71</v>
      </c>
      <c r="F496" s="11">
        <v>45974</v>
      </c>
      <c r="G496" s="11">
        <v>45978</v>
      </c>
      <c r="H496" s="11">
        <v>45989</v>
      </c>
      <c r="I496" s="8" t="s">
        <v>1540</v>
      </c>
      <c r="J496" s="8" t="s">
        <v>1541</v>
      </c>
      <c r="K496" s="8" t="s">
        <v>1542</v>
      </c>
      <c r="L496" s="8" t="s">
        <v>15</v>
      </c>
      <c r="M496" s="30" t="s">
        <v>1543</v>
      </c>
      <c r="N496" s="8" t="s">
        <v>1165</v>
      </c>
      <c r="O496" s="8" t="s">
        <v>94</v>
      </c>
      <c r="P496" s="28" t="s">
        <v>146</v>
      </c>
      <c r="Q496" s="16" t="s">
        <v>1547</v>
      </c>
      <c r="X496" s="8" t="s">
        <v>79</v>
      </c>
      <c r="Y496" s="34">
        <f>IF(X496='Listas suspensas'!$A$21,'Listas suspensas'!$B$23,IF(X496='Listas suspensas'!$A$22,'Listas suspensas'!$B$23,IF(X496='Listas suspensas'!$A$23,'Listas suspensas'!$B$22,IF(X496='Listas suspensas'!$A$26,'Listas suspensas'!$B$22,IF(X496='Listas suspensas'!$A$32,'Listas suspensas'!$B$22,IF(X496='Listas suspensas'!$A$33,'Listas suspensas'!$B$21,IF(X496='Listas suspensas'!$A$24,'Listas suspensas'!$B$22,IF(X496='Listas suspensas'!$A$25,'Listas suspensas'!$B$21,IF(X496='Listas suspensas'!$A$30,'Listas suspensas'!$B$21,"")))))))))</f>
        <v>6.5</v>
      </c>
      <c r="Z496" s="8" t="s">
        <v>80</v>
      </c>
      <c r="AA496" s="8">
        <v>3</v>
      </c>
      <c r="AB496" s="8" t="str">
        <f>IF(AA496='Listas suspensas'!$A$2,'Listas suspensas'!$B$2,IF(AA496='Listas suspensas'!$A$3,'Listas suspensas'!$B$3,IF(AA496='Listas suspensas'!$A$4,'Listas suspensas'!$B$4,IF(AA496='Listas suspensas'!$A$5,'Listas suspensas'!$B$5,IF(AA496='Listas suspensas'!$A$6,'Listas suspensas'!$B$6,"")))))</f>
        <v xml:space="preserve"> Parcial e regular</v>
      </c>
      <c r="AC496" s="8" t="str">
        <f>IF(AA496='Listas suspensas'!$A$2,'Listas suspensas'!$C$2,IF(AA496='Listas suspensas'!$A$3,'Listas suspensas'!$C$3,IF(AA496='Listas suspensas'!$A$4,'Listas suspensas'!$C$4,IF(AA496='Listas suspensas'!$A$5,'Listas suspensas'!$C$5,IF(AA496='Listas suspensas'!$A$6,'Listas suspensas'!$C$6,"")))))</f>
        <v>Indica a penetração uniforme, mas não total pela extensão do alburno.</v>
      </c>
      <c r="AD496" s="8" t="str">
        <f>IF(AB496='Listas suspensas'!$A$2,'Listas suspensas'!$C$2,IF(AB496='Listas suspensas'!$A$3,'Listas suspensas'!$C$3,IF(AB496='Listas suspensas'!$A$4,'Listas suspensas'!$C$4,IF(AB496='Listas suspensas'!$A$5,'Listas suspensas'!$C$5,IF(AB496='Listas suspensas'!$A$6,'Listas suspensas'!$C$6,"")))))</f>
        <v/>
      </c>
      <c r="AE496" s="8" t="str">
        <f>IF(AC496='Listas suspensas'!$A$2,'Listas suspensas'!$C$2,IF(AC496='Listas suspensas'!$A$3,'Listas suspensas'!$C$3,IF(AC496='Listas suspensas'!$A$4,'Listas suspensas'!$C$4,IF(AC496='Listas suspensas'!$A$5,'Listas suspensas'!$C$5,IF(AC496='Listas suspensas'!$A$6,'Listas suspensas'!$C$6,"")))))</f>
        <v/>
      </c>
      <c r="AF496" s="8" t="str">
        <f>IF(AD496='Listas suspensas'!$A$2,'Listas suspensas'!$C$2,IF(AD496='Listas suspensas'!$A$3,'Listas suspensas'!$C$3,IF(AD496='Listas suspensas'!$A$4,'Listas suspensas'!$C$4,IF(AD496='Listas suspensas'!$A$5,'Listas suspensas'!$C$5,IF(AD496='Listas suspensas'!$A$6,'Listas suspensas'!$C$6,"")))))</f>
        <v/>
      </c>
      <c r="AG496" s="8" t="str">
        <f>IF(AE496='Listas suspensas'!$A$2,'Listas suspensas'!$C$2,IF(AE496='Listas suspensas'!$A$3,'Listas suspensas'!$C$3,IF(AE496='Listas suspensas'!$A$4,'Listas suspensas'!$C$4,IF(AE496='Listas suspensas'!$A$5,'Listas suspensas'!$C$5,IF(AE496='Listas suspensas'!$A$6,'Listas suspensas'!$C$6,"")))))</f>
        <v/>
      </c>
      <c r="AH496" s="8" t="str">
        <f>IF(AF496='Listas suspensas'!$A$2,'Listas suspensas'!$C$2,IF(AF496='Listas suspensas'!$A$3,'Listas suspensas'!$C$3,IF(AF496='Listas suspensas'!$A$4,'Listas suspensas'!$C$4,IF(AF496='Listas suspensas'!$A$5,'Listas suspensas'!$C$5,IF(AF496='Listas suspensas'!$A$6,'Listas suspensas'!$C$6,"")))))</f>
        <v/>
      </c>
      <c r="AI496" s="8" t="str">
        <f>IF(AG496='Listas suspensas'!$A$2,'Listas suspensas'!$C$2,IF(AG496='Listas suspensas'!$A$3,'Listas suspensas'!$C$3,IF(AG496='Listas suspensas'!$A$4,'Listas suspensas'!$C$4,IF(AG496='Listas suspensas'!$A$5,'Listas suspensas'!$C$5,IF(AG496='Listas suspensas'!$A$6,'Listas suspensas'!$C$6,"")))))</f>
        <v/>
      </c>
      <c r="AJ496" s="8" t="str">
        <f>IF(AH496='Listas suspensas'!$A$2,'Listas suspensas'!$C$2,IF(AH496='Listas suspensas'!$A$3,'Listas suspensas'!$C$3,IF(AH496='Listas suspensas'!$A$4,'Listas suspensas'!$C$4,IF(AH496='Listas suspensas'!$A$5,'Listas suspensas'!$C$5,IF(AH496='Listas suspensas'!$A$6,'Listas suspensas'!$C$6,"")))))</f>
        <v/>
      </c>
      <c r="AK496" s="8" t="str">
        <f>IF(AI496='Listas suspensas'!$A$2,'Listas suspensas'!$C$2,IF(AI496='Listas suspensas'!$A$3,'Listas suspensas'!$C$3,IF(AI496='Listas suspensas'!$A$4,'Listas suspensas'!$C$4,IF(AI496='Listas suspensas'!$A$5,'Listas suspensas'!$C$5,IF(AI496='Listas suspensas'!$A$6,'Listas suspensas'!$C$6,"")))))</f>
        <v/>
      </c>
      <c r="AL496" s="8" t="str">
        <f>IF(AJ496='Listas suspensas'!$A$2,'Listas suspensas'!$C$2,IF(AJ496='Listas suspensas'!$A$3,'Listas suspensas'!$C$3,IF(AJ496='Listas suspensas'!$A$4,'Listas suspensas'!$C$4,IF(AJ496='Listas suspensas'!$A$5,'Listas suspensas'!$C$5,IF(AJ496='Listas suspensas'!$A$6,'Listas suspensas'!$C$6,"")))))</f>
        <v/>
      </c>
      <c r="AM496" s="8" t="str">
        <f>IF(AK496='Listas suspensas'!$A$2,'Listas suspensas'!$C$2,IF(AK496='Listas suspensas'!$A$3,'Listas suspensas'!$C$3,IF(AK496='Listas suspensas'!$A$4,'Listas suspensas'!$C$4,IF(AK496='Listas suspensas'!$A$5,'Listas suspensas'!$C$5,IF(AK496='Listas suspensas'!$A$6,'Listas suspensas'!$C$6,"")))))</f>
        <v/>
      </c>
      <c r="AN496" s="8" t="str">
        <f>IF(AL496='Listas suspensas'!$A$2,'Listas suspensas'!$C$2,IF(AL496='Listas suspensas'!$A$3,'Listas suspensas'!$C$3,IF(AL496='Listas suspensas'!$A$4,'Listas suspensas'!$C$4,IF(AL496='Listas suspensas'!$A$5,'Listas suspensas'!$C$5,IF(AL496='Listas suspensas'!$A$6,'Listas suspensas'!$C$6,"")))))</f>
        <v/>
      </c>
      <c r="AO496" s="8" t="str">
        <f>IF(AM496='Listas suspensas'!$A$2,'Listas suspensas'!$C$2,IF(AM496='Listas suspensas'!$A$3,'Listas suspensas'!$C$3,IF(AM496='Listas suspensas'!$A$4,'Listas suspensas'!$C$4,IF(AM496='Listas suspensas'!$A$5,'Listas suspensas'!$C$5,IF(AM496='Listas suspensas'!$A$6,'Listas suspensas'!$C$6,"")))))</f>
        <v/>
      </c>
      <c r="AP496" s="8" t="str">
        <f>IF(AN496='Listas suspensas'!$A$2,'Listas suspensas'!$C$2,IF(AN496='Listas suspensas'!$A$3,'Listas suspensas'!$C$3,IF(AN496='Listas suspensas'!$A$4,'Listas suspensas'!$C$4,IF(AN496='Listas suspensas'!$A$5,'Listas suspensas'!$C$5,IF(AN496='Listas suspensas'!$A$6,'Listas suspensas'!$C$6,"")))))</f>
        <v/>
      </c>
      <c r="AQ496" s="8" t="str">
        <f>IF(AO496='Listas suspensas'!$A$2,'Listas suspensas'!$C$2,IF(AO496='Listas suspensas'!$A$3,'Listas suspensas'!$C$3,IF(AO496='Listas suspensas'!$A$4,'Listas suspensas'!$C$4,IF(AO496='Listas suspensas'!$A$5,'Listas suspensas'!$C$5,IF(AO496='Listas suspensas'!$A$6,'Listas suspensas'!$C$6,"")))))</f>
        <v/>
      </c>
      <c r="AR496" s="8" t="str">
        <f>IF(AP496='Listas suspensas'!$A$2,'Listas suspensas'!$C$2,IF(AP496='Listas suspensas'!$A$3,'Listas suspensas'!$C$3,IF(AP496='Listas suspensas'!$A$4,'Listas suspensas'!$C$4,IF(AP496='Listas suspensas'!$A$5,'Listas suspensas'!$C$5,IF(AP496='Listas suspensas'!$A$6,'Listas suspensas'!$C$6,"")))))</f>
        <v/>
      </c>
      <c r="AS496" s="8" t="str">
        <f>IF(AQ496='Listas suspensas'!$A$2,'Listas suspensas'!$C$2,IF(AQ496='Listas suspensas'!$A$3,'Listas suspensas'!$C$3,IF(AQ496='Listas suspensas'!$A$4,'Listas suspensas'!$C$4,IF(AQ496='Listas suspensas'!$A$5,'Listas suspensas'!$C$5,IF(AQ496='Listas suspensas'!$A$6,'Listas suspensas'!$C$6,"")))))</f>
        <v/>
      </c>
      <c r="AT496" s="8" t="str">
        <f>IF(AR496='Listas suspensas'!$A$2,'Listas suspensas'!$C$2,IF(AR496='Listas suspensas'!$A$3,'Listas suspensas'!$C$3,IF(AR496='Listas suspensas'!$A$4,'Listas suspensas'!$C$4,IF(AR496='Listas suspensas'!$A$5,'Listas suspensas'!$C$5,IF(AR496='Listas suspensas'!$A$6,'Listas suspensas'!$C$6,"")))))</f>
        <v/>
      </c>
      <c r="AU496" s="8" t="str">
        <f>IF(AS496='Listas suspensas'!$A$2,'Listas suspensas'!$C$2,IF(AS496='Listas suspensas'!$A$3,'Listas suspensas'!$C$3,IF(AS496='Listas suspensas'!$A$4,'Listas suspensas'!$C$4,IF(AS496='Listas suspensas'!$A$5,'Listas suspensas'!$C$5,IF(AS496='Listas suspensas'!$A$6,'Listas suspensas'!$C$6,"")))))</f>
        <v/>
      </c>
      <c r="AV496" s="8" t="str">
        <f>IF(AT496='Listas suspensas'!$A$2,'Listas suspensas'!$C$2,IF(AT496='Listas suspensas'!$A$3,'Listas suspensas'!$C$3,IF(AT496='Listas suspensas'!$A$4,'Listas suspensas'!$C$4,IF(AT496='Listas suspensas'!$A$5,'Listas suspensas'!$C$5,IF(AT496='Listas suspensas'!$A$6,'Listas suspensas'!$C$6,"")))))</f>
        <v/>
      </c>
      <c r="AW496" s="8" t="str">
        <f>IF(AU496='Listas suspensas'!$A$2,'Listas suspensas'!$C$2,IF(AU496='Listas suspensas'!$A$3,'Listas suspensas'!$C$3,IF(AU496='Listas suspensas'!$A$4,'Listas suspensas'!$C$4,IF(AU496='Listas suspensas'!$A$5,'Listas suspensas'!$C$5,IF(AU496='Listas suspensas'!$A$6,'Listas suspensas'!$C$6,"")))))</f>
        <v/>
      </c>
      <c r="AX496" s="8" t="str">
        <f>IF(AV496='Listas suspensas'!$A$2,'Listas suspensas'!$C$2,IF(AV496='Listas suspensas'!$A$3,'Listas suspensas'!$C$3,IF(AV496='Listas suspensas'!$A$4,'Listas suspensas'!$C$4,IF(AV496='Listas suspensas'!$A$5,'Listas suspensas'!$C$5,IF(AV496='Listas suspensas'!$A$6,'Listas suspensas'!$C$6,"")))))</f>
        <v/>
      </c>
      <c r="AY496" s="8" t="str">
        <f>IF(AW496='Listas suspensas'!$A$2,'Listas suspensas'!$C$2,IF(AW496='Listas suspensas'!$A$3,'Listas suspensas'!$C$3,IF(AW496='Listas suspensas'!$A$4,'Listas suspensas'!$C$4,IF(AW496='Listas suspensas'!$A$5,'Listas suspensas'!$C$5,IF(AW496='Listas suspensas'!$A$6,'Listas suspensas'!$C$6,"")))))</f>
        <v/>
      </c>
      <c r="AZ496" s="8" t="str">
        <f>IF(AX496='Listas suspensas'!$A$2,'Listas suspensas'!$C$2,IF(AX496='Listas suspensas'!$A$3,'Listas suspensas'!$C$3,IF(AX496='Listas suspensas'!$A$4,'Listas suspensas'!$C$4,IF(AX496='Listas suspensas'!$A$5,'Listas suspensas'!$C$5,IF(AX496='Listas suspensas'!$A$6,'Listas suspensas'!$C$6,"")))))</f>
        <v/>
      </c>
      <c r="BA496" s="8" t="str">
        <f>IF(AY496='Listas suspensas'!$A$2,'Listas suspensas'!$C$2,IF(AY496='Listas suspensas'!$A$3,'Listas suspensas'!$C$3,IF(AY496='Listas suspensas'!$A$4,'Listas suspensas'!$C$4,IF(AY496='Listas suspensas'!$A$5,'Listas suspensas'!$C$5,IF(AY496='Listas suspensas'!$A$6,'Listas suspensas'!$C$6,"")))))</f>
        <v/>
      </c>
      <c r="BB496" s="8" t="str">
        <f>IF(AZ496='Listas suspensas'!$A$2,'Listas suspensas'!$C$2,IF(AZ496='Listas suspensas'!$A$3,'Listas suspensas'!$C$3,IF(AZ496='Listas suspensas'!$A$4,'Listas suspensas'!$C$4,IF(AZ496='Listas suspensas'!$A$5,'Listas suspensas'!$C$5,IF(AZ496='Listas suspensas'!$A$6,'Listas suspensas'!$C$6,"")))))</f>
        <v/>
      </c>
      <c r="BC496" s="8" t="str">
        <f>IF(BA496='Listas suspensas'!$A$2,'Listas suspensas'!$C$2,IF(BA496='Listas suspensas'!$A$3,'Listas suspensas'!$C$3,IF(BA496='Listas suspensas'!$A$4,'Listas suspensas'!$C$4,IF(BA496='Listas suspensas'!$A$5,'Listas suspensas'!$C$5,IF(BA496='Listas suspensas'!$A$6,'Listas suspensas'!$C$6,"")))))</f>
        <v/>
      </c>
      <c r="BD496" s="13">
        <v>0.70299999999999996</v>
      </c>
      <c r="BE496" s="18">
        <f t="shared" si="85"/>
        <v>703</v>
      </c>
      <c r="BF496" s="8">
        <v>0.38600000000000001</v>
      </c>
      <c r="BG496" s="8">
        <v>0.17399999999999999</v>
      </c>
      <c r="BH496" s="8">
        <v>0.34100000000000003</v>
      </c>
      <c r="BI496" s="13">
        <f t="shared" si="86"/>
        <v>0.90100000000000002</v>
      </c>
      <c r="BJ496" s="14">
        <v>42.8</v>
      </c>
      <c r="BK496" s="14">
        <v>19.3</v>
      </c>
      <c r="BL496" s="14">
        <v>37.9</v>
      </c>
      <c r="BM496" s="16">
        <f t="shared" si="87"/>
        <v>100</v>
      </c>
      <c r="BN496" s="21">
        <f t="shared" si="88"/>
        <v>2.71</v>
      </c>
      <c r="BO496" s="21">
        <f t="shared" si="89"/>
        <v>1.22</v>
      </c>
      <c r="BP496" s="21">
        <f t="shared" si="90"/>
        <v>2.4</v>
      </c>
      <c r="BQ496" s="14">
        <f t="shared" si="91"/>
        <v>6.33</v>
      </c>
      <c r="BR496" s="22" t="str">
        <f>IF(OR(AND(X496="Mourões", BQ496&gt;=6.5),AND(X496="Postes", BQ496&gt;=9.6),AND(X496="Dormentes", BQ496&gt;=9.6),AND(X496="Estacas - Solo", BQ496&gt;=6.5),AND(X496="Estacas - Suspenso", BQ496&gt;=4),AND(X496="Cruzetas", BQ496&gt;=6.5),AND(X496="Outros - Solo", BQ496&gt;=6.5),AND(X496="Outros - Suspenso",BQ496&gt;=4),AND(X496="Deck",BQ496&gt;=4)),'Listas suspensas'!$C$21,'Listas suspensas'!$C$22)</f>
        <v>Os resultados da análise química apresentaram uma retenção do produto inferior ao padrão mínimo exigido pela norma ABNT NBR 16143</v>
      </c>
    </row>
    <row r="497" spans="2:70" x14ac:dyDescent="0.25">
      <c r="B497" s="8" t="s">
        <v>1145</v>
      </c>
      <c r="C497" s="8" t="s">
        <v>71</v>
      </c>
      <c r="F497" s="11">
        <v>45974</v>
      </c>
      <c r="G497" s="11">
        <v>45978</v>
      </c>
      <c r="H497" s="11">
        <v>45989</v>
      </c>
      <c r="I497" s="8" t="s">
        <v>1548</v>
      </c>
      <c r="J497" s="8" t="s">
        <v>1549</v>
      </c>
      <c r="K497" s="8" t="s">
        <v>144</v>
      </c>
      <c r="L497" s="8" t="s">
        <v>15</v>
      </c>
      <c r="M497" s="30" t="s">
        <v>1430</v>
      </c>
      <c r="N497" s="8" t="s">
        <v>1165</v>
      </c>
      <c r="P497" s="28" t="s">
        <v>146</v>
      </c>
      <c r="Q497" s="16" t="s">
        <v>1550</v>
      </c>
      <c r="X497" s="8" t="s">
        <v>101</v>
      </c>
      <c r="Y497" s="34">
        <f>IF(X497='Listas suspensas'!$A$21,'Listas suspensas'!$B$23,IF(X497='Listas suspensas'!$A$22,'Listas suspensas'!$B$23,IF(X497='Listas suspensas'!$A$23,'Listas suspensas'!$B$22,IF(X497='Listas suspensas'!$A$26,'Listas suspensas'!$B$22,IF(X497='Listas suspensas'!$A$32,'Listas suspensas'!$B$22,IF(X497='Listas suspensas'!$A$33,'Listas suspensas'!$B$21,IF(X497='Listas suspensas'!$A$24,'Listas suspensas'!$B$22,IF(X497='Listas suspensas'!$A$25,'Listas suspensas'!$B$21,IF(X497='Listas suspensas'!$A$30,'Listas suspensas'!$B$21,"")))))))))</f>
        <v>6.5</v>
      </c>
      <c r="Z497" s="8" t="s">
        <v>80</v>
      </c>
      <c r="AA497" s="8">
        <v>3</v>
      </c>
      <c r="AB497" s="8" t="str">
        <f>IF(AA497='Listas suspensas'!$A$2,'Listas suspensas'!$B$2,IF(AA497='Listas suspensas'!$A$3,'Listas suspensas'!$B$3,IF(AA497='Listas suspensas'!$A$4,'Listas suspensas'!$B$4,IF(AA497='Listas suspensas'!$A$5,'Listas suspensas'!$B$5,IF(AA497='Listas suspensas'!$A$6,'Listas suspensas'!$B$6,"")))))</f>
        <v xml:space="preserve"> Parcial e regular</v>
      </c>
      <c r="AC497" s="8" t="str">
        <f>IF(AA497='Listas suspensas'!$A$2,'Listas suspensas'!$C$2,IF(AA497='Listas suspensas'!$A$3,'Listas suspensas'!$C$3,IF(AA497='Listas suspensas'!$A$4,'Listas suspensas'!$C$4,IF(AA497='Listas suspensas'!$A$5,'Listas suspensas'!$C$5,IF(AA497='Listas suspensas'!$A$6,'Listas suspensas'!$C$6,"")))))</f>
        <v>Indica a penetração uniforme, mas não total pela extensão do alburno.</v>
      </c>
      <c r="AD497" s="8" t="str">
        <f>IF(AB497='Listas suspensas'!$A$2,'Listas suspensas'!$C$2,IF(AB497='Listas suspensas'!$A$3,'Listas suspensas'!$C$3,IF(AB497='Listas suspensas'!$A$4,'Listas suspensas'!$C$4,IF(AB497='Listas suspensas'!$A$5,'Listas suspensas'!$C$5,IF(AB497='Listas suspensas'!$A$6,'Listas suspensas'!$C$6,"")))))</f>
        <v/>
      </c>
      <c r="AE497" s="8" t="str">
        <f>IF(AC497='Listas suspensas'!$A$2,'Listas suspensas'!$C$2,IF(AC497='Listas suspensas'!$A$3,'Listas suspensas'!$C$3,IF(AC497='Listas suspensas'!$A$4,'Listas suspensas'!$C$4,IF(AC497='Listas suspensas'!$A$5,'Listas suspensas'!$C$5,IF(AC497='Listas suspensas'!$A$6,'Listas suspensas'!$C$6,"")))))</f>
        <v/>
      </c>
      <c r="AF497" s="8" t="str">
        <f>IF(AD497='Listas suspensas'!$A$2,'Listas suspensas'!$C$2,IF(AD497='Listas suspensas'!$A$3,'Listas suspensas'!$C$3,IF(AD497='Listas suspensas'!$A$4,'Listas suspensas'!$C$4,IF(AD497='Listas suspensas'!$A$5,'Listas suspensas'!$C$5,IF(AD497='Listas suspensas'!$A$6,'Listas suspensas'!$C$6,"")))))</f>
        <v/>
      </c>
      <c r="AG497" s="8" t="str">
        <f>IF(AE497='Listas suspensas'!$A$2,'Listas suspensas'!$C$2,IF(AE497='Listas suspensas'!$A$3,'Listas suspensas'!$C$3,IF(AE497='Listas suspensas'!$A$4,'Listas suspensas'!$C$4,IF(AE497='Listas suspensas'!$A$5,'Listas suspensas'!$C$5,IF(AE497='Listas suspensas'!$A$6,'Listas suspensas'!$C$6,"")))))</f>
        <v/>
      </c>
      <c r="AH497" s="8" t="str">
        <f>IF(AF497='Listas suspensas'!$A$2,'Listas suspensas'!$C$2,IF(AF497='Listas suspensas'!$A$3,'Listas suspensas'!$C$3,IF(AF497='Listas suspensas'!$A$4,'Listas suspensas'!$C$4,IF(AF497='Listas suspensas'!$A$5,'Listas suspensas'!$C$5,IF(AF497='Listas suspensas'!$A$6,'Listas suspensas'!$C$6,"")))))</f>
        <v/>
      </c>
      <c r="AI497" s="8" t="str">
        <f>IF(AG497='Listas suspensas'!$A$2,'Listas suspensas'!$C$2,IF(AG497='Listas suspensas'!$A$3,'Listas suspensas'!$C$3,IF(AG497='Listas suspensas'!$A$4,'Listas suspensas'!$C$4,IF(AG497='Listas suspensas'!$A$5,'Listas suspensas'!$C$5,IF(AG497='Listas suspensas'!$A$6,'Listas suspensas'!$C$6,"")))))</f>
        <v/>
      </c>
      <c r="AJ497" s="8" t="str">
        <f>IF(AH497='Listas suspensas'!$A$2,'Listas suspensas'!$C$2,IF(AH497='Listas suspensas'!$A$3,'Listas suspensas'!$C$3,IF(AH497='Listas suspensas'!$A$4,'Listas suspensas'!$C$4,IF(AH497='Listas suspensas'!$A$5,'Listas suspensas'!$C$5,IF(AH497='Listas suspensas'!$A$6,'Listas suspensas'!$C$6,"")))))</f>
        <v/>
      </c>
      <c r="AK497" s="8" t="str">
        <f>IF(AI497='Listas suspensas'!$A$2,'Listas suspensas'!$C$2,IF(AI497='Listas suspensas'!$A$3,'Listas suspensas'!$C$3,IF(AI497='Listas suspensas'!$A$4,'Listas suspensas'!$C$4,IF(AI497='Listas suspensas'!$A$5,'Listas suspensas'!$C$5,IF(AI497='Listas suspensas'!$A$6,'Listas suspensas'!$C$6,"")))))</f>
        <v/>
      </c>
      <c r="AL497" s="8" t="str">
        <f>IF(AJ497='Listas suspensas'!$A$2,'Listas suspensas'!$C$2,IF(AJ497='Listas suspensas'!$A$3,'Listas suspensas'!$C$3,IF(AJ497='Listas suspensas'!$A$4,'Listas suspensas'!$C$4,IF(AJ497='Listas suspensas'!$A$5,'Listas suspensas'!$C$5,IF(AJ497='Listas suspensas'!$A$6,'Listas suspensas'!$C$6,"")))))</f>
        <v/>
      </c>
      <c r="AM497" s="8" t="str">
        <f>IF(AK497='Listas suspensas'!$A$2,'Listas suspensas'!$C$2,IF(AK497='Listas suspensas'!$A$3,'Listas suspensas'!$C$3,IF(AK497='Listas suspensas'!$A$4,'Listas suspensas'!$C$4,IF(AK497='Listas suspensas'!$A$5,'Listas suspensas'!$C$5,IF(AK497='Listas suspensas'!$A$6,'Listas suspensas'!$C$6,"")))))</f>
        <v/>
      </c>
      <c r="AN497" s="8" t="str">
        <f>IF(AL497='Listas suspensas'!$A$2,'Listas suspensas'!$C$2,IF(AL497='Listas suspensas'!$A$3,'Listas suspensas'!$C$3,IF(AL497='Listas suspensas'!$A$4,'Listas suspensas'!$C$4,IF(AL497='Listas suspensas'!$A$5,'Listas suspensas'!$C$5,IF(AL497='Listas suspensas'!$A$6,'Listas suspensas'!$C$6,"")))))</f>
        <v/>
      </c>
      <c r="AO497" s="8" t="str">
        <f>IF(AM497='Listas suspensas'!$A$2,'Listas suspensas'!$C$2,IF(AM497='Listas suspensas'!$A$3,'Listas suspensas'!$C$3,IF(AM497='Listas suspensas'!$A$4,'Listas suspensas'!$C$4,IF(AM497='Listas suspensas'!$A$5,'Listas suspensas'!$C$5,IF(AM497='Listas suspensas'!$A$6,'Listas suspensas'!$C$6,"")))))</f>
        <v/>
      </c>
      <c r="AP497" s="8" t="str">
        <f>IF(AN497='Listas suspensas'!$A$2,'Listas suspensas'!$C$2,IF(AN497='Listas suspensas'!$A$3,'Listas suspensas'!$C$3,IF(AN497='Listas suspensas'!$A$4,'Listas suspensas'!$C$4,IF(AN497='Listas suspensas'!$A$5,'Listas suspensas'!$C$5,IF(AN497='Listas suspensas'!$A$6,'Listas suspensas'!$C$6,"")))))</f>
        <v/>
      </c>
      <c r="AQ497" s="8" t="str">
        <f>IF(AO497='Listas suspensas'!$A$2,'Listas suspensas'!$C$2,IF(AO497='Listas suspensas'!$A$3,'Listas suspensas'!$C$3,IF(AO497='Listas suspensas'!$A$4,'Listas suspensas'!$C$4,IF(AO497='Listas suspensas'!$A$5,'Listas suspensas'!$C$5,IF(AO497='Listas suspensas'!$A$6,'Listas suspensas'!$C$6,"")))))</f>
        <v/>
      </c>
      <c r="AR497" s="8" t="str">
        <f>IF(AP497='Listas suspensas'!$A$2,'Listas suspensas'!$C$2,IF(AP497='Listas suspensas'!$A$3,'Listas suspensas'!$C$3,IF(AP497='Listas suspensas'!$A$4,'Listas suspensas'!$C$4,IF(AP497='Listas suspensas'!$A$5,'Listas suspensas'!$C$5,IF(AP497='Listas suspensas'!$A$6,'Listas suspensas'!$C$6,"")))))</f>
        <v/>
      </c>
      <c r="AS497" s="8" t="str">
        <f>IF(AQ497='Listas suspensas'!$A$2,'Listas suspensas'!$C$2,IF(AQ497='Listas suspensas'!$A$3,'Listas suspensas'!$C$3,IF(AQ497='Listas suspensas'!$A$4,'Listas suspensas'!$C$4,IF(AQ497='Listas suspensas'!$A$5,'Listas suspensas'!$C$5,IF(AQ497='Listas suspensas'!$A$6,'Listas suspensas'!$C$6,"")))))</f>
        <v/>
      </c>
      <c r="AT497" s="8" t="str">
        <f>IF(AR497='Listas suspensas'!$A$2,'Listas suspensas'!$C$2,IF(AR497='Listas suspensas'!$A$3,'Listas suspensas'!$C$3,IF(AR497='Listas suspensas'!$A$4,'Listas suspensas'!$C$4,IF(AR497='Listas suspensas'!$A$5,'Listas suspensas'!$C$5,IF(AR497='Listas suspensas'!$A$6,'Listas suspensas'!$C$6,"")))))</f>
        <v/>
      </c>
      <c r="AU497" s="8" t="str">
        <f>IF(AS497='Listas suspensas'!$A$2,'Listas suspensas'!$C$2,IF(AS497='Listas suspensas'!$A$3,'Listas suspensas'!$C$3,IF(AS497='Listas suspensas'!$A$4,'Listas suspensas'!$C$4,IF(AS497='Listas suspensas'!$A$5,'Listas suspensas'!$C$5,IF(AS497='Listas suspensas'!$A$6,'Listas suspensas'!$C$6,"")))))</f>
        <v/>
      </c>
      <c r="AV497" s="8" t="str">
        <f>IF(AT497='Listas suspensas'!$A$2,'Listas suspensas'!$C$2,IF(AT497='Listas suspensas'!$A$3,'Listas suspensas'!$C$3,IF(AT497='Listas suspensas'!$A$4,'Listas suspensas'!$C$4,IF(AT497='Listas suspensas'!$A$5,'Listas suspensas'!$C$5,IF(AT497='Listas suspensas'!$A$6,'Listas suspensas'!$C$6,"")))))</f>
        <v/>
      </c>
      <c r="AW497" s="8" t="str">
        <f>IF(AU497='Listas suspensas'!$A$2,'Listas suspensas'!$C$2,IF(AU497='Listas suspensas'!$A$3,'Listas suspensas'!$C$3,IF(AU497='Listas suspensas'!$A$4,'Listas suspensas'!$C$4,IF(AU497='Listas suspensas'!$A$5,'Listas suspensas'!$C$5,IF(AU497='Listas suspensas'!$A$6,'Listas suspensas'!$C$6,"")))))</f>
        <v/>
      </c>
      <c r="AX497" s="8" t="str">
        <f>IF(AV497='Listas suspensas'!$A$2,'Listas suspensas'!$C$2,IF(AV497='Listas suspensas'!$A$3,'Listas suspensas'!$C$3,IF(AV497='Listas suspensas'!$A$4,'Listas suspensas'!$C$4,IF(AV497='Listas suspensas'!$A$5,'Listas suspensas'!$C$5,IF(AV497='Listas suspensas'!$A$6,'Listas suspensas'!$C$6,"")))))</f>
        <v/>
      </c>
      <c r="AY497" s="8" t="str">
        <f>IF(AW497='Listas suspensas'!$A$2,'Listas suspensas'!$C$2,IF(AW497='Listas suspensas'!$A$3,'Listas suspensas'!$C$3,IF(AW497='Listas suspensas'!$A$4,'Listas suspensas'!$C$4,IF(AW497='Listas suspensas'!$A$5,'Listas suspensas'!$C$5,IF(AW497='Listas suspensas'!$A$6,'Listas suspensas'!$C$6,"")))))</f>
        <v/>
      </c>
      <c r="AZ497" s="8" t="str">
        <f>IF(AX497='Listas suspensas'!$A$2,'Listas suspensas'!$C$2,IF(AX497='Listas suspensas'!$A$3,'Listas suspensas'!$C$3,IF(AX497='Listas suspensas'!$A$4,'Listas suspensas'!$C$4,IF(AX497='Listas suspensas'!$A$5,'Listas suspensas'!$C$5,IF(AX497='Listas suspensas'!$A$6,'Listas suspensas'!$C$6,"")))))</f>
        <v/>
      </c>
      <c r="BA497" s="8" t="str">
        <f>IF(AY497='Listas suspensas'!$A$2,'Listas suspensas'!$C$2,IF(AY497='Listas suspensas'!$A$3,'Listas suspensas'!$C$3,IF(AY497='Listas suspensas'!$A$4,'Listas suspensas'!$C$4,IF(AY497='Listas suspensas'!$A$5,'Listas suspensas'!$C$5,IF(AY497='Listas suspensas'!$A$6,'Listas suspensas'!$C$6,"")))))</f>
        <v/>
      </c>
      <c r="BB497" s="8" t="str">
        <f>IF(AZ497='Listas suspensas'!$A$2,'Listas suspensas'!$C$2,IF(AZ497='Listas suspensas'!$A$3,'Listas suspensas'!$C$3,IF(AZ497='Listas suspensas'!$A$4,'Listas suspensas'!$C$4,IF(AZ497='Listas suspensas'!$A$5,'Listas suspensas'!$C$5,IF(AZ497='Listas suspensas'!$A$6,'Listas suspensas'!$C$6,"")))))</f>
        <v/>
      </c>
      <c r="BC497" s="8" t="str">
        <f>IF(BA497='Listas suspensas'!$A$2,'Listas suspensas'!$C$2,IF(BA497='Listas suspensas'!$A$3,'Listas suspensas'!$C$3,IF(BA497='Listas suspensas'!$A$4,'Listas suspensas'!$C$4,IF(BA497='Listas suspensas'!$A$5,'Listas suspensas'!$C$5,IF(BA497='Listas suspensas'!$A$6,'Listas suspensas'!$C$6,"")))))</f>
        <v/>
      </c>
      <c r="BD497" s="13">
        <v>0.56699999999999995</v>
      </c>
      <c r="BE497" s="18">
        <f t="shared" si="85"/>
        <v>567</v>
      </c>
      <c r="BF497" s="8">
        <v>0.39700000000000002</v>
      </c>
      <c r="BG497" s="8">
        <v>0.2</v>
      </c>
      <c r="BH497" s="8">
        <v>0.35499999999999998</v>
      </c>
      <c r="BI497" s="13">
        <f t="shared" si="86"/>
        <v>0.95199999999999996</v>
      </c>
      <c r="BJ497" s="14">
        <v>41.7</v>
      </c>
      <c r="BK497" s="14">
        <v>21</v>
      </c>
      <c r="BL497" s="14">
        <v>37.299999999999997</v>
      </c>
      <c r="BM497" s="16">
        <f t="shared" si="87"/>
        <v>100</v>
      </c>
      <c r="BN497" s="21">
        <f t="shared" si="88"/>
        <v>2.25</v>
      </c>
      <c r="BO497" s="21">
        <f t="shared" si="89"/>
        <v>1.1299999999999999</v>
      </c>
      <c r="BP497" s="21">
        <f t="shared" si="90"/>
        <v>2.0099999999999998</v>
      </c>
      <c r="BQ497" s="14">
        <f t="shared" si="91"/>
        <v>5.39</v>
      </c>
      <c r="BR497" s="22" t="str">
        <f>IF(OR(AND(X497="Mourões", BQ497&gt;=6.5),AND(X497="Postes", BQ497&gt;=9.6),AND(X497="Dormentes", BQ497&gt;=9.6),AND(X497="Estacas - Solo", BQ497&gt;=6.5),AND(X497="Estacas - Suspenso", BQ497&gt;=4),AND(X497="Cruzetas", BQ497&gt;=6.5),AND(X497="Outros - Solo", BQ497&gt;=6.5),AND(X497="Outros - Suspenso",BQ497&gt;=4),AND(X497="Deck",BQ497&gt;=4)),'Listas suspensas'!$C$21,'Listas suspensas'!$C$22)</f>
        <v>Os resultados da análise química apresentaram uma retenção do produto inferior ao padrão mínimo exigido pela norma ABNT NBR 16143</v>
      </c>
    </row>
    <row r="498" spans="2:70" x14ac:dyDescent="0.25">
      <c r="B498" s="8" t="s">
        <v>1146</v>
      </c>
      <c r="C498" s="8" t="s">
        <v>71</v>
      </c>
      <c r="F498" s="11">
        <v>45974</v>
      </c>
      <c r="G498" s="11">
        <v>45978</v>
      </c>
      <c r="H498" s="11">
        <v>45989</v>
      </c>
      <c r="I498" s="8" t="s">
        <v>1548</v>
      </c>
      <c r="J498" s="8" t="s">
        <v>1549</v>
      </c>
      <c r="K498" s="8" t="s">
        <v>144</v>
      </c>
      <c r="L498" s="8" t="s">
        <v>15</v>
      </c>
      <c r="M498" s="30" t="s">
        <v>1430</v>
      </c>
      <c r="N498" s="8" t="s">
        <v>1165</v>
      </c>
      <c r="P498" s="28" t="s">
        <v>146</v>
      </c>
      <c r="Q498" s="16" t="s">
        <v>1551</v>
      </c>
      <c r="X498" s="8" t="s">
        <v>101</v>
      </c>
      <c r="Y498" s="34">
        <f>IF(X498='Listas suspensas'!$A$21,'Listas suspensas'!$B$23,IF(X498='Listas suspensas'!$A$22,'Listas suspensas'!$B$23,IF(X498='Listas suspensas'!$A$23,'Listas suspensas'!$B$22,IF(X498='Listas suspensas'!$A$26,'Listas suspensas'!$B$22,IF(X498='Listas suspensas'!$A$32,'Listas suspensas'!$B$22,IF(X498='Listas suspensas'!$A$33,'Listas suspensas'!$B$21,IF(X498='Listas suspensas'!$A$24,'Listas suspensas'!$B$22,IF(X498='Listas suspensas'!$A$25,'Listas suspensas'!$B$21,IF(X498='Listas suspensas'!$A$30,'Listas suspensas'!$B$21,"")))))))))</f>
        <v>6.5</v>
      </c>
      <c r="Z498" s="8" t="s">
        <v>80</v>
      </c>
      <c r="AA498" s="8">
        <v>3</v>
      </c>
      <c r="AB498" s="8" t="str">
        <f>IF(AA498='Listas suspensas'!$A$2,'Listas suspensas'!$B$2,IF(AA498='Listas suspensas'!$A$3,'Listas suspensas'!$B$3,IF(AA498='Listas suspensas'!$A$4,'Listas suspensas'!$B$4,IF(AA498='Listas suspensas'!$A$5,'Listas suspensas'!$B$5,IF(AA498='Listas suspensas'!$A$6,'Listas suspensas'!$B$6,"")))))</f>
        <v xml:space="preserve"> Parcial e regular</v>
      </c>
      <c r="AC498" s="8" t="str">
        <f>IF(AA498='Listas suspensas'!$A$2,'Listas suspensas'!$C$2,IF(AA498='Listas suspensas'!$A$3,'Listas suspensas'!$C$3,IF(AA498='Listas suspensas'!$A$4,'Listas suspensas'!$C$4,IF(AA498='Listas suspensas'!$A$5,'Listas suspensas'!$C$5,IF(AA498='Listas suspensas'!$A$6,'Listas suspensas'!$C$6,"")))))</f>
        <v>Indica a penetração uniforme, mas não total pela extensão do alburno.</v>
      </c>
      <c r="AD498" s="8" t="str">
        <f>IF(AB498='Listas suspensas'!$A$2,'Listas suspensas'!$C$2,IF(AB498='Listas suspensas'!$A$3,'Listas suspensas'!$C$3,IF(AB498='Listas suspensas'!$A$4,'Listas suspensas'!$C$4,IF(AB498='Listas suspensas'!$A$5,'Listas suspensas'!$C$5,IF(AB498='Listas suspensas'!$A$6,'Listas suspensas'!$C$6,"")))))</f>
        <v/>
      </c>
      <c r="AE498" s="8" t="str">
        <f>IF(AC498='Listas suspensas'!$A$2,'Listas suspensas'!$C$2,IF(AC498='Listas suspensas'!$A$3,'Listas suspensas'!$C$3,IF(AC498='Listas suspensas'!$A$4,'Listas suspensas'!$C$4,IF(AC498='Listas suspensas'!$A$5,'Listas suspensas'!$C$5,IF(AC498='Listas suspensas'!$A$6,'Listas suspensas'!$C$6,"")))))</f>
        <v/>
      </c>
      <c r="AF498" s="8" t="str">
        <f>IF(AD498='Listas suspensas'!$A$2,'Listas suspensas'!$C$2,IF(AD498='Listas suspensas'!$A$3,'Listas suspensas'!$C$3,IF(AD498='Listas suspensas'!$A$4,'Listas suspensas'!$C$4,IF(AD498='Listas suspensas'!$A$5,'Listas suspensas'!$C$5,IF(AD498='Listas suspensas'!$A$6,'Listas suspensas'!$C$6,"")))))</f>
        <v/>
      </c>
      <c r="AG498" s="8" t="str">
        <f>IF(AE498='Listas suspensas'!$A$2,'Listas suspensas'!$C$2,IF(AE498='Listas suspensas'!$A$3,'Listas suspensas'!$C$3,IF(AE498='Listas suspensas'!$A$4,'Listas suspensas'!$C$4,IF(AE498='Listas suspensas'!$A$5,'Listas suspensas'!$C$5,IF(AE498='Listas suspensas'!$A$6,'Listas suspensas'!$C$6,"")))))</f>
        <v/>
      </c>
      <c r="AH498" s="8" t="str">
        <f>IF(AF498='Listas suspensas'!$A$2,'Listas suspensas'!$C$2,IF(AF498='Listas suspensas'!$A$3,'Listas suspensas'!$C$3,IF(AF498='Listas suspensas'!$A$4,'Listas suspensas'!$C$4,IF(AF498='Listas suspensas'!$A$5,'Listas suspensas'!$C$5,IF(AF498='Listas suspensas'!$A$6,'Listas suspensas'!$C$6,"")))))</f>
        <v/>
      </c>
      <c r="AI498" s="8" t="str">
        <f>IF(AG498='Listas suspensas'!$A$2,'Listas suspensas'!$C$2,IF(AG498='Listas suspensas'!$A$3,'Listas suspensas'!$C$3,IF(AG498='Listas suspensas'!$A$4,'Listas suspensas'!$C$4,IF(AG498='Listas suspensas'!$A$5,'Listas suspensas'!$C$5,IF(AG498='Listas suspensas'!$A$6,'Listas suspensas'!$C$6,"")))))</f>
        <v/>
      </c>
      <c r="AJ498" s="8" t="str">
        <f>IF(AH498='Listas suspensas'!$A$2,'Listas suspensas'!$C$2,IF(AH498='Listas suspensas'!$A$3,'Listas suspensas'!$C$3,IF(AH498='Listas suspensas'!$A$4,'Listas suspensas'!$C$4,IF(AH498='Listas suspensas'!$A$5,'Listas suspensas'!$C$5,IF(AH498='Listas suspensas'!$A$6,'Listas suspensas'!$C$6,"")))))</f>
        <v/>
      </c>
      <c r="AK498" s="8" t="str">
        <f>IF(AI498='Listas suspensas'!$A$2,'Listas suspensas'!$C$2,IF(AI498='Listas suspensas'!$A$3,'Listas suspensas'!$C$3,IF(AI498='Listas suspensas'!$A$4,'Listas suspensas'!$C$4,IF(AI498='Listas suspensas'!$A$5,'Listas suspensas'!$C$5,IF(AI498='Listas suspensas'!$A$6,'Listas suspensas'!$C$6,"")))))</f>
        <v/>
      </c>
      <c r="AL498" s="8" t="str">
        <f>IF(AJ498='Listas suspensas'!$A$2,'Listas suspensas'!$C$2,IF(AJ498='Listas suspensas'!$A$3,'Listas suspensas'!$C$3,IF(AJ498='Listas suspensas'!$A$4,'Listas suspensas'!$C$4,IF(AJ498='Listas suspensas'!$A$5,'Listas suspensas'!$C$5,IF(AJ498='Listas suspensas'!$A$6,'Listas suspensas'!$C$6,"")))))</f>
        <v/>
      </c>
      <c r="AM498" s="8" t="str">
        <f>IF(AK498='Listas suspensas'!$A$2,'Listas suspensas'!$C$2,IF(AK498='Listas suspensas'!$A$3,'Listas suspensas'!$C$3,IF(AK498='Listas suspensas'!$A$4,'Listas suspensas'!$C$4,IF(AK498='Listas suspensas'!$A$5,'Listas suspensas'!$C$5,IF(AK498='Listas suspensas'!$A$6,'Listas suspensas'!$C$6,"")))))</f>
        <v/>
      </c>
      <c r="AN498" s="8" t="str">
        <f>IF(AL498='Listas suspensas'!$A$2,'Listas suspensas'!$C$2,IF(AL498='Listas suspensas'!$A$3,'Listas suspensas'!$C$3,IF(AL498='Listas suspensas'!$A$4,'Listas suspensas'!$C$4,IF(AL498='Listas suspensas'!$A$5,'Listas suspensas'!$C$5,IF(AL498='Listas suspensas'!$A$6,'Listas suspensas'!$C$6,"")))))</f>
        <v/>
      </c>
      <c r="AO498" s="8" t="str">
        <f>IF(AM498='Listas suspensas'!$A$2,'Listas suspensas'!$C$2,IF(AM498='Listas suspensas'!$A$3,'Listas suspensas'!$C$3,IF(AM498='Listas suspensas'!$A$4,'Listas suspensas'!$C$4,IF(AM498='Listas suspensas'!$A$5,'Listas suspensas'!$C$5,IF(AM498='Listas suspensas'!$A$6,'Listas suspensas'!$C$6,"")))))</f>
        <v/>
      </c>
      <c r="AP498" s="8" t="str">
        <f>IF(AN498='Listas suspensas'!$A$2,'Listas suspensas'!$C$2,IF(AN498='Listas suspensas'!$A$3,'Listas suspensas'!$C$3,IF(AN498='Listas suspensas'!$A$4,'Listas suspensas'!$C$4,IF(AN498='Listas suspensas'!$A$5,'Listas suspensas'!$C$5,IF(AN498='Listas suspensas'!$A$6,'Listas suspensas'!$C$6,"")))))</f>
        <v/>
      </c>
      <c r="AQ498" s="8" t="str">
        <f>IF(AO498='Listas suspensas'!$A$2,'Listas suspensas'!$C$2,IF(AO498='Listas suspensas'!$A$3,'Listas suspensas'!$C$3,IF(AO498='Listas suspensas'!$A$4,'Listas suspensas'!$C$4,IF(AO498='Listas suspensas'!$A$5,'Listas suspensas'!$C$5,IF(AO498='Listas suspensas'!$A$6,'Listas suspensas'!$C$6,"")))))</f>
        <v/>
      </c>
      <c r="AR498" s="8" t="str">
        <f>IF(AP498='Listas suspensas'!$A$2,'Listas suspensas'!$C$2,IF(AP498='Listas suspensas'!$A$3,'Listas suspensas'!$C$3,IF(AP498='Listas suspensas'!$A$4,'Listas suspensas'!$C$4,IF(AP498='Listas suspensas'!$A$5,'Listas suspensas'!$C$5,IF(AP498='Listas suspensas'!$A$6,'Listas suspensas'!$C$6,"")))))</f>
        <v/>
      </c>
      <c r="AS498" s="8" t="str">
        <f>IF(AQ498='Listas suspensas'!$A$2,'Listas suspensas'!$C$2,IF(AQ498='Listas suspensas'!$A$3,'Listas suspensas'!$C$3,IF(AQ498='Listas suspensas'!$A$4,'Listas suspensas'!$C$4,IF(AQ498='Listas suspensas'!$A$5,'Listas suspensas'!$C$5,IF(AQ498='Listas suspensas'!$A$6,'Listas suspensas'!$C$6,"")))))</f>
        <v/>
      </c>
      <c r="AT498" s="8" t="str">
        <f>IF(AR498='Listas suspensas'!$A$2,'Listas suspensas'!$C$2,IF(AR498='Listas suspensas'!$A$3,'Listas suspensas'!$C$3,IF(AR498='Listas suspensas'!$A$4,'Listas suspensas'!$C$4,IF(AR498='Listas suspensas'!$A$5,'Listas suspensas'!$C$5,IF(AR498='Listas suspensas'!$A$6,'Listas suspensas'!$C$6,"")))))</f>
        <v/>
      </c>
      <c r="AU498" s="8" t="str">
        <f>IF(AS498='Listas suspensas'!$A$2,'Listas suspensas'!$C$2,IF(AS498='Listas suspensas'!$A$3,'Listas suspensas'!$C$3,IF(AS498='Listas suspensas'!$A$4,'Listas suspensas'!$C$4,IF(AS498='Listas suspensas'!$A$5,'Listas suspensas'!$C$5,IF(AS498='Listas suspensas'!$A$6,'Listas suspensas'!$C$6,"")))))</f>
        <v/>
      </c>
      <c r="AV498" s="8" t="str">
        <f>IF(AT498='Listas suspensas'!$A$2,'Listas suspensas'!$C$2,IF(AT498='Listas suspensas'!$A$3,'Listas suspensas'!$C$3,IF(AT498='Listas suspensas'!$A$4,'Listas suspensas'!$C$4,IF(AT498='Listas suspensas'!$A$5,'Listas suspensas'!$C$5,IF(AT498='Listas suspensas'!$A$6,'Listas suspensas'!$C$6,"")))))</f>
        <v/>
      </c>
      <c r="AW498" s="8" t="str">
        <f>IF(AU498='Listas suspensas'!$A$2,'Listas suspensas'!$C$2,IF(AU498='Listas suspensas'!$A$3,'Listas suspensas'!$C$3,IF(AU498='Listas suspensas'!$A$4,'Listas suspensas'!$C$4,IF(AU498='Listas suspensas'!$A$5,'Listas suspensas'!$C$5,IF(AU498='Listas suspensas'!$A$6,'Listas suspensas'!$C$6,"")))))</f>
        <v/>
      </c>
      <c r="AX498" s="8" t="str">
        <f>IF(AV498='Listas suspensas'!$A$2,'Listas suspensas'!$C$2,IF(AV498='Listas suspensas'!$A$3,'Listas suspensas'!$C$3,IF(AV498='Listas suspensas'!$A$4,'Listas suspensas'!$C$4,IF(AV498='Listas suspensas'!$A$5,'Listas suspensas'!$C$5,IF(AV498='Listas suspensas'!$A$6,'Listas suspensas'!$C$6,"")))))</f>
        <v/>
      </c>
      <c r="AY498" s="8" t="str">
        <f>IF(AW498='Listas suspensas'!$A$2,'Listas suspensas'!$C$2,IF(AW498='Listas suspensas'!$A$3,'Listas suspensas'!$C$3,IF(AW498='Listas suspensas'!$A$4,'Listas suspensas'!$C$4,IF(AW498='Listas suspensas'!$A$5,'Listas suspensas'!$C$5,IF(AW498='Listas suspensas'!$A$6,'Listas suspensas'!$C$6,"")))))</f>
        <v/>
      </c>
      <c r="AZ498" s="8" t="str">
        <f>IF(AX498='Listas suspensas'!$A$2,'Listas suspensas'!$C$2,IF(AX498='Listas suspensas'!$A$3,'Listas suspensas'!$C$3,IF(AX498='Listas suspensas'!$A$4,'Listas suspensas'!$C$4,IF(AX498='Listas suspensas'!$A$5,'Listas suspensas'!$C$5,IF(AX498='Listas suspensas'!$A$6,'Listas suspensas'!$C$6,"")))))</f>
        <v/>
      </c>
      <c r="BA498" s="8" t="str">
        <f>IF(AY498='Listas suspensas'!$A$2,'Listas suspensas'!$C$2,IF(AY498='Listas suspensas'!$A$3,'Listas suspensas'!$C$3,IF(AY498='Listas suspensas'!$A$4,'Listas suspensas'!$C$4,IF(AY498='Listas suspensas'!$A$5,'Listas suspensas'!$C$5,IF(AY498='Listas suspensas'!$A$6,'Listas suspensas'!$C$6,"")))))</f>
        <v/>
      </c>
      <c r="BB498" s="8" t="str">
        <f>IF(AZ498='Listas suspensas'!$A$2,'Listas suspensas'!$C$2,IF(AZ498='Listas suspensas'!$A$3,'Listas suspensas'!$C$3,IF(AZ498='Listas suspensas'!$A$4,'Listas suspensas'!$C$4,IF(AZ498='Listas suspensas'!$A$5,'Listas suspensas'!$C$5,IF(AZ498='Listas suspensas'!$A$6,'Listas suspensas'!$C$6,"")))))</f>
        <v/>
      </c>
      <c r="BC498" s="8" t="str">
        <f>IF(BA498='Listas suspensas'!$A$2,'Listas suspensas'!$C$2,IF(BA498='Listas suspensas'!$A$3,'Listas suspensas'!$C$3,IF(BA498='Listas suspensas'!$A$4,'Listas suspensas'!$C$4,IF(BA498='Listas suspensas'!$A$5,'Listas suspensas'!$C$5,IF(BA498='Listas suspensas'!$A$6,'Listas suspensas'!$C$6,"")))))</f>
        <v/>
      </c>
      <c r="BD498" s="13">
        <v>0.59199999999999997</v>
      </c>
      <c r="BE498" s="18">
        <f t="shared" si="85"/>
        <v>592</v>
      </c>
      <c r="BF498" s="8">
        <v>0.308</v>
      </c>
      <c r="BG498" s="8">
        <v>0.158</v>
      </c>
      <c r="BH498" s="8">
        <v>0.29499999999999998</v>
      </c>
      <c r="BI498" s="13">
        <f t="shared" si="86"/>
        <v>0.7609999999999999</v>
      </c>
      <c r="BJ498" s="14">
        <v>40.5</v>
      </c>
      <c r="BK498" s="14">
        <v>20.7</v>
      </c>
      <c r="BL498" s="14">
        <v>38.799999999999997</v>
      </c>
      <c r="BM498" s="16">
        <f t="shared" si="87"/>
        <v>100</v>
      </c>
      <c r="BN498" s="21">
        <f t="shared" si="88"/>
        <v>1.82</v>
      </c>
      <c r="BO498" s="21">
        <f t="shared" si="89"/>
        <v>0.94</v>
      </c>
      <c r="BP498" s="21">
        <f t="shared" si="90"/>
        <v>1.75</v>
      </c>
      <c r="BQ498" s="14">
        <f t="shared" si="91"/>
        <v>4.51</v>
      </c>
      <c r="BR498" s="22" t="str">
        <f>IF(OR(AND(X498="Mourões", BQ498&gt;=6.5),AND(X498="Postes", BQ498&gt;=9.6),AND(X498="Dormentes", BQ498&gt;=9.6),AND(X498="Estacas - Solo", BQ498&gt;=6.5),AND(X498="Estacas - Suspenso", BQ498&gt;=4),AND(X498="Cruzetas", BQ498&gt;=6.5),AND(X498="Outros - Solo", BQ498&gt;=6.5),AND(X498="Outros - Suspenso",BQ498&gt;=4),AND(X498="Deck",BQ498&gt;=4)),'Listas suspensas'!$C$21,'Listas suspensas'!$C$22)</f>
        <v>Os resultados da análise química apresentaram uma retenção do produto inferior ao padrão mínimo exigido pela norma ABNT NBR 16143</v>
      </c>
    </row>
    <row r="499" spans="2:70" x14ac:dyDescent="0.25">
      <c r="B499" s="8" t="s">
        <v>1147</v>
      </c>
      <c r="C499" s="8" t="s">
        <v>71</v>
      </c>
      <c r="F499" s="11">
        <v>45974</v>
      </c>
      <c r="G499" s="11">
        <v>45978</v>
      </c>
      <c r="H499" s="11">
        <v>45989</v>
      </c>
      <c r="I499" s="8" t="s">
        <v>1548</v>
      </c>
      <c r="J499" s="8" t="s">
        <v>1549</v>
      </c>
      <c r="K499" s="8" t="s">
        <v>144</v>
      </c>
      <c r="L499" s="8" t="s">
        <v>15</v>
      </c>
      <c r="M499" s="30" t="s">
        <v>1430</v>
      </c>
      <c r="N499" s="8" t="s">
        <v>1165</v>
      </c>
      <c r="P499" s="28" t="s">
        <v>146</v>
      </c>
      <c r="Q499" s="16" t="s">
        <v>1552</v>
      </c>
      <c r="X499" s="8" t="s">
        <v>101</v>
      </c>
      <c r="Y499" s="34">
        <f>IF(X499='Listas suspensas'!$A$21,'Listas suspensas'!$B$23,IF(X499='Listas suspensas'!$A$22,'Listas suspensas'!$B$23,IF(X499='Listas suspensas'!$A$23,'Listas suspensas'!$B$22,IF(X499='Listas suspensas'!$A$26,'Listas suspensas'!$B$22,IF(X499='Listas suspensas'!$A$32,'Listas suspensas'!$B$22,IF(X499='Listas suspensas'!$A$33,'Listas suspensas'!$B$21,IF(X499='Listas suspensas'!$A$24,'Listas suspensas'!$B$22,IF(X499='Listas suspensas'!$A$25,'Listas suspensas'!$B$21,IF(X499='Listas suspensas'!$A$30,'Listas suspensas'!$B$21,"")))))))))</f>
        <v>6.5</v>
      </c>
      <c r="Z499" s="8" t="s">
        <v>80</v>
      </c>
      <c r="AA499" s="8">
        <v>3</v>
      </c>
      <c r="AB499" s="8" t="str">
        <f>IF(AA499='Listas suspensas'!$A$2,'Listas suspensas'!$B$2,IF(AA499='Listas suspensas'!$A$3,'Listas suspensas'!$B$3,IF(AA499='Listas suspensas'!$A$4,'Listas suspensas'!$B$4,IF(AA499='Listas suspensas'!$A$5,'Listas suspensas'!$B$5,IF(AA499='Listas suspensas'!$A$6,'Listas suspensas'!$B$6,"")))))</f>
        <v xml:space="preserve"> Parcial e regular</v>
      </c>
      <c r="AC499" s="8" t="str">
        <f>IF(AA499='Listas suspensas'!$A$2,'Listas suspensas'!$C$2,IF(AA499='Listas suspensas'!$A$3,'Listas suspensas'!$C$3,IF(AA499='Listas suspensas'!$A$4,'Listas suspensas'!$C$4,IF(AA499='Listas suspensas'!$A$5,'Listas suspensas'!$C$5,IF(AA499='Listas suspensas'!$A$6,'Listas suspensas'!$C$6,"")))))</f>
        <v>Indica a penetração uniforme, mas não total pela extensão do alburno.</v>
      </c>
      <c r="AD499" s="8" t="str">
        <f>IF(AB499='Listas suspensas'!$A$2,'Listas suspensas'!$C$2,IF(AB499='Listas suspensas'!$A$3,'Listas suspensas'!$C$3,IF(AB499='Listas suspensas'!$A$4,'Listas suspensas'!$C$4,IF(AB499='Listas suspensas'!$A$5,'Listas suspensas'!$C$5,IF(AB499='Listas suspensas'!$A$6,'Listas suspensas'!$C$6,"")))))</f>
        <v/>
      </c>
      <c r="AE499" s="8" t="str">
        <f>IF(AC499='Listas suspensas'!$A$2,'Listas suspensas'!$C$2,IF(AC499='Listas suspensas'!$A$3,'Listas suspensas'!$C$3,IF(AC499='Listas suspensas'!$A$4,'Listas suspensas'!$C$4,IF(AC499='Listas suspensas'!$A$5,'Listas suspensas'!$C$5,IF(AC499='Listas suspensas'!$A$6,'Listas suspensas'!$C$6,"")))))</f>
        <v/>
      </c>
      <c r="AF499" s="8" t="str">
        <f>IF(AD499='Listas suspensas'!$A$2,'Listas suspensas'!$C$2,IF(AD499='Listas suspensas'!$A$3,'Listas suspensas'!$C$3,IF(AD499='Listas suspensas'!$A$4,'Listas suspensas'!$C$4,IF(AD499='Listas suspensas'!$A$5,'Listas suspensas'!$C$5,IF(AD499='Listas suspensas'!$A$6,'Listas suspensas'!$C$6,"")))))</f>
        <v/>
      </c>
      <c r="AG499" s="8" t="str">
        <f>IF(AE499='Listas suspensas'!$A$2,'Listas suspensas'!$C$2,IF(AE499='Listas suspensas'!$A$3,'Listas suspensas'!$C$3,IF(AE499='Listas suspensas'!$A$4,'Listas suspensas'!$C$4,IF(AE499='Listas suspensas'!$A$5,'Listas suspensas'!$C$5,IF(AE499='Listas suspensas'!$A$6,'Listas suspensas'!$C$6,"")))))</f>
        <v/>
      </c>
      <c r="AH499" s="8" t="str">
        <f>IF(AF499='Listas suspensas'!$A$2,'Listas suspensas'!$C$2,IF(AF499='Listas suspensas'!$A$3,'Listas suspensas'!$C$3,IF(AF499='Listas suspensas'!$A$4,'Listas suspensas'!$C$4,IF(AF499='Listas suspensas'!$A$5,'Listas suspensas'!$C$5,IF(AF499='Listas suspensas'!$A$6,'Listas suspensas'!$C$6,"")))))</f>
        <v/>
      </c>
      <c r="AI499" s="8" t="str">
        <f>IF(AG499='Listas suspensas'!$A$2,'Listas suspensas'!$C$2,IF(AG499='Listas suspensas'!$A$3,'Listas suspensas'!$C$3,IF(AG499='Listas suspensas'!$A$4,'Listas suspensas'!$C$4,IF(AG499='Listas suspensas'!$A$5,'Listas suspensas'!$C$5,IF(AG499='Listas suspensas'!$A$6,'Listas suspensas'!$C$6,"")))))</f>
        <v/>
      </c>
      <c r="AJ499" s="8" t="str">
        <f>IF(AH499='Listas suspensas'!$A$2,'Listas suspensas'!$C$2,IF(AH499='Listas suspensas'!$A$3,'Listas suspensas'!$C$3,IF(AH499='Listas suspensas'!$A$4,'Listas suspensas'!$C$4,IF(AH499='Listas suspensas'!$A$5,'Listas suspensas'!$C$5,IF(AH499='Listas suspensas'!$A$6,'Listas suspensas'!$C$6,"")))))</f>
        <v/>
      </c>
      <c r="AK499" s="8" t="str">
        <f>IF(AI499='Listas suspensas'!$A$2,'Listas suspensas'!$C$2,IF(AI499='Listas suspensas'!$A$3,'Listas suspensas'!$C$3,IF(AI499='Listas suspensas'!$A$4,'Listas suspensas'!$C$4,IF(AI499='Listas suspensas'!$A$5,'Listas suspensas'!$C$5,IF(AI499='Listas suspensas'!$A$6,'Listas suspensas'!$C$6,"")))))</f>
        <v/>
      </c>
      <c r="AL499" s="8" t="str">
        <f>IF(AJ499='Listas suspensas'!$A$2,'Listas suspensas'!$C$2,IF(AJ499='Listas suspensas'!$A$3,'Listas suspensas'!$C$3,IF(AJ499='Listas suspensas'!$A$4,'Listas suspensas'!$C$4,IF(AJ499='Listas suspensas'!$A$5,'Listas suspensas'!$C$5,IF(AJ499='Listas suspensas'!$A$6,'Listas suspensas'!$C$6,"")))))</f>
        <v/>
      </c>
      <c r="AM499" s="8" t="str">
        <f>IF(AK499='Listas suspensas'!$A$2,'Listas suspensas'!$C$2,IF(AK499='Listas suspensas'!$A$3,'Listas suspensas'!$C$3,IF(AK499='Listas suspensas'!$A$4,'Listas suspensas'!$C$4,IF(AK499='Listas suspensas'!$A$5,'Listas suspensas'!$C$5,IF(AK499='Listas suspensas'!$A$6,'Listas suspensas'!$C$6,"")))))</f>
        <v/>
      </c>
      <c r="AN499" s="8" t="str">
        <f>IF(AL499='Listas suspensas'!$A$2,'Listas suspensas'!$C$2,IF(AL499='Listas suspensas'!$A$3,'Listas suspensas'!$C$3,IF(AL499='Listas suspensas'!$A$4,'Listas suspensas'!$C$4,IF(AL499='Listas suspensas'!$A$5,'Listas suspensas'!$C$5,IF(AL499='Listas suspensas'!$A$6,'Listas suspensas'!$C$6,"")))))</f>
        <v/>
      </c>
      <c r="AO499" s="8" t="str">
        <f>IF(AM499='Listas suspensas'!$A$2,'Listas suspensas'!$C$2,IF(AM499='Listas suspensas'!$A$3,'Listas suspensas'!$C$3,IF(AM499='Listas suspensas'!$A$4,'Listas suspensas'!$C$4,IF(AM499='Listas suspensas'!$A$5,'Listas suspensas'!$C$5,IF(AM499='Listas suspensas'!$A$6,'Listas suspensas'!$C$6,"")))))</f>
        <v/>
      </c>
      <c r="AP499" s="8" t="str">
        <f>IF(AN499='Listas suspensas'!$A$2,'Listas suspensas'!$C$2,IF(AN499='Listas suspensas'!$A$3,'Listas suspensas'!$C$3,IF(AN499='Listas suspensas'!$A$4,'Listas suspensas'!$C$4,IF(AN499='Listas suspensas'!$A$5,'Listas suspensas'!$C$5,IF(AN499='Listas suspensas'!$A$6,'Listas suspensas'!$C$6,"")))))</f>
        <v/>
      </c>
      <c r="AQ499" s="8" t="str">
        <f>IF(AO499='Listas suspensas'!$A$2,'Listas suspensas'!$C$2,IF(AO499='Listas suspensas'!$A$3,'Listas suspensas'!$C$3,IF(AO499='Listas suspensas'!$A$4,'Listas suspensas'!$C$4,IF(AO499='Listas suspensas'!$A$5,'Listas suspensas'!$C$5,IF(AO499='Listas suspensas'!$A$6,'Listas suspensas'!$C$6,"")))))</f>
        <v/>
      </c>
      <c r="AR499" s="8" t="str">
        <f>IF(AP499='Listas suspensas'!$A$2,'Listas suspensas'!$C$2,IF(AP499='Listas suspensas'!$A$3,'Listas suspensas'!$C$3,IF(AP499='Listas suspensas'!$A$4,'Listas suspensas'!$C$4,IF(AP499='Listas suspensas'!$A$5,'Listas suspensas'!$C$5,IF(AP499='Listas suspensas'!$A$6,'Listas suspensas'!$C$6,"")))))</f>
        <v/>
      </c>
      <c r="AS499" s="8" t="str">
        <f>IF(AQ499='Listas suspensas'!$A$2,'Listas suspensas'!$C$2,IF(AQ499='Listas suspensas'!$A$3,'Listas suspensas'!$C$3,IF(AQ499='Listas suspensas'!$A$4,'Listas suspensas'!$C$4,IF(AQ499='Listas suspensas'!$A$5,'Listas suspensas'!$C$5,IF(AQ499='Listas suspensas'!$A$6,'Listas suspensas'!$C$6,"")))))</f>
        <v/>
      </c>
      <c r="AT499" s="8" t="str">
        <f>IF(AR499='Listas suspensas'!$A$2,'Listas suspensas'!$C$2,IF(AR499='Listas suspensas'!$A$3,'Listas suspensas'!$C$3,IF(AR499='Listas suspensas'!$A$4,'Listas suspensas'!$C$4,IF(AR499='Listas suspensas'!$A$5,'Listas suspensas'!$C$5,IF(AR499='Listas suspensas'!$A$6,'Listas suspensas'!$C$6,"")))))</f>
        <v/>
      </c>
      <c r="AU499" s="8" t="str">
        <f>IF(AS499='Listas suspensas'!$A$2,'Listas suspensas'!$C$2,IF(AS499='Listas suspensas'!$A$3,'Listas suspensas'!$C$3,IF(AS499='Listas suspensas'!$A$4,'Listas suspensas'!$C$4,IF(AS499='Listas suspensas'!$A$5,'Listas suspensas'!$C$5,IF(AS499='Listas suspensas'!$A$6,'Listas suspensas'!$C$6,"")))))</f>
        <v/>
      </c>
      <c r="AV499" s="8" t="str">
        <f>IF(AT499='Listas suspensas'!$A$2,'Listas suspensas'!$C$2,IF(AT499='Listas suspensas'!$A$3,'Listas suspensas'!$C$3,IF(AT499='Listas suspensas'!$A$4,'Listas suspensas'!$C$4,IF(AT499='Listas suspensas'!$A$5,'Listas suspensas'!$C$5,IF(AT499='Listas suspensas'!$A$6,'Listas suspensas'!$C$6,"")))))</f>
        <v/>
      </c>
      <c r="AW499" s="8" t="str">
        <f>IF(AU499='Listas suspensas'!$A$2,'Listas suspensas'!$C$2,IF(AU499='Listas suspensas'!$A$3,'Listas suspensas'!$C$3,IF(AU499='Listas suspensas'!$A$4,'Listas suspensas'!$C$4,IF(AU499='Listas suspensas'!$A$5,'Listas suspensas'!$C$5,IF(AU499='Listas suspensas'!$A$6,'Listas suspensas'!$C$6,"")))))</f>
        <v/>
      </c>
      <c r="AX499" s="8" t="str">
        <f>IF(AV499='Listas suspensas'!$A$2,'Listas suspensas'!$C$2,IF(AV499='Listas suspensas'!$A$3,'Listas suspensas'!$C$3,IF(AV499='Listas suspensas'!$A$4,'Listas suspensas'!$C$4,IF(AV499='Listas suspensas'!$A$5,'Listas suspensas'!$C$5,IF(AV499='Listas suspensas'!$A$6,'Listas suspensas'!$C$6,"")))))</f>
        <v/>
      </c>
      <c r="AY499" s="8" t="str">
        <f>IF(AW499='Listas suspensas'!$A$2,'Listas suspensas'!$C$2,IF(AW499='Listas suspensas'!$A$3,'Listas suspensas'!$C$3,IF(AW499='Listas suspensas'!$A$4,'Listas suspensas'!$C$4,IF(AW499='Listas suspensas'!$A$5,'Listas suspensas'!$C$5,IF(AW499='Listas suspensas'!$A$6,'Listas suspensas'!$C$6,"")))))</f>
        <v/>
      </c>
      <c r="AZ499" s="8" t="str">
        <f>IF(AX499='Listas suspensas'!$A$2,'Listas suspensas'!$C$2,IF(AX499='Listas suspensas'!$A$3,'Listas suspensas'!$C$3,IF(AX499='Listas suspensas'!$A$4,'Listas suspensas'!$C$4,IF(AX499='Listas suspensas'!$A$5,'Listas suspensas'!$C$5,IF(AX499='Listas suspensas'!$A$6,'Listas suspensas'!$C$6,"")))))</f>
        <v/>
      </c>
      <c r="BA499" s="8" t="str">
        <f>IF(AY499='Listas suspensas'!$A$2,'Listas suspensas'!$C$2,IF(AY499='Listas suspensas'!$A$3,'Listas suspensas'!$C$3,IF(AY499='Listas suspensas'!$A$4,'Listas suspensas'!$C$4,IF(AY499='Listas suspensas'!$A$5,'Listas suspensas'!$C$5,IF(AY499='Listas suspensas'!$A$6,'Listas suspensas'!$C$6,"")))))</f>
        <v/>
      </c>
      <c r="BB499" s="8" t="str">
        <f>IF(AZ499='Listas suspensas'!$A$2,'Listas suspensas'!$C$2,IF(AZ499='Listas suspensas'!$A$3,'Listas suspensas'!$C$3,IF(AZ499='Listas suspensas'!$A$4,'Listas suspensas'!$C$4,IF(AZ499='Listas suspensas'!$A$5,'Listas suspensas'!$C$5,IF(AZ499='Listas suspensas'!$A$6,'Listas suspensas'!$C$6,"")))))</f>
        <v/>
      </c>
      <c r="BC499" s="8" t="str">
        <f>IF(BA499='Listas suspensas'!$A$2,'Listas suspensas'!$C$2,IF(BA499='Listas suspensas'!$A$3,'Listas suspensas'!$C$3,IF(BA499='Listas suspensas'!$A$4,'Listas suspensas'!$C$4,IF(BA499='Listas suspensas'!$A$5,'Listas suspensas'!$C$5,IF(BA499='Listas suspensas'!$A$6,'Listas suspensas'!$C$6,"")))))</f>
        <v/>
      </c>
      <c r="BD499" s="13">
        <v>0.59399999999999997</v>
      </c>
      <c r="BE499" s="18">
        <f t="shared" si="85"/>
        <v>594</v>
      </c>
      <c r="BF499" s="8">
        <v>0.39400000000000002</v>
      </c>
      <c r="BG499" s="8">
        <v>0.17399999999999999</v>
      </c>
      <c r="BH499" s="8">
        <v>0.29899999999999999</v>
      </c>
      <c r="BI499" s="13">
        <f t="shared" si="86"/>
        <v>0.86699999999999999</v>
      </c>
      <c r="BJ499" s="14">
        <v>45.5</v>
      </c>
      <c r="BK499" s="14">
        <v>20</v>
      </c>
      <c r="BL499" s="14">
        <v>34.5</v>
      </c>
      <c r="BM499" s="16">
        <f t="shared" si="87"/>
        <v>100</v>
      </c>
      <c r="BN499" s="21">
        <f t="shared" si="88"/>
        <v>2.34</v>
      </c>
      <c r="BO499" s="21">
        <f t="shared" si="89"/>
        <v>1.03</v>
      </c>
      <c r="BP499" s="21">
        <f t="shared" si="90"/>
        <v>1.78</v>
      </c>
      <c r="BQ499" s="14">
        <f t="shared" si="91"/>
        <v>5.15</v>
      </c>
      <c r="BR499" s="22" t="str">
        <f>IF(OR(AND(X499="Mourões", BQ499&gt;=6.5),AND(X499="Postes", BQ499&gt;=9.6),AND(X499="Dormentes", BQ499&gt;=9.6),AND(X499="Estacas - Solo", BQ499&gt;=6.5),AND(X499="Estacas - Suspenso", BQ499&gt;=4),AND(X499="Cruzetas", BQ499&gt;=6.5),AND(X499="Outros - Solo", BQ499&gt;=6.5),AND(X499="Outros - Suspenso",BQ499&gt;=4),AND(X499="Deck",BQ499&gt;=4)),'Listas suspensas'!$C$21,'Listas suspensas'!$C$22)</f>
        <v>Os resultados da análise química apresentaram uma retenção do produto inferior ao padrão mínimo exigido pela norma ABNT NBR 16143</v>
      </c>
    </row>
    <row r="500" spans="2:70" x14ac:dyDescent="0.25">
      <c r="B500" s="8" t="s">
        <v>1148</v>
      </c>
      <c r="C500" s="8" t="s">
        <v>71</v>
      </c>
      <c r="F500" s="11">
        <v>45974</v>
      </c>
      <c r="G500" s="11">
        <v>45978</v>
      </c>
      <c r="H500" s="11">
        <v>45989</v>
      </c>
      <c r="I500" s="8" t="s">
        <v>1059</v>
      </c>
      <c r="J500" s="8" t="s">
        <v>1060</v>
      </c>
      <c r="K500" s="8" t="s">
        <v>619</v>
      </c>
      <c r="L500" s="8" t="s">
        <v>15</v>
      </c>
      <c r="M500" s="30" t="s">
        <v>1061</v>
      </c>
      <c r="N500" s="8" t="s">
        <v>1165</v>
      </c>
      <c r="O500" s="8" t="s">
        <v>94</v>
      </c>
      <c r="P500" s="28" t="s">
        <v>77</v>
      </c>
      <c r="Q500" s="16" t="s">
        <v>1553</v>
      </c>
      <c r="X500" s="8" t="s">
        <v>79</v>
      </c>
      <c r="Y500" s="34">
        <f>IF(X500='Listas suspensas'!$A$21,'Listas suspensas'!$B$23,IF(X500='Listas suspensas'!$A$22,'Listas suspensas'!$B$23,IF(X500='Listas suspensas'!$A$23,'Listas suspensas'!$B$22,IF(X500='Listas suspensas'!$A$26,'Listas suspensas'!$B$22,IF(X500='Listas suspensas'!$A$32,'Listas suspensas'!$B$22,IF(X500='Listas suspensas'!$A$33,'Listas suspensas'!$B$21,IF(X500='Listas suspensas'!$A$24,'Listas suspensas'!$B$22,IF(X500='Listas suspensas'!$A$25,'Listas suspensas'!$B$21,IF(X500='Listas suspensas'!$A$30,'Listas suspensas'!$B$21,"")))))))))</f>
        <v>6.5</v>
      </c>
      <c r="Z500" s="8" t="s">
        <v>80</v>
      </c>
      <c r="AA500" s="8">
        <v>1</v>
      </c>
      <c r="AB500" s="8" t="str">
        <f>IF(AA500='Listas suspensas'!$A$2,'Listas suspensas'!$B$2,IF(AA500='Listas suspensas'!$A$3,'Listas suspensas'!$B$3,IF(AA500='Listas suspensas'!$A$4,'Listas suspensas'!$B$4,IF(AA500='Listas suspensas'!$A$5,'Listas suspensas'!$B$5,IF(AA500='Listas suspensas'!$A$6,'Listas suspensas'!$B$6,"")))))</f>
        <v>Profunda e regular</v>
      </c>
      <c r="AC500" s="8" t="str">
        <f>IF(AA500='Listas suspensas'!$A$2,'Listas suspensas'!$C$2,IF(AA500='Listas suspensas'!$A$3,'Listas suspensas'!$C$3,IF(AA500='Listas suspensas'!$A$4,'Listas suspensas'!$C$4,IF(AA500='Listas suspensas'!$A$5,'Listas suspensas'!$C$5,IF(AA500='Listas suspensas'!$A$6,'Listas suspensas'!$C$6,"")))))</f>
        <v>Indica a penetração profunda e uniforme em toda a extensão do alburno.</v>
      </c>
      <c r="AD500" s="8" t="str">
        <f>IF(AB500='Listas suspensas'!$A$2,'Listas suspensas'!$C$2,IF(AB500='Listas suspensas'!$A$3,'Listas suspensas'!$C$3,IF(AB500='Listas suspensas'!$A$4,'Listas suspensas'!$C$4,IF(AB500='Listas suspensas'!$A$5,'Listas suspensas'!$C$5,IF(AB500='Listas suspensas'!$A$6,'Listas suspensas'!$C$6,"")))))</f>
        <v/>
      </c>
      <c r="AE500" s="8" t="str">
        <f>IF(AC500='Listas suspensas'!$A$2,'Listas suspensas'!$C$2,IF(AC500='Listas suspensas'!$A$3,'Listas suspensas'!$C$3,IF(AC500='Listas suspensas'!$A$4,'Listas suspensas'!$C$4,IF(AC500='Listas suspensas'!$A$5,'Listas suspensas'!$C$5,IF(AC500='Listas suspensas'!$A$6,'Listas suspensas'!$C$6,"")))))</f>
        <v/>
      </c>
      <c r="AF500" s="8" t="str">
        <f>IF(AD500='Listas suspensas'!$A$2,'Listas suspensas'!$C$2,IF(AD500='Listas suspensas'!$A$3,'Listas suspensas'!$C$3,IF(AD500='Listas suspensas'!$A$4,'Listas suspensas'!$C$4,IF(AD500='Listas suspensas'!$A$5,'Listas suspensas'!$C$5,IF(AD500='Listas suspensas'!$A$6,'Listas suspensas'!$C$6,"")))))</f>
        <v/>
      </c>
      <c r="AG500" s="8" t="str">
        <f>IF(AE500='Listas suspensas'!$A$2,'Listas suspensas'!$C$2,IF(AE500='Listas suspensas'!$A$3,'Listas suspensas'!$C$3,IF(AE500='Listas suspensas'!$A$4,'Listas suspensas'!$C$4,IF(AE500='Listas suspensas'!$A$5,'Listas suspensas'!$C$5,IF(AE500='Listas suspensas'!$A$6,'Listas suspensas'!$C$6,"")))))</f>
        <v/>
      </c>
      <c r="AH500" s="8" t="str">
        <f>IF(AF500='Listas suspensas'!$A$2,'Listas suspensas'!$C$2,IF(AF500='Listas suspensas'!$A$3,'Listas suspensas'!$C$3,IF(AF500='Listas suspensas'!$A$4,'Listas suspensas'!$C$4,IF(AF500='Listas suspensas'!$A$5,'Listas suspensas'!$C$5,IF(AF500='Listas suspensas'!$A$6,'Listas suspensas'!$C$6,"")))))</f>
        <v/>
      </c>
      <c r="AI500" s="8" t="str">
        <f>IF(AG500='Listas suspensas'!$A$2,'Listas suspensas'!$C$2,IF(AG500='Listas suspensas'!$A$3,'Listas suspensas'!$C$3,IF(AG500='Listas suspensas'!$A$4,'Listas suspensas'!$C$4,IF(AG500='Listas suspensas'!$A$5,'Listas suspensas'!$C$5,IF(AG500='Listas suspensas'!$A$6,'Listas suspensas'!$C$6,"")))))</f>
        <v/>
      </c>
      <c r="AJ500" s="8" t="str">
        <f>IF(AH500='Listas suspensas'!$A$2,'Listas suspensas'!$C$2,IF(AH500='Listas suspensas'!$A$3,'Listas suspensas'!$C$3,IF(AH500='Listas suspensas'!$A$4,'Listas suspensas'!$C$4,IF(AH500='Listas suspensas'!$A$5,'Listas suspensas'!$C$5,IF(AH500='Listas suspensas'!$A$6,'Listas suspensas'!$C$6,"")))))</f>
        <v/>
      </c>
      <c r="AK500" s="8" t="str">
        <f>IF(AI500='Listas suspensas'!$A$2,'Listas suspensas'!$C$2,IF(AI500='Listas suspensas'!$A$3,'Listas suspensas'!$C$3,IF(AI500='Listas suspensas'!$A$4,'Listas suspensas'!$C$4,IF(AI500='Listas suspensas'!$A$5,'Listas suspensas'!$C$5,IF(AI500='Listas suspensas'!$A$6,'Listas suspensas'!$C$6,"")))))</f>
        <v/>
      </c>
      <c r="AL500" s="8" t="str">
        <f>IF(AJ500='Listas suspensas'!$A$2,'Listas suspensas'!$C$2,IF(AJ500='Listas suspensas'!$A$3,'Listas suspensas'!$C$3,IF(AJ500='Listas suspensas'!$A$4,'Listas suspensas'!$C$4,IF(AJ500='Listas suspensas'!$A$5,'Listas suspensas'!$C$5,IF(AJ500='Listas suspensas'!$A$6,'Listas suspensas'!$C$6,"")))))</f>
        <v/>
      </c>
      <c r="AM500" s="8" t="str">
        <f>IF(AK500='Listas suspensas'!$A$2,'Listas suspensas'!$C$2,IF(AK500='Listas suspensas'!$A$3,'Listas suspensas'!$C$3,IF(AK500='Listas suspensas'!$A$4,'Listas suspensas'!$C$4,IF(AK500='Listas suspensas'!$A$5,'Listas suspensas'!$C$5,IF(AK500='Listas suspensas'!$A$6,'Listas suspensas'!$C$6,"")))))</f>
        <v/>
      </c>
      <c r="AN500" s="8" t="str">
        <f>IF(AL500='Listas suspensas'!$A$2,'Listas suspensas'!$C$2,IF(AL500='Listas suspensas'!$A$3,'Listas suspensas'!$C$3,IF(AL500='Listas suspensas'!$A$4,'Listas suspensas'!$C$4,IF(AL500='Listas suspensas'!$A$5,'Listas suspensas'!$C$5,IF(AL500='Listas suspensas'!$A$6,'Listas suspensas'!$C$6,"")))))</f>
        <v/>
      </c>
      <c r="AO500" s="8" t="str">
        <f>IF(AM500='Listas suspensas'!$A$2,'Listas suspensas'!$C$2,IF(AM500='Listas suspensas'!$A$3,'Listas suspensas'!$C$3,IF(AM500='Listas suspensas'!$A$4,'Listas suspensas'!$C$4,IF(AM500='Listas suspensas'!$A$5,'Listas suspensas'!$C$5,IF(AM500='Listas suspensas'!$A$6,'Listas suspensas'!$C$6,"")))))</f>
        <v/>
      </c>
      <c r="AP500" s="8" t="str">
        <f>IF(AN500='Listas suspensas'!$A$2,'Listas suspensas'!$C$2,IF(AN500='Listas suspensas'!$A$3,'Listas suspensas'!$C$3,IF(AN500='Listas suspensas'!$A$4,'Listas suspensas'!$C$4,IF(AN500='Listas suspensas'!$A$5,'Listas suspensas'!$C$5,IF(AN500='Listas suspensas'!$A$6,'Listas suspensas'!$C$6,"")))))</f>
        <v/>
      </c>
      <c r="AQ500" s="8" t="str">
        <f>IF(AO500='Listas suspensas'!$A$2,'Listas suspensas'!$C$2,IF(AO500='Listas suspensas'!$A$3,'Listas suspensas'!$C$3,IF(AO500='Listas suspensas'!$A$4,'Listas suspensas'!$C$4,IF(AO500='Listas suspensas'!$A$5,'Listas suspensas'!$C$5,IF(AO500='Listas suspensas'!$A$6,'Listas suspensas'!$C$6,"")))))</f>
        <v/>
      </c>
      <c r="AR500" s="8" t="str">
        <f>IF(AP500='Listas suspensas'!$A$2,'Listas suspensas'!$C$2,IF(AP500='Listas suspensas'!$A$3,'Listas suspensas'!$C$3,IF(AP500='Listas suspensas'!$A$4,'Listas suspensas'!$C$4,IF(AP500='Listas suspensas'!$A$5,'Listas suspensas'!$C$5,IF(AP500='Listas suspensas'!$A$6,'Listas suspensas'!$C$6,"")))))</f>
        <v/>
      </c>
      <c r="AS500" s="8" t="str">
        <f>IF(AQ500='Listas suspensas'!$A$2,'Listas suspensas'!$C$2,IF(AQ500='Listas suspensas'!$A$3,'Listas suspensas'!$C$3,IF(AQ500='Listas suspensas'!$A$4,'Listas suspensas'!$C$4,IF(AQ500='Listas suspensas'!$A$5,'Listas suspensas'!$C$5,IF(AQ500='Listas suspensas'!$A$6,'Listas suspensas'!$C$6,"")))))</f>
        <v/>
      </c>
      <c r="AT500" s="8" t="str">
        <f>IF(AR500='Listas suspensas'!$A$2,'Listas suspensas'!$C$2,IF(AR500='Listas suspensas'!$A$3,'Listas suspensas'!$C$3,IF(AR500='Listas suspensas'!$A$4,'Listas suspensas'!$C$4,IF(AR500='Listas suspensas'!$A$5,'Listas suspensas'!$C$5,IF(AR500='Listas suspensas'!$A$6,'Listas suspensas'!$C$6,"")))))</f>
        <v/>
      </c>
      <c r="AU500" s="8" t="str">
        <f>IF(AS500='Listas suspensas'!$A$2,'Listas suspensas'!$C$2,IF(AS500='Listas suspensas'!$A$3,'Listas suspensas'!$C$3,IF(AS500='Listas suspensas'!$A$4,'Listas suspensas'!$C$4,IF(AS500='Listas suspensas'!$A$5,'Listas suspensas'!$C$5,IF(AS500='Listas suspensas'!$A$6,'Listas suspensas'!$C$6,"")))))</f>
        <v/>
      </c>
      <c r="AV500" s="8" t="str">
        <f>IF(AT500='Listas suspensas'!$A$2,'Listas suspensas'!$C$2,IF(AT500='Listas suspensas'!$A$3,'Listas suspensas'!$C$3,IF(AT500='Listas suspensas'!$A$4,'Listas suspensas'!$C$4,IF(AT500='Listas suspensas'!$A$5,'Listas suspensas'!$C$5,IF(AT500='Listas suspensas'!$A$6,'Listas suspensas'!$C$6,"")))))</f>
        <v/>
      </c>
      <c r="AW500" s="8" t="str">
        <f>IF(AU500='Listas suspensas'!$A$2,'Listas suspensas'!$C$2,IF(AU500='Listas suspensas'!$A$3,'Listas suspensas'!$C$3,IF(AU500='Listas suspensas'!$A$4,'Listas suspensas'!$C$4,IF(AU500='Listas suspensas'!$A$5,'Listas suspensas'!$C$5,IF(AU500='Listas suspensas'!$A$6,'Listas suspensas'!$C$6,"")))))</f>
        <v/>
      </c>
      <c r="AX500" s="8" t="str">
        <f>IF(AV500='Listas suspensas'!$A$2,'Listas suspensas'!$C$2,IF(AV500='Listas suspensas'!$A$3,'Listas suspensas'!$C$3,IF(AV500='Listas suspensas'!$A$4,'Listas suspensas'!$C$4,IF(AV500='Listas suspensas'!$A$5,'Listas suspensas'!$C$5,IF(AV500='Listas suspensas'!$A$6,'Listas suspensas'!$C$6,"")))))</f>
        <v/>
      </c>
      <c r="AY500" s="8" t="str">
        <f>IF(AW500='Listas suspensas'!$A$2,'Listas suspensas'!$C$2,IF(AW500='Listas suspensas'!$A$3,'Listas suspensas'!$C$3,IF(AW500='Listas suspensas'!$A$4,'Listas suspensas'!$C$4,IF(AW500='Listas suspensas'!$A$5,'Listas suspensas'!$C$5,IF(AW500='Listas suspensas'!$A$6,'Listas suspensas'!$C$6,"")))))</f>
        <v/>
      </c>
      <c r="AZ500" s="8" t="str">
        <f>IF(AX500='Listas suspensas'!$A$2,'Listas suspensas'!$C$2,IF(AX500='Listas suspensas'!$A$3,'Listas suspensas'!$C$3,IF(AX500='Listas suspensas'!$A$4,'Listas suspensas'!$C$4,IF(AX500='Listas suspensas'!$A$5,'Listas suspensas'!$C$5,IF(AX500='Listas suspensas'!$A$6,'Listas suspensas'!$C$6,"")))))</f>
        <v/>
      </c>
      <c r="BA500" s="8" t="str">
        <f>IF(AY500='Listas suspensas'!$A$2,'Listas suspensas'!$C$2,IF(AY500='Listas suspensas'!$A$3,'Listas suspensas'!$C$3,IF(AY500='Listas suspensas'!$A$4,'Listas suspensas'!$C$4,IF(AY500='Listas suspensas'!$A$5,'Listas suspensas'!$C$5,IF(AY500='Listas suspensas'!$A$6,'Listas suspensas'!$C$6,"")))))</f>
        <v/>
      </c>
      <c r="BB500" s="8" t="str">
        <f>IF(AZ500='Listas suspensas'!$A$2,'Listas suspensas'!$C$2,IF(AZ500='Listas suspensas'!$A$3,'Listas suspensas'!$C$3,IF(AZ500='Listas suspensas'!$A$4,'Listas suspensas'!$C$4,IF(AZ500='Listas suspensas'!$A$5,'Listas suspensas'!$C$5,IF(AZ500='Listas suspensas'!$A$6,'Listas suspensas'!$C$6,"")))))</f>
        <v/>
      </c>
      <c r="BC500" s="8" t="str">
        <f>IF(BA500='Listas suspensas'!$A$2,'Listas suspensas'!$C$2,IF(BA500='Listas suspensas'!$A$3,'Listas suspensas'!$C$3,IF(BA500='Listas suspensas'!$A$4,'Listas suspensas'!$C$4,IF(BA500='Listas suspensas'!$A$5,'Listas suspensas'!$C$5,IF(BA500='Listas suspensas'!$A$6,'Listas suspensas'!$C$6,"")))))</f>
        <v/>
      </c>
      <c r="BD500" s="13">
        <v>0.36</v>
      </c>
      <c r="BE500" s="18">
        <f t="shared" si="85"/>
        <v>360</v>
      </c>
      <c r="BF500" s="8">
        <v>1.62</v>
      </c>
      <c r="BG500" s="8">
        <v>0.39900000000000002</v>
      </c>
      <c r="BH500" s="8">
        <v>0.68700000000000006</v>
      </c>
      <c r="BI500" s="13">
        <f t="shared" si="86"/>
        <v>2.7060000000000004</v>
      </c>
      <c r="BJ500" s="14">
        <v>59.9</v>
      </c>
      <c r="BK500" s="14">
        <v>14.8</v>
      </c>
      <c r="BL500" s="14">
        <v>25.3</v>
      </c>
      <c r="BM500" s="16">
        <f t="shared" si="87"/>
        <v>100</v>
      </c>
      <c r="BN500" s="21">
        <f t="shared" si="88"/>
        <v>5.83</v>
      </c>
      <c r="BO500" s="21">
        <f t="shared" si="89"/>
        <v>1.44</v>
      </c>
      <c r="BP500" s="21">
        <f t="shared" si="90"/>
        <v>2.4700000000000002</v>
      </c>
      <c r="BQ500" s="14">
        <f t="shared" si="91"/>
        <v>9.74</v>
      </c>
      <c r="BR500" s="22" t="str">
        <f>IF(OR(AND(X500="Mourões", BQ500&gt;=6.5),AND(X500="Postes", BQ500&gt;=9.6),AND(X500="Dormentes", BQ500&gt;=9.6),AND(X500="Estacas - Solo", BQ500&gt;=6.5),AND(X500="Estacas - Suspenso", BQ500&gt;=4),AND(X500="Cruzetas", BQ500&gt;=6.5),AND(X500="Outros - Solo", BQ500&gt;=6.5),AND(X500="Outros - Suspenso",BQ500&gt;=4),AND(X500="Deck",BQ500&gt;=4)),'Listas suspensas'!$C$21,'Listas suspensas'!$C$22)</f>
        <v>Os resultados da análise química apresentaram uma retenção do produto de acordo com o padrão mínimo exigido pela norma ABNT NBR 16143</v>
      </c>
    </row>
    <row r="501" spans="2:70" x14ac:dyDescent="0.25">
      <c r="B501" s="8" t="s">
        <v>1149</v>
      </c>
      <c r="C501" s="8" t="s">
        <v>71</v>
      </c>
      <c r="F501" s="11">
        <v>45974</v>
      </c>
      <c r="G501" s="11">
        <v>45978</v>
      </c>
      <c r="H501" s="11">
        <v>45989</v>
      </c>
      <c r="I501" s="8" t="s">
        <v>1059</v>
      </c>
      <c r="J501" s="8" t="s">
        <v>1060</v>
      </c>
      <c r="K501" s="8" t="s">
        <v>619</v>
      </c>
      <c r="L501" s="8" t="s">
        <v>15</v>
      </c>
      <c r="M501" s="30" t="s">
        <v>1061</v>
      </c>
      <c r="N501" s="8" t="s">
        <v>1165</v>
      </c>
      <c r="O501" s="8" t="s">
        <v>94</v>
      </c>
      <c r="P501" s="28" t="s">
        <v>77</v>
      </c>
      <c r="Q501" s="16" t="s">
        <v>1554</v>
      </c>
      <c r="X501" s="8" t="s">
        <v>79</v>
      </c>
      <c r="Y501" s="34">
        <f>IF(X501='Listas suspensas'!$A$21,'Listas suspensas'!$B$23,IF(X501='Listas suspensas'!$A$22,'Listas suspensas'!$B$23,IF(X501='Listas suspensas'!$A$23,'Listas suspensas'!$B$22,IF(X501='Listas suspensas'!$A$26,'Listas suspensas'!$B$22,IF(X501='Listas suspensas'!$A$32,'Listas suspensas'!$B$22,IF(X501='Listas suspensas'!$A$33,'Listas suspensas'!$B$21,IF(X501='Listas suspensas'!$A$24,'Listas suspensas'!$B$22,IF(X501='Listas suspensas'!$A$25,'Listas suspensas'!$B$21,IF(X501='Listas suspensas'!$A$30,'Listas suspensas'!$B$21,"")))))))))</f>
        <v>6.5</v>
      </c>
      <c r="Z501" s="8" t="s">
        <v>80</v>
      </c>
      <c r="AA501" s="8">
        <v>2</v>
      </c>
      <c r="AB501" s="8" t="str">
        <f>IF(AA501='Listas suspensas'!$A$2,'Listas suspensas'!$B$2,IF(AA501='Listas suspensas'!$A$3,'Listas suspensas'!$B$3,IF(AA501='Listas suspensas'!$A$4,'Listas suspensas'!$B$4,IF(AA501='Listas suspensas'!$A$5,'Listas suspensas'!$B$5,IF(AA501='Listas suspensas'!$A$6,'Listas suspensas'!$B$6,"")))))</f>
        <v>Profunda e irregular</v>
      </c>
      <c r="AC501" s="8" t="str">
        <f>IF(AA501='Listas suspensas'!$A$2,'Listas suspensas'!$C$2,IF(AA501='Listas suspensas'!$A$3,'Listas suspensas'!$C$3,IF(AA501='Listas suspensas'!$A$4,'Listas suspensas'!$C$4,IF(AA501='Listas suspensas'!$A$5,'Listas suspensas'!$C$5,IF(AA501='Listas suspensas'!$A$6,'Listas suspensas'!$C$6,"")))))</f>
        <v>Indica a penetração profunda, mas desuniforme em toda a extensão do alburno.</v>
      </c>
      <c r="BD501" s="13">
        <v>0.68799999999999994</v>
      </c>
      <c r="BE501" s="18">
        <f t="shared" si="85"/>
        <v>688</v>
      </c>
      <c r="BF501" s="8">
        <v>0.54700000000000004</v>
      </c>
      <c r="BG501" s="8">
        <v>0.19</v>
      </c>
      <c r="BH501" s="8">
        <v>0.315</v>
      </c>
      <c r="BI501" s="13">
        <f t="shared" si="86"/>
        <v>1.052</v>
      </c>
      <c r="BJ501" s="14">
        <v>52</v>
      </c>
      <c r="BK501" s="14">
        <v>18.100000000000001</v>
      </c>
      <c r="BL501" s="14">
        <v>29.9</v>
      </c>
      <c r="BM501" s="16">
        <f t="shared" si="87"/>
        <v>100</v>
      </c>
      <c r="BN501" s="21">
        <f t="shared" si="88"/>
        <v>3.76</v>
      </c>
      <c r="BO501" s="21">
        <f t="shared" si="89"/>
        <v>1.31</v>
      </c>
      <c r="BP501" s="21">
        <f t="shared" si="90"/>
        <v>2.17</v>
      </c>
      <c r="BQ501" s="14">
        <f t="shared" si="91"/>
        <v>7.24</v>
      </c>
      <c r="BR501" s="22" t="str">
        <f>IF(OR(AND(X501="Mourões", BQ501&gt;=6.5),AND(X501="Postes", BQ501&gt;=9.6),AND(X501="Dormentes", BQ501&gt;=9.6),AND(X501="Estacas - Solo", BQ501&gt;=6.5),AND(X501="Estacas - Suspenso", BQ501&gt;=4),AND(X501="Cruzetas", BQ501&gt;=6.5),AND(X501="Outros - Solo", BQ501&gt;=6.5),AND(X501="Outros - Suspenso",BQ501&gt;=4),AND(X501="Deck",BQ501&gt;=4)),'Listas suspensas'!$C$21,'Listas suspensas'!$C$22)</f>
        <v>Os resultados da análise química apresentaram uma retenção do produto de acordo com o padrão mínimo exigido pela norma ABNT NBR 16143</v>
      </c>
    </row>
    <row r="502" spans="2:70" x14ac:dyDescent="0.25">
      <c r="B502" s="8" t="s">
        <v>1440</v>
      </c>
      <c r="C502" s="8" t="s">
        <v>71</v>
      </c>
      <c r="F502" s="11">
        <v>45974</v>
      </c>
      <c r="G502" s="11">
        <v>45978</v>
      </c>
      <c r="H502" s="11">
        <v>45989</v>
      </c>
      <c r="I502" s="8" t="s">
        <v>1059</v>
      </c>
      <c r="J502" s="8" t="s">
        <v>1060</v>
      </c>
      <c r="K502" s="8" t="s">
        <v>619</v>
      </c>
      <c r="L502" s="8" t="s">
        <v>15</v>
      </c>
      <c r="M502" s="30" t="s">
        <v>1061</v>
      </c>
      <c r="N502" s="8" t="s">
        <v>1165</v>
      </c>
      <c r="O502" s="8" t="s">
        <v>94</v>
      </c>
      <c r="P502" s="28" t="s">
        <v>77</v>
      </c>
      <c r="Q502" s="16" t="s">
        <v>1556</v>
      </c>
      <c r="X502" s="8" t="s">
        <v>79</v>
      </c>
      <c r="Y502" s="34">
        <f>IF(X502='Listas suspensas'!$A$21,'Listas suspensas'!$B$23,IF(X502='Listas suspensas'!$A$22,'Listas suspensas'!$B$23,IF(X502='Listas suspensas'!$A$23,'Listas suspensas'!$B$22,IF(X502='Listas suspensas'!$A$26,'Listas suspensas'!$B$22,IF(X502='Listas suspensas'!$A$32,'Listas suspensas'!$B$22,IF(X502='Listas suspensas'!$A$33,'Listas suspensas'!$B$21,IF(X502='Listas suspensas'!$A$24,'Listas suspensas'!$B$22,IF(X502='Listas suspensas'!$A$25,'Listas suspensas'!$B$21,IF(X502='Listas suspensas'!$A$30,'Listas suspensas'!$B$21,"")))))))))</f>
        <v>6.5</v>
      </c>
      <c r="Z502" s="8" t="s">
        <v>80</v>
      </c>
      <c r="AA502" s="8">
        <v>2</v>
      </c>
      <c r="AB502" s="8" t="str">
        <f>IF(AA502='Listas suspensas'!$A$2,'Listas suspensas'!$B$2,IF(AA502='Listas suspensas'!$A$3,'Listas suspensas'!$B$3,IF(AA502='Listas suspensas'!$A$4,'Listas suspensas'!$B$4,IF(AA502='Listas suspensas'!$A$5,'Listas suspensas'!$B$5,IF(AA502='Listas suspensas'!$A$6,'Listas suspensas'!$B$6,"")))))</f>
        <v>Profunda e irregular</v>
      </c>
      <c r="AC502" s="8" t="str">
        <f>IF(AA502='Listas suspensas'!$A$2,'Listas suspensas'!$C$2,IF(AA502='Listas suspensas'!$A$3,'Listas suspensas'!$C$3,IF(AA502='Listas suspensas'!$A$4,'Listas suspensas'!$C$4,IF(AA502='Listas suspensas'!$A$5,'Listas suspensas'!$C$5,IF(AA502='Listas suspensas'!$A$6,'Listas suspensas'!$C$6,"")))))</f>
        <v>Indica a penetração profunda, mas desuniforme em toda a extensão do alburno.</v>
      </c>
      <c r="BD502" s="13">
        <v>0.55500000000000005</v>
      </c>
      <c r="BE502" s="18">
        <f t="shared" si="85"/>
        <v>555</v>
      </c>
      <c r="BF502" s="8">
        <v>0.48399999999999999</v>
      </c>
      <c r="BG502" s="8">
        <v>0.16400000000000001</v>
      </c>
      <c r="BH502" s="8">
        <v>0.22900000000000001</v>
      </c>
      <c r="BI502" s="13">
        <f t="shared" si="86"/>
        <v>0.877</v>
      </c>
      <c r="BJ502" s="14">
        <v>55.2</v>
      </c>
      <c r="BK502" s="14">
        <v>18.600000000000001</v>
      </c>
      <c r="BL502" s="14">
        <v>26.2</v>
      </c>
      <c r="BM502" s="16">
        <f t="shared" si="87"/>
        <v>100</v>
      </c>
      <c r="BN502" s="21">
        <f t="shared" si="88"/>
        <v>2.69</v>
      </c>
      <c r="BO502" s="21">
        <f t="shared" si="89"/>
        <v>0.91</v>
      </c>
      <c r="BP502" s="21">
        <f t="shared" si="90"/>
        <v>1.27</v>
      </c>
      <c r="BQ502" s="14">
        <f t="shared" si="91"/>
        <v>4.87</v>
      </c>
      <c r="BR502" s="22" t="str">
        <f>IF(OR(AND(X502="Mourões", BQ502&gt;=6.5),AND(X502="Postes", BQ502&gt;=9.6),AND(X502="Dormentes", BQ502&gt;=9.6),AND(X502="Estacas - Solo", BQ502&gt;=6.5),AND(X502="Estacas - Suspenso", BQ502&gt;=4),AND(X502="Cruzetas", BQ502&gt;=6.5),AND(X502="Outros - Solo", BQ502&gt;=6.5),AND(X502="Outros - Suspenso",BQ502&gt;=4),AND(X502="Deck",BQ502&gt;=4)),'Listas suspensas'!$C$21,'Listas suspensas'!$C$22)</f>
        <v>Os resultados da análise química apresentaram uma retenção do produto inferior ao padrão mínimo exigido pela norma ABNT NBR 16143</v>
      </c>
    </row>
    <row r="503" spans="2:70" x14ac:dyDescent="0.25">
      <c r="B503" s="8" t="s">
        <v>1441</v>
      </c>
      <c r="C503" s="8" t="s">
        <v>71</v>
      </c>
      <c r="F503" s="11">
        <v>45974</v>
      </c>
      <c r="G503" s="11">
        <v>45978</v>
      </c>
      <c r="H503" s="11">
        <v>45989</v>
      </c>
      <c r="I503" s="8" t="s">
        <v>1059</v>
      </c>
      <c r="J503" s="8" t="s">
        <v>1060</v>
      </c>
      <c r="K503" s="8" t="s">
        <v>619</v>
      </c>
      <c r="L503" s="8" t="s">
        <v>15</v>
      </c>
      <c r="M503" s="30" t="s">
        <v>1061</v>
      </c>
      <c r="N503" s="8" t="s">
        <v>1165</v>
      </c>
      <c r="O503" s="8" t="s">
        <v>94</v>
      </c>
      <c r="P503" s="28" t="s">
        <v>77</v>
      </c>
      <c r="Q503" s="16" t="s">
        <v>1557</v>
      </c>
      <c r="X503" s="8" t="s">
        <v>79</v>
      </c>
      <c r="Y503" s="34">
        <f>IF(X503='Listas suspensas'!$A$21,'Listas suspensas'!$B$23,IF(X503='Listas suspensas'!$A$22,'Listas suspensas'!$B$23,IF(X503='Listas suspensas'!$A$23,'Listas suspensas'!$B$22,IF(X503='Listas suspensas'!$A$26,'Listas suspensas'!$B$22,IF(X503='Listas suspensas'!$A$32,'Listas suspensas'!$B$22,IF(X503='Listas suspensas'!$A$33,'Listas suspensas'!$B$21,IF(X503='Listas suspensas'!$A$24,'Listas suspensas'!$B$22,IF(X503='Listas suspensas'!$A$25,'Listas suspensas'!$B$21,IF(X503='Listas suspensas'!$A$30,'Listas suspensas'!$B$21,"")))))))))</f>
        <v>6.5</v>
      </c>
      <c r="Z503" s="8" t="s">
        <v>80</v>
      </c>
      <c r="AA503" s="8">
        <v>3</v>
      </c>
      <c r="AB503" s="8" t="str">
        <f>IF(AA503='Listas suspensas'!$A$2,'Listas suspensas'!$B$2,IF(AA503='Listas suspensas'!$A$3,'Listas suspensas'!$B$3,IF(AA503='Listas suspensas'!$A$4,'Listas suspensas'!$B$4,IF(AA503='Listas suspensas'!$A$5,'Listas suspensas'!$B$5,IF(AA503='Listas suspensas'!$A$6,'Listas suspensas'!$B$6,"")))))</f>
        <v xml:space="preserve"> Parcial e regular</v>
      </c>
      <c r="AC503" s="8" t="str">
        <f>IF(AA503='Listas suspensas'!$A$2,'Listas suspensas'!$C$2,IF(AA503='Listas suspensas'!$A$3,'Listas suspensas'!$C$3,IF(AA503='Listas suspensas'!$A$4,'Listas suspensas'!$C$4,IF(AA503='Listas suspensas'!$A$5,'Listas suspensas'!$C$5,IF(AA503='Listas suspensas'!$A$6,'Listas suspensas'!$C$6,"")))))</f>
        <v>Indica a penetração uniforme, mas não total pela extensão do alburno.</v>
      </c>
      <c r="BD503" s="13">
        <v>0.56399999999999995</v>
      </c>
      <c r="BE503" s="18">
        <f t="shared" si="85"/>
        <v>564</v>
      </c>
      <c r="BF503" s="8">
        <v>0.50600000000000001</v>
      </c>
      <c r="BG503" s="8">
        <v>0.214</v>
      </c>
      <c r="BH503" s="8">
        <v>0.36</v>
      </c>
      <c r="BI503" s="13">
        <f t="shared" si="86"/>
        <v>1.08</v>
      </c>
      <c r="BJ503" s="14">
        <v>46.9</v>
      </c>
      <c r="BK503" s="14">
        <v>19.899999999999999</v>
      </c>
      <c r="BL503" s="14">
        <v>33.200000000000003</v>
      </c>
      <c r="BM503" s="16">
        <f t="shared" si="87"/>
        <v>100</v>
      </c>
      <c r="BN503" s="21">
        <f t="shared" si="88"/>
        <v>2.85</v>
      </c>
      <c r="BO503" s="21">
        <f t="shared" si="89"/>
        <v>1.21</v>
      </c>
      <c r="BP503" s="21">
        <f t="shared" si="90"/>
        <v>2.0299999999999998</v>
      </c>
      <c r="BQ503" s="14">
        <f t="shared" si="91"/>
        <v>6.09</v>
      </c>
      <c r="BR503" s="22" t="str">
        <f>IF(OR(AND(X503="Mourões", BQ503&gt;=6.5),AND(X503="Postes", BQ503&gt;=9.6),AND(X503="Dormentes", BQ503&gt;=9.6),AND(X503="Estacas - Solo", BQ503&gt;=6.5),AND(X503="Estacas - Suspenso", BQ503&gt;=4),AND(X503="Cruzetas", BQ503&gt;=6.5),AND(X503="Outros - Solo", BQ503&gt;=6.5),AND(X503="Outros - Suspenso",BQ503&gt;=4),AND(X503="Deck",BQ503&gt;=4)),'Listas suspensas'!$C$21,'Listas suspensas'!$C$22)</f>
        <v>Os resultados da análise química apresentaram uma retenção do produto inferior ao padrão mínimo exigido pela norma ABNT NBR 16143</v>
      </c>
    </row>
    <row r="504" spans="2:70" x14ac:dyDescent="0.25">
      <c r="B504" s="8" t="s">
        <v>1442</v>
      </c>
      <c r="C504" s="8" t="s">
        <v>71</v>
      </c>
      <c r="F504" s="11">
        <v>45974</v>
      </c>
      <c r="G504" s="11">
        <v>45978</v>
      </c>
      <c r="H504" s="11">
        <v>45989</v>
      </c>
      <c r="I504" s="8" t="s">
        <v>1059</v>
      </c>
      <c r="J504" s="8" t="s">
        <v>1060</v>
      </c>
      <c r="K504" s="8" t="s">
        <v>619</v>
      </c>
      <c r="L504" s="8" t="s">
        <v>15</v>
      </c>
      <c r="M504" s="30" t="s">
        <v>1061</v>
      </c>
      <c r="N504" s="8" t="s">
        <v>1165</v>
      </c>
      <c r="O504" s="8" t="s">
        <v>94</v>
      </c>
      <c r="P504" s="28" t="s">
        <v>77</v>
      </c>
      <c r="Q504" s="16" t="s">
        <v>1580</v>
      </c>
      <c r="X504" s="8" t="s">
        <v>79</v>
      </c>
      <c r="Y504" s="34">
        <f>IF(X504='Listas suspensas'!$A$21,'Listas suspensas'!$B$23,IF(X504='Listas suspensas'!$A$22,'Listas suspensas'!$B$23,IF(X504='Listas suspensas'!$A$23,'Listas suspensas'!$B$22,IF(X504='Listas suspensas'!$A$26,'Listas suspensas'!$B$22,IF(X504='Listas suspensas'!$A$32,'Listas suspensas'!$B$22,IF(X504='Listas suspensas'!$A$33,'Listas suspensas'!$B$21,IF(X504='Listas suspensas'!$A$24,'Listas suspensas'!$B$22,IF(X504='Listas suspensas'!$A$25,'Listas suspensas'!$B$21,IF(X504='Listas suspensas'!$A$30,'Listas suspensas'!$B$21,"")))))))))</f>
        <v>6.5</v>
      </c>
      <c r="Z504" s="8" t="s">
        <v>80</v>
      </c>
      <c r="AA504" s="8">
        <v>2</v>
      </c>
      <c r="AB504" s="8" t="str">
        <f>IF(AA504='Listas suspensas'!$A$2,'Listas suspensas'!$B$2,IF(AA504='Listas suspensas'!$A$3,'Listas suspensas'!$B$3,IF(AA504='Listas suspensas'!$A$4,'Listas suspensas'!$B$4,IF(AA504='Listas suspensas'!$A$5,'Listas suspensas'!$B$5,IF(AA504='Listas suspensas'!$A$6,'Listas suspensas'!$B$6,"")))))</f>
        <v>Profunda e irregular</v>
      </c>
      <c r="AC504" s="8" t="str">
        <f>IF(AA504='Listas suspensas'!$A$2,'Listas suspensas'!$C$2,IF(AA504='Listas suspensas'!$A$3,'Listas suspensas'!$C$3,IF(AA504='Listas suspensas'!$A$4,'Listas suspensas'!$C$4,IF(AA504='Listas suspensas'!$A$5,'Listas suspensas'!$C$5,IF(AA504='Listas suspensas'!$A$6,'Listas suspensas'!$C$6,"")))))</f>
        <v>Indica a penetração profunda, mas desuniforme em toda a extensão do alburno.</v>
      </c>
      <c r="BD504" s="13">
        <v>0.63700000000000001</v>
      </c>
      <c r="BE504" s="18">
        <f t="shared" ref="BE504:BE567" si="92">BD504*1000</f>
        <v>637</v>
      </c>
      <c r="BF504" s="8">
        <v>0.38</v>
      </c>
      <c r="BG504" s="8">
        <v>0.17499999999999999</v>
      </c>
      <c r="BH504" s="8">
        <v>0.308</v>
      </c>
      <c r="BI504" s="13">
        <f t="shared" si="86"/>
        <v>0.86299999999999999</v>
      </c>
      <c r="BJ504" s="14">
        <v>44</v>
      </c>
      <c r="BK504" s="14">
        <v>20.2</v>
      </c>
      <c r="BL504" s="14">
        <v>35.799999999999997</v>
      </c>
      <c r="BM504" s="16">
        <f t="shared" si="87"/>
        <v>100</v>
      </c>
      <c r="BN504" s="21">
        <f t="shared" si="88"/>
        <v>2.42</v>
      </c>
      <c r="BO504" s="21">
        <f t="shared" si="89"/>
        <v>1.1100000000000001</v>
      </c>
      <c r="BP504" s="21">
        <f t="shared" si="90"/>
        <v>1.96</v>
      </c>
      <c r="BQ504" s="14">
        <f t="shared" si="91"/>
        <v>5.49</v>
      </c>
      <c r="BR504" s="22" t="str">
        <f>IF(OR(AND(X504="Mourões", BQ504&gt;=6.5),AND(X504="Postes", BQ504&gt;=9.6),AND(X504="Dormentes", BQ504&gt;=9.6),AND(X504="Estacas - Solo", BQ504&gt;=6.5),AND(X504="Estacas - Suspenso", BQ504&gt;=4),AND(X504="Cruzetas", BQ504&gt;=6.5),AND(X504="Outros - Solo", BQ504&gt;=6.5),AND(X504="Outros - Suspenso",BQ504&gt;=4),AND(X504="Deck",BQ504&gt;=4)),'Listas suspensas'!$C$21,'Listas suspensas'!$C$22)</f>
        <v>Os resultados da análise química apresentaram uma retenção do produto inferior ao padrão mínimo exigido pela norma ABNT NBR 16143</v>
      </c>
    </row>
    <row r="505" spans="2:70" x14ac:dyDescent="0.25">
      <c r="B505" s="8" t="s">
        <v>1443</v>
      </c>
      <c r="C505" s="8" t="s">
        <v>71</v>
      </c>
      <c r="F505" s="11">
        <v>45974</v>
      </c>
      <c r="G505" s="11">
        <v>45978</v>
      </c>
      <c r="H505" s="11">
        <v>45989</v>
      </c>
      <c r="I505" s="8" t="s">
        <v>1428</v>
      </c>
      <c r="J505" s="8" t="s">
        <v>1429</v>
      </c>
      <c r="K505" s="8" t="s">
        <v>144</v>
      </c>
      <c r="L505" s="8" t="s">
        <v>15</v>
      </c>
      <c r="M505" s="30" t="s">
        <v>1430</v>
      </c>
      <c r="N505" s="8" t="s">
        <v>1165</v>
      </c>
      <c r="O505" s="8" t="s">
        <v>76</v>
      </c>
      <c r="P505" s="28" t="s">
        <v>146</v>
      </c>
      <c r="Q505" s="16" t="s">
        <v>1558</v>
      </c>
      <c r="X505" s="8" t="s">
        <v>101</v>
      </c>
      <c r="Y505" s="34">
        <f>IF(X505='Listas suspensas'!$A$21,'Listas suspensas'!$B$23,IF(X505='Listas suspensas'!$A$22,'Listas suspensas'!$B$23,IF(X505='Listas suspensas'!$A$23,'Listas suspensas'!$B$22,IF(X505='Listas suspensas'!$A$26,'Listas suspensas'!$B$22,IF(X505='Listas suspensas'!$A$32,'Listas suspensas'!$B$22,IF(X505='Listas suspensas'!$A$33,'Listas suspensas'!$B$21,IF(X505='Listas suspensas'!$A$24,'Listas suspensas'!$B$22,IF(X505='Listas suspensas'!$A$25,'Listas suspensas'!$B$21,IF(X505='Listas suspensas'!$A$30,'Listas suspensas'!$B$21,"")))))))))</f>
        <v>6.5</v>
      </c>
      <c r="Z505" s="8" t="s">
        <v>80</v>
      </c>
      <c r="AA505" s="8">
        <v>2</v>
      </c>
      <c r="AB505" s="8" t="str">
        <f>IF(AA505='Listas suspensas'!$A$2,'Listas suspensas'!$B$2,IF(AA505='Listas suspensas'!$A$3,'Listas suspensas'!$B$3,IF(AA505='Listas suspensas'!$A$4,'Listas suspensas'!$B$4,IF(AA505='Listas suspensas'!$A$5,'Listas suspensas'!$B$5,IF(AA505='Listas suspensas'!$A$6,'Listas suspensas'!$B$6,"")))))</f>
        <v>Profunda e irregular</v>
      </c>
      <c r="AC505" s="8" t="str">
        <f>IF(AA505='Listas suspensas'!$A$2,'Listas suspensas'!$C$2,IF(AA505='Listas suspensas'!$A$3,'Listas suspensas'!$C$3,IF(AA505='Listas suspensas'!$A$4,'Listas suspensas'!$C$4,IF(AA505='Listas suspensas'!$A$5,'Listas suspensas'!$C$5,IF(AA505='Listas suspensas'!$A$6,'Listas suspensas'!$C$6,"")))))</f>
        <v>Indica a penetração profunda, mas desuniforme em toda a extensão do alburno.</v>
      </c>
      <c r="BD505" s="13">
        <v>0.54700000000000004</v>
      </c>
      <c r="BE505" s="18">
        <f t="shared" si="92"/>
        <v>547</v>
      </c>
      <c r="BF505" s="8">
        <v>1.079</v>
      </c>
      <c r="BG505" s="8">
        <v>0.53500000000000003</v>
      </c>
      <c r="BH505" s="8">
        <v>0.93200000000000005</v>
      </c>
      <c r="BI505" s="13">
        <f t="shared" si="86"/>
        <v>2.5459999999999998</v>
      </c>
      <c r="BJ505" s="14">
        <v>42.4</v>
      </c>
      <c r="BK505" s="14">
        <v>21</v>
      </c>
      <c r="BL505" s="14">
        <v>36.6</v>
      </c>
      <c r="BM505" s="16">
        <f t="shared" si="87"/>
        <v>100</v>
      </c>
      <c r="BN505" s="21">
        <f t="shared" si="88"/>
        <v>5.9</v>
      </c>
      <c r="BO505" s="21">
        <f t="shared" si="89"/>
        <v>2.93</v>
      </c>
      <c r="BP505" s="21">
        <f t="shared" si="90"/>
        <v>5.0999999999999996</v>
      </c>
      <c r="BQ505" s="14">
        <f t="shared" si="91"/>
        <v>13.93</v>
      </c>
      <c r="BR505" s="22" t="str">
        <f>IF(OR(AND(X505="Mourões", BQ505&gt;=6.5),AND(X505="Postes", BQ505&gt;=9.6),AND(X505="Dormentes", BQ505&gt;=9.6),AND(X505="Estacas - Solo", BQ505&gt;=6.5),AND(X505="Estacas - Suspenso", BQ505&gt;=4),AND(X505="Cruzetas", BQ505&gt;=6.5),AND(X505="Outros - Solo", BQ505&gt;=6.5),AND(X505="Outros - Suspenso",BQ505&gt;=4),AND(X505="Deck",BQ505&gt;=4)),'Listas suspensas'!$C$21,'Listas suspensas'!$C$22)</f>
        <v>Os resultados da análise química apresentaram uma retenção do produto de acordo com o padrão mínimo exigido pela norma ABNT NBR 16143</v>
      </c>
    </row>
    <row r="506" spans="2:70" x14ac:dyDescent="0.25">
      <c r="B506" s="8" t="s">
        <v>1444</v>
      </c>
      <c r="C506" s="8" t="s">
        <v>71</v>
      </c>
      <c r="F506" s="11">
        <v>45974</v>
      </c>
      <c r="G506" s="11">
        <v>45978</v>
      </c>
      <c r="H506" s="11">
        <v>45989</v>
      </c>
      <c r="I506" s="8" t="s">
        <v>1428</v>
      </c>
      <c r="J506" s="8" t="s">
        <v>1429</v>
      </c>
      <c r="K506" s="8" t="s">
        <v>144</v>
      </c>
      <c r="L506" s="8" t="s">
        <v>15</v>
      </c>
      <c r="M506" s="30" t="s">
        <v>1430</v>
      </c>
      <c r="N506" s="8" t="s">
        <v>1165</v>
      </c>
      <c r="O506" s="8" t="s">
        <v>76</v>
      </c>
      <c r="P506" s="28" t="s">
        <v>146</v>
      </c>
      <c r="Q506" s="16" t="s">
        <v>1559</v>
      </c>
      <c r="X506" s="8" t="s">
        <v>101</v>
      </c>
      <c r="Y506" s="34">
        <f>IF(X506='Listas suspensas'!$A$21,'Listas suspensas'!$B$23,IF(X506='Listas suspensas'!$A$22,'Listas suspensas'!$B$23,IF(X506='Listas suspensas'!$A$23,'Listas suspensas'!$B$22,IF(X506='Listas suspensas'!$A$26,'Listas suspensas'!$B$22,IF(X506='Listas suspensas'!$A$32,'Listas suspensas'!$B$22,IF(X506='Listas suspensas'!$A$33,'Listas suspensas'!$B$21,IF(X506='Listas suspensas'!$A$24,'Listas suspensas'!$B$22,IF(X506='Listas suspensas'!$A$25,'Listas suspensas'!$B$21,IF(X506='Listas suspensas'!$A$30,'Listas suspensas'!$B$21,"")))))))))</f>
        <v>6.5</v>
      </c>
      <c r="Z506" s="8" t="s">
        <v>80</v>
      </c>
      <c r="AA506" s="8">
        <v>2</v>
      </c>
      <c r="AB506" s="8" t="str">
        <f>IF(AA506='Listas suspensas'!$A$2,'Listas suspensas'!$B$2,IF(AA506='Listas suspensas'!$A$3,'Listas suspensas'!$B$3,IF(AA506='Listas suspensas'!$A$4,'Listas suspensas'!$B$4,IF(AA506='Listas suspensas'!$A$5,'Listas suspensas'!$B$5,IF(AA506='Listas suspensas'!$A$6,'Listas suspensas'!$B$6,"")))))</f>
        <v>Profunda e irregular</v>
      </c>
      <c r="AC506" s="8" t="str">
        <f>IF(AA506='Listas suspensas'!$A$2,'Listas suspensas'!$C$2,IF(AA506='Listas suspensas'!$A$3,'Listas suspensas'!$C$3,IF(AA506='Listas suspensas'!$A$4,'Listas suspensas'!$C$4,IF(AA506='Listas suspensas'!$A$5,'Listas suspensas'!$C$5,IF(AA506='Listas suspensas'!$A$6,'Listas suspensas'!$C$6,"")))))</f>
        <v>Indica a penetração profunda, mas desuniforme em toda a extensão do alburno.</v>
      </c>
      <c r="BD506" s="13">
        <v>0.56699999999999995</v>
      </c>
      <c r="BE506" s="18">
        <f t="shared" si="92"/>
        <v>567</v>
      </c>
      <c r="BF506" s="8">
        <v>0.82599999999999996</v>
      </c>
      <c r="BG506" s="8">
        <v>0.372</v>
      </c>
      <c r="BH506" s="8">
        <v>0.69799999999999995</v>
      </c>
      <c r="BI506" s="13">
        <f t="shared" si="86"/>
        <v>1.8959999999999999</v>
      </c>
      <c r="BJ506" s="14">
        <v>43.6</v>
      </c>
      <c r="BK506" s="14">
        <v>19.600000000000001</v>
      </c>
      <c r="BL506" s="14">
        <v>36.799999999999997</v>
      </c>
      <c r="BM506" s="16">
        <f t="shared" si="87"/>
        <v>100</v>
      </c>
      <c r="BN506" s="21">
        <f t="shared" si="88"/>
        <v>4.68</v>
      </c>
      <c r="BO506" s="21">
        <f t="shared" si="89"/>
        <v>2.11</v>
      </c>
      <c r="BP506" s="21">
        <f t="shared" si="90"/>
        <v>3.96</v>
      </c>
      <c r="BQ506" s="14">
        <f t="shared" si="91"/>
        <v>10.75</v>
      </c>
      <c r="BR506" s="22" t="str">
        <f>IF(OR(AND(X506="Mourões", BQ506&gt;=6.5),AND(X506="Postes", BQ506&gt;=9.6),AND(X506="Dormentes", BQ506&gt;=9.6),AND(X506="Estacas - Solo", BQ506&gt;=6.5),AND(X506="Estacas - Suspenso", BQ506&gt;=4),AND(X506="Cruzetas", BQ506&gt;=6.5),AND(X506="Outros - Solo", BQ506&gt;=6.5),AND(X506="Outros - Suspenso",BQ506&gt;=4),AND(X506="Deck",BQ506&gt;=4)),'Listas suspensas'!$C$21,'Listas suspensas'!$C$22)</f>
        <v>Os resultados da análise química apresentaram uma retenção do produto de acordo com o padrão mínimo exigido pela norma ABNT NBR 16143</v>
      </c>
    </row>
    <row r="507" spans="2:70" x14ac:dyDescent="0.25">
      <c r="B507" s="8" t="s">
        <v>1445</v>
      </c>
      <c r="C507" s="8" t="s">
        <v>71</v>
      </c>
      <c r="F507" s="11">
        <v>45974</v>
      </c>
      <c r="G507" s="11">
        <v>45978</v>
      </c>
      <c r="H507" s="11">
        <v>45989</v>
      </c>
      <c r="I507" s="8" t="s">
        <v>1428</v>
      </c>
      <c r="J507" s="8" t="s">
        <v>1429</v>
      </c>
      <c r="K507" s="8" t="s">
        <v>144</v>
      </c>
      <c r="L507" s="8" t="s">
        <v>15</v>
      </c>
      <c r="M507" s="30" t="s">
        <v>1430</v>
      </c>
      <c r="N507" s="8" t="s">
        <v>1165</v>
      </c>
      <c r="O507" s="8" t="s">
        <v>76</v>
      </c>
      <c r="P507" s="28" t="s">
        <v>146</v>
      </c>
      <c r="Q507" s="16" t="s">
        <v>1560</v>
      </c>
      <c r="X507" s="8" t="s">
        <v>101</v>
      </c>
      <c r="Y507" s="34">
        <f>IF(X507='Listas suspensas'!$A$21,'Listas suspensas'!$B$23,IF(X507='Listas suspensas'!$A$22,'Listas suspensas'!$B$23,IF(X507='Listas suspensas'!$A$23,'Listas suspensas'!$B$22,IF(X507='Listas suspensas'!$A$26,'Listas suspensas'!$B$22,IF(X507='Listas suspensas'!$A$32,'Listas suspensas'!$B$22,IF(X507='Listas suspensas'!$A$33,'Listas suspensas'!$B$21,IF(X507='Listas suspensas'!$A$24,'Listas suspensas'!$B$22,IF(X507='Listas suspensas'!$A$25,'Listas suspensas'!$B$21,IF(X507='Listas suspensas'!$A$30,'Listas suspensas'!$B$21,"")))))))))</f>
        <v>6.5</v>
      </c>
      <c r="Z507" s="8" t="s">
        <v>80</v>
      </c>
      <c r="AA507" s="8">
        <v>2</v>
      </c>
      <c r="AB507" s="8" t="str">
        <f>IF(AA507='Listas suspensas'!$A$2,'Listas suspensas'!$B$2,IF(AA507='Listas suspensas'!$A$3,'Listas suspensas'!$B$3,IF(AA507='Listas suspensas'!$A$4,'Listas suspensas'!$B$4,IF(AA507='Listas suspensas'!$A$5,'Listas suspensas'!$B$5,IF(AA507='Listas suspensas'!$A$6,'Listas suspensas'!$B$6,"")))))</f>
        <v>Profunda e irregular</v>
      </c>
      <c r="AC507" s="8" t="str">
        <f>IF(AA507='Listas suspensas'!$A$2,'Listas suspensas'!$C$2,IF(AA507='Listas suspensas'!$A$3,'Listas suspensas'!$C$3,IF(AA507='Listas suspensas'!$A$4,'Listas suspensas'!$C$4,IF(AA507='Listas suspensas'!$A$5,'Listas suspensas'!$C$5,IF(AA507='Listas suspensas'!$A$6,'Listas suspensas'!$C$6,"")))))</f>
        <v>Indica a penetração profunda, mas desuniforme em toda a extensão do alburno.</v>
      </c>
      <c r="BD507" s="13">
        <v>0.53</v>
      </c>
      <c r="BE507" s="18">
        <f t="shared" si="92"/>
        <v>530</v>
      </c>
      <c r="BF507" s="8">
        <v>0.94099999999999995</v>
      </c>
      <c r="BG507" s="8">
        <v>0.33400000000000002</v>
      </c>
      <c r="BH507" s="8">
        <v>0.749</v>
      </c>
      <c r="BI507" s="13">
        <f t="shared" si="86"/>
        <v>2.024</v>
      </c>
      <c r="BJ507" s="14">
        <v>46.5</v>
      </c>
      <c r="BK507" s="14">
        <v>16.5</v>
      </c>
      <c r="BL507" s="14">
        <v>37</v>
      </c>
      <c r="BM507" s="16">
        <f t="shared" si="87"/>
        <v>100</v>
      </c>
      <c r="BN507" s="21">
        <f t="shared" si="88"/>
        <v>4.99</v>
      </c>
      <c r="BO507" s="21">
        <f t="shared" si="89"/>
        <v>1.77</v>
      </c>
      <c r="BP507" s="21">
        <f t="shared" si="90"/>
        <v>3.97</v>
      </c>
      <c r="BQ507" s="14">
        <f t="shared" si="91"/>
        <v>10.73</v>
      </c>
      <c r="BR507" s="22" t="str">
        <f>IF(OR(AND(X507="Mourões", BQ507&gt;=6.5),AND(X507="Postes", BQ507&gt;=9.6),AND(X507="Dormentes", BQ507&gt;=9.6),AND(X507="Estacas - Solo", BQ507&gt;=6.5),AND(X507="Estacas - Suspenso", BQ507&gt;=4),AND(X507="Cruzetas", BQ507&gt;=6.5),AND(X507="Outros - Solo", BQ507&gt;=6.5),AND(X507="Outros - Suspenso",BQ507&gt;=4),AND(X507="Deck",BQ507&gt;=4)),'Listas suspensas'!$C$21,'Listas suspensas'!$C$22)</f>
        <v>Os resultados da análise química apresentaram uma retenção do produto de acordo com o padrão mínimo exigido pela norma ABNT NBR 16143</v>
      </c>
    </row>
    <row r="508" spans="2:70" x14ac:dyDescent="0.25">
      <c r="B508" s="8" t="s">
        <v>1446</v>
      </c>
      <c r="C508" s="8" t="s">
        <v>71</v>
      </c>
      <c r="F508" s="11">
        <v>45974</v>
      </c>
      <c r="G508" s="11">
        <v>45978</v>
      </c>
      <c r="H508" s="11">
        <v>45989</v>
      </c>
      <c r="I508" s="8" t="s">
        <v>1428</v>
      </c>
      <c r="J508" s="8" t="s">
        <v>1429</v>
      </c>
      <c r="K508" s="8" t="s">
        <v>144</v>
      </c>
      <c r="L508" s="8" t="s">
        <v>15</v>
      </c>
      <c r="M508" s="30" t="s">
        <v>1430</v>
      </c>
      <c r="N508" s="8" t="s">
        <v>1165</v>
      </c>
      <c r="O508" s="8" t="s">
        <v>76</v>
      </c>
      <c r="P508" s="28" t="s">
        <v>146</v>
      </c>
      <c r="Q508" s="16" t="s">
        <v>1561</v>
      </c>
      <c r="X508" s="8" t="s">
        <v>101</v>
      </c>
      <c r="Y508" s="34">
        <f>IF(X508='Listas suspensas'!$A$21,'Listas suspensas'!$B$23,IF(X508='Listas suspensas'!$A$22,'Listas suspensas'!$B$23,IF(X508='Listas suspensas'!$A$23,'Listas suspensas'!$B$22,IF(X508='Listas suspensas'!$A$26,'Listas suspensas'!$B$22,IF(X508='Listas suspensas'!$A$32,'Listas suspensas'!$B$22,IF(X508='Listas suspensas'!$A$33,'Listas suspensas'!$B$21,IF(X508='Listas suspensas'!$A$24,'Listas suspensas'!$B$22,IF(X508='Listas suspensas'!$A$25,'Listas suspensas'!$B$21,IF(X508='Listas suspensas'!$A$30,'Listas suspensas'!$B$21,"")))))))))</f>
        <v>6.5</v>
      </c>
      <c r="Z508" s="8" t="s">
        <v>80</v>
      </c>
      <c r="AA508" s="8">
        <v>2</v>
      </c>
      <c r="AB508" s="8" t="str">
        <f>IF(AA508='Listas suspensas'!$A$2,'Listas suspensas'!$B$2,IF(AA508='Listas suspensas'!$A$3,'Listas suspensas'!$B$3,IF(AA508='Listas suspensas'!$A$4,'Listas suspensas'!$B$4,IF(AA508='Listas suspensas'!$A$5,'Listas suspensas'!$B$5,IF(AA508='Listas suspensas'!$A$6,'Listas suspensas'!$B$6,"")))))</f>
        <v>Profunda e irregular</v>
      </c>
      <c r="AC508" s="8" t="str">
        <f>IF(AA508='Listas suspensas'!$A$2,'Listas suspensas'!$C$2,IF(AA508='Listas suspensas'!$A$3,'Listas suspensas'!$C$3,IF(AA508='Listas suspensas'!$A$4,'Listas suspensas'!$C$4,IF(AA508='Listas suspensas'!$A$5,'Listas suspensas'!$C$5,IF(AA508='Listas suspensas'!$A$6,'Listas suspensas'!$C$6,"")))))</f>
        <v>Indica a penetração profunda, mas desuniforme em toda a extensão do alburno.</v>
      </c>
      <c r="BD508" s="13">
        <v>0.52700000000000002</v>
      </c>
      <c r="BE508" s="18">
        <f t="shared" si="92"/>
        <v>527</v>
      </c>
      <c r="BF508" s="8">
        <v>0.878</v>
      </c>
      <c r="BG508" s="8">
        <v>0.39100000000000001</v>
      </c>
      <c r="BH508" s="8">
        <v>0.65</v>
      </c>
      <c r="BI508" s="13">
        <f t="shared" si="86"/>
        <v>1.919</v>
      </c>
      <c r="BJ508" s="14">
        <v>45.7</v>
      </c>
      <c r="BK508" s="14">
        <v>20.399999999999999</v>
      </c>
      <c r="BL508" s="14">
        <v>33.9</v>
      </c>
      <c r="BM508" s="16">
        <f t="shared" si="87"/>
        <v>100</v>
      </c>
      <c r="BN508" s="21">
        <f t="shared" si="88"/>
        <v>4.63</v>
      </c>
      <c r="BO508" s="21">
        <f t="shared" si="89"/>
        <v>2.06</v>
      </c>
      <c r="BP508" s="21">
        <f t="shared" si="90"/>
        <v>3.43</v>
      </c>
      <c r="BQ508" s="14">
        <f t="shared" si="91"/>
        <v>10.119999999999999</v>
      </c>
      <c r="BR508" s="22" t="str">
        <f>IF(OR(AND(X508="Mourões", BQ508&gt;=6.5),AND(X508="Postes", BQ508&gt;=9.6),AND(X508="Dormentes", BQ508&gt;=9.6),AND(X508="Estacas - Solo", BQ508&gt;=6.5),AND(X508="Estacas - Suspenso", BQ508&gt;=4),AND(X508="Cruzetas", BQ508&gt;=6.5),AND(X508="Outros - Solo", BQ508&gt;=6.5),AND(X508="Outros - Suspenso",BQ508&gt;=4),AND(X508="Deck",BQ508&gt;=4)),'Listas suspensas'!$C$21,'Listas suspensas'!$C$22)</f>
        <v>Os resultados da análise química apresentaram uma retenção do produto de acordo com o padrão mínimo exigido pela norma ABNT NBR 16143</v>
      </c>
    </row>
    <row r="509" spans="2:70" x14ac:dyDescent="0.25">
      <c r="B509" s="8" t="s">
        <v>1447</v>
      </c>
      <c r="C509" s="8" t="s">
        <v>71</v>
      </c>
      <c r="F509" s="11">
        <v>45974</v>
      </c>
      <c r="G509" s="11">
        <v>45978</v>
      </c>
      <c r="H509" s="11">
        <v>45989</v>
      </c>
      <c r="I509" s="8" t="s">
        <v>1428</v>
      </c>
      <c r="J509" s="8" t="s">
        <v>1429</v>
      </c>
      <c r="K509" s="8" t="s">
        <v>144</v>
      </c>
      <c r="L509" s="8" t="s">
        <v>15</v>
      </c>
      <c r="M509" s="30" t="s">
        <v>1430</v>
      </c>
      <c r="N509" s="8" t="s">
        <v>1165</v>
      </c>
      <c r="O509" s="8" t="s">
        <v>76</v>
      </c>
      <c r="P509" s="28" t="s">
        <v>146</v>
      </c>
      <c r="Q509" s="16" t="s">
        <v>1562</v>
      </c>
      <c r="X509" s="8" t="s">
        <v>101</v>
      </c>
      <c r="Y509" s="34">
        <f>IF(X509='Listas suspensas'!$A$21,'Listas suspensas'!$B$23,IF(X509='Listas suspensas'!$A$22,'Listas suspensas'!$B$23,IF(X509='Listas suspensas'!$A$23,'Listas suspensas'!$B$22,IF(X509='Listas suspensas'!$A$26,'Listas suspensas'!$B$22,IF(X509='Listas suspensas'!$A$32,'Listas suspensas'!$B$22,IF(X509='Listas suspensas'!$A$33,'Listas suspensas'!$B$21,IF(X509='Listas suspensas'!$A$24,'Listas suspensas'!$B$22,IF(X509='Listas suspensas'!$A$25,'Listas suspensas'!$B$21,IF(X509='Listas suspensas'!$A$30,'Listas suspensas'!$B$21,"")))))))))</f>
        <v>6.5</v>
      </c>
      <c r="Z509" s="8" t="s">
        <v>80</v>
      </c>
      <c r="AA509" s="8">
        <v>3</v>
      </c>
      <c r="AB509" s="8" t="str">
        <f>IF(AA509='Listas suspensas'!$A$2,'Listas suspensas'!$B$2,IF(AA509='Listas suspensas'!$A$3,'Listas suspensas'!$B$3,IF(AA509='Listas suspensas'!$A$4,'Listas suspensas'!$B$4,IF(AA509='Listas suspensas'!$A$5,'Listas suspensas'!$B$5,IF(AA509='Listas suspensas'!$A$6,'Listas suspensas'!$B$6,"")))))</f>
        <v xml:space="preserve"> Parcial e regular</v>
      </c>
      <c r="AC509" s="8" t="str">
        <f>IF(AA509='Listas suspensas'!$A$2,'Listas suspensas'!$C$2,IF(AA509='Listas suspensas'!$A$3,'Listas suspensas'!$C$3,IF(AA509='Listas suspensas'!$A$4,'Listas suspensas'!$C$4,IF(AA509='Listas suspensas'!$A$5,'Listas suspensas'!$C$5,IF(AA509='Listas suspensas'!$A$6,'Listas suspensas'!$C$6,"")))))</f>
        <v>Indica a penetração uniforme, mas não total pela extensão do alburno.</v>
      </c>
      <c r="BD509" s="13">
        <v>0.55000000000000004</v>
      </c>
      <c r="BE509" s="18">
        <f t="shared" si="92"/>
        <v>550</v>
      </c>
      <c r="BF509" s="8">
        <v>0.32300000000000001</v>
      </c>
      <c r="BG509" s="8">
        <v>0.14599999999999999</v>
      </c>
      <c r="BH509" s="8">
        <v>0.309</v>
      </c>
      <c r="BI509" s="13">
        <f t="shared" si="86"/>
        <v>0.77800000000000002</v>
      </c>
      <c r="BJ509" s="14">
        <v>41.5</v>
      </c>
      <c r="BK509" s="14">
        <v>18.8</v>
      </c>
      <c r="BL509" s="14">
        <v>39.700000000000003</v>
      </c>
      <c r="BM509" s="16">
        <f t="shared" si="87"/>
        <v>100</v>
      </c>
      <c r="BN509" s="21">
        <f t="shared" si="88"/>
        <v>1.78</v>
      </c>
      <c r="BO509" s="21">
        <f t="shared" si="89"/>
        <v>0.8</v>
      </c>
      <c r="BP509" s="21">
        <f t="shared" si="90"/>
        <v>1.7</v>
      </c>
      <c r="BQ509" s="14">
        <f t="shared" si="91"/>
        <v>4.28</v>
      </c>
      <c r="BR509" s="22" t="str">
        <f>IF(OR(AND(X509="Mourões", BQ509&gt;=6.5),AND(X509="Postes", BQ509&gt;=9.6),AND(X509="Dormentes", BQ509&gt;=9.6),AND(X509="Estacas - Solo", BQ509&gt;=6.5),AND(X509="Estacas - Suspenso", BQ509&gt;=4),AND(X509="Cruzetas", BQ509&gt;=6.5),AND(X509="Outros - Solo", BQ509&gt;=6.5),AND(X509="Outros - Suspenso",BQ509&gt;=4),AND(X509="Deck",BQ509&gt;=4)),'Listas suspensas'!$C$21,'Listas suspensas'!$C$22)</f>
        <v>Os resultados da análise química apresentaram uma retenção do produto inferior ao padrão mínimo exigido pela norma ABNT NBR 16143</v>
      </c>
    </row>
    <row r="510" spans="2:70" x14ac:dyDescent="0.25">
      <c r="B510" s="8" t="s">
        <v>1448</v>
      </c>
      <c r="C510" s="8" t="s">
        <v>71</v>
      </c>
      <c r="F510" s="11">
        <v>45974</v>
      </c>
      <c r="G510" s="11">
        <v>45978</v>
      </c>
      <c r="H510" s="11">
        <v>45989</v>
      </c>
      <c r="I510" s="8" t="s">
        <v>1428</v>
      </c>
      <c r="J510" s="8" t="s">
        <v>1429</v>
      </c>
      <c r="K510" s="8" t="s">
        <v>144</v>
      </c>
      <c r="L510" s="8" t="s">
        <v>15</v>
      </c>
      <c r="M510" s="30" t="s">
        <v>1430</v>
      </c>
      <c r="N510" s="8" t="s">
        <v>1165</v>
      </c>
      <c r="O510" s="8" t="s">
        <v>76</v>
      </c>
      <c r="P510" s="28" t="s">
        <v>146</v>
      </c>
      <c r="Q510" s="16" t="s">
        <v>1563</v>
      </c>
      <c r="X510" s="8" t="s">
        <v>101</v>
      </c>
      <c r="Y510" s="34">
        <f>IF(X510='Listas suspensas'!$A$21,'Listas suspensas'!$B$23,IF(X510='Listas suspensas'!$A$22,'Listas suspensas'!$B$23,IF(X510='Listas suspensas'!$A$23,'Listas suspensas'!$B$22,IF(X510='Listas suspensas'!$A$26,'Listas suspensas'!$B$22,IF(X510='Listas suspensas'!$A$32,'Listas suspensas'!$B$22,IF(X510='Listas suspensas'!$A$33,'Listas suspensas'!$B$21,IF(X510='Listas suspensas'!$A$24,'Listas suspensas'!$B$22,IF(X510='Listas suspensas'!$A$25,'Listas suspensas'!$B$21,IF(X510='Listas suspensas'!$A$30,'Listas suspensas'!$B$21,"")))))))))</f>
        <v>6.5</v>
      </c>
      <c r="Z510" s="8" t="s">
        <v>80</v>
      </c>
      <c r="AA510" s="8">
        <v>3</v>
      </c>
      <c r="AB510" s="8" t="str">
        <f>IF(AA510='Listas suspensas'!$A$2,'Listas suspensas'!$B$2,IF(AA510='Listas suspensas'!$A$3,'Listas suspensas'!$B$3,IF(AA510='Listas suspensas'!$A$4,'Listas suspensas'!$B$4,IF(AA510='Listas suspensas'!$A$5,'Listas suspensas'!$B$5,IF(AA510='Listas suspensas'!$A$6,'Listas suspensas'!$B$6,"")))))</f>
        <v xml:space="preserve"> Parcial e regular</v>
      </c>
      <c r="AC510" s="8" t="str">
        <f>IF(AA510='Listas suspensas'!$A$2,'Listas suspensas'!$C$2,IF(AA510='Listas suspensas'!$A$3,'Listas suspensas'!$C$3,IF(AA510='Listas suspensas'!$A$4,'Listas suspensas'!$C$4,IF(AA510='Listas suspensas'!$A$5,'Listas suspensas'!$C$5,IF(AA510='Listas suspensas'!$A$6,'Listas suspensas'!$C$6,"")))))</f>
        <v>Indica a penetração uniforme, mas não total pela extensão do alburno.</v>
      </c>
      <c r="BD510" s="13">
        <v>0.43099999999999999</v>
      </c>
      <c r="BE510" s="18">
        <f t="shared" si="92"/>
        <v>431</v>
      </c>
      <c r="BF510" s="8">
        <v>0.53700000000000003</v>
      </c>
      <c r="BG510" s="8">
        <v>0.23899999999999999</v>
      </c>
      <c r="BH510" s="8">
        <v>0.45500000000000002</v>
      </c>
      <c r="BI510" s="13">
        <f t="shared" si="86"/>
        <v>1.2310000000000001</v>
      </c>
      <c r="BJ510" s="14">
        <v>43.6</v>
      </c>
      <c r="BK510" s="14">
        <v>19.399999999999999</v>
      </c>
      <c r="BL510" s="14">
        <v>37</v>
      </c>
      <c r="BM510" s="16">
        <f t="shared" si="87"/>
        <v>100</v>
      </c>
      <c r="BN510" s="21">
        <f t="shared" si="88"/>
        <v>2.31</v>
      </c>
      <c r="BO510" s="21">
        <f t="shared" si="89"/>
        <v>1.03</v>
      </c>
      <c r="BP510" s="21">
        <f t="shared" si="90"/>
        <v>1.96</v>
      </c>
      <c r="BQ510" s="14">
        <f t="shared" si="91"/>
        <v>5.3</v>
      </c>
      <c r="BR510" s="22" t="str">
        <f>IF(OR(AND(X510="Mourões", BQ510&gt;=6.5),AND(X510="Postes", BQ510&gt;=9.6),AND(X510="Dormentes", BQ510&gt;=9.6),AND(X510="Estacas - Solo", BQ510&gt;=6.5),AND(X510="Estacas - Suspenso", BQ510&gt;=4),AND(X510="Cruzetas", BQ510&gt;=6.5),AND(X510="Outros - Solo", BQ510&gt;=6.5),AND(X510="Outros - Suspenso",BQ510&gt;=4),AND(X510="Deck",BQ510&gt;=4)),'Listas suspensas'!$C$21,'Listas suspensas'!$C$22)</f>
        <v>Os resultados da análise química apresentaram uma retenção do produto inferior ao padrão mínimo exigido pela norma ABNT NBR 16143</v>
      </c>
    </row>
    <row r="511" spans="2:70" x14ac:dyDescent="0.25">
      <c r="B511" s="8" t="s">
        <v>1449</v>
      </c>
      <c r="C511" s="8" t="s">
        <v>71</v>
      </c>
      <c r="F511" s="11">
        <v>45974</v>
      </c>
      <c r="G511" s="11">
        <v>45978</v>
      </c>
      <c r="H511" s="11">
        <v>45989</v>
      </c>
      <c r="I511" s="8" t="s">
        <v>1428</v>
      </c>
      <c r="J511" s="8" t="s">
        <v>1429</v>
      </c>
      <c r="K511" s="8" t="s">
        <v>144</v>
      </c>
      <c r="L511" s="8" t="s">
        <v>15</v>
      </c>
      <c r="M511" s="30" t="s">
        <v>1430</v>
      </c>
      <c r="N511" s="8" t="s">
        <v>1165</v>
      </c>
      <c r="O511" s="8" t="s">
        <v>76</v>
      </c>
      <c r="P511" s="28" t="s">
        <v>146</v>
      </c>
      <c r="Q511" s="16" t="s">
        <v>1564</v>
      </c>
      <c r="X511" s="8" t="s">
        <v>101</v>
      </c>
      <c r="Y511" s="34">
        <f>IF(X511='Listas suspensas'!$A$21,'Listas suspensas'!$B$23,IF(X511='Listas suspensas'!$A$22,'Listas suspensas'!$B$23,IF(X511='Listas suspensas'!$A$23,'Listas suspensas'!$B$22,IF(X511='Listas suspensas'!$A$26,'Listas suspensas'!$B$22,IF(X511='Listas suspensas'!$A$32,'Listas suspensas'!$B$22,IF(X511='Listas suspensas'!$A$33,'Listas suspensas'!$B$21,IF(X511='Listas suspensas'!$A$24,'Listas suspensas'!$B$22,IF(X511='Listas suspensas'!$A$25,'Listas suspensas'!$B$21,IF(X511='Listas suspensas'!$A$30,'Listas suspensas'!$B$21,"")))))))))</f>
        <v>6.5</v>
      </c>
      <c r="Z511" s="8" t="s">
        <v>80</v>
      </c>
      <c r="AA511" s="8">
        <v>2</v>
      </c>
      <c r="AB511" s="8" t="str">
        <f>IF(AA511='Listas suspensas'!$A$2,'Listas suspensas'!$B$2,IF(AA511='Listas suspensas'!$A$3,'Listas suspensas'!$B$3,IF(AA511='Listas suspensas'!$A$4,'Listas suspensas'!$B$4,IF(AA511='Listas suspensas'!$A$5,'Listas suspensas'!$B$5,IF(AA511='Listas suspensas'!$A$6,'Listas suspensas'!$B$6,"")))))</f>
        <v>Profunda e irregular</v>
      </c>
      <c r="AC511" s="8" t="str">
        <f>IF(AA511='Listas suspensas'!$A$2,'Listas suspensas'!$C$2,IF(AA511='Listas suspensas'!$A$3,'Listas suspensas'!$C$3,IF(AA511='Listas suspensas'!$A$4,'Listas suspensas'!$C$4,IF(AA511='Listas suspensas'!$A$5,'Listas suspensas'!$C$5,IF(AA511='Listas suspensas'!$A$6,'Listas suspensas'!$C$6,"")))))</f>
        <v>Indica a penetração profunda, mas desuniforme em toda a extensão do alburno.</v>
      </c>
      <c r="BD511" s="13">
        <v>0.435</v>
      </c>
      <c r="BE511" s="18">
        <f t="shared" si="92"/>
        <v>435</v>
      </c>
      <c r="BF511" s="8">
        <v>0.83699999999999997</v>
      </c>
      <c r="BG511" s="8">
        <v>0.29099999999999998</v>
      </c>
      <c r="BH511" s="8">
        <v>0.50600000000000001</v>
      </c>
      <c r="BI511" s="13">
        <f t="shared" si="86"/>
        <v>1.6339999999999999</v>
      </c>
      <c r="BJ511" s="14">
        <v>51.3</v>
      </c>
      <c r="BK511" s="14">
        <v>17.8</v>
      </c>
      <c r="BL511" s="14">
        <v>30.9</v>
      </c>
      <c r="BM511" s="16">
        <f t="shared" si="87"/>
        <v>100</v>
      </c>
      <c r="BN511" s="21">
        <f t="shared" si="88"/>
        <v>3.64</v>
      </c>
      <c r="BO511" s="21">
        <f t="shared" si="89"/>
        <v>1.27</v>
      </c>
      <c r="BP511" s="21">
        <f t="shared" si="90"/>
        <v>2.2000000000000002</v>
      </c>
      <c r="BQ511" s="14">
        <f t="shared" si="91"/>
        <v>7.11</v>
      </c>
      <c r="BR511" s="22" t="str">
        <f>IF(OR(AND(X511="Mourões", BQ511&gt;=6.5),AND(X511="Postes", BQ511&gt;=9.6),AND(X511="Dormentes", BQ511&gt;=9.6),AND(X511="Estacas - Solo", BQ511&gt;=6.5),AND(X511="Estacas - Suspenso", BQ511&gt;=4),AND(X511="Cruzetas", BQ511&gt;=6.5),AND(X511="Outros - Solo", BQ511&gt;=6.5),AND(X511="Outros - Suspenso",BQ511&gt;=4),AND(X511="Deck",BQ511&gt;=4)),'Listas suspensas'!$C$21,'Listas suspensas'!$C$22)</f>
        <v>Os resultados da análise química apresentaram uma retenção do produto de acordo com o padrão mínimo exigido pela norma ABNT NBR 16143</v>
      </c>
    </row>
    <row r="512" spans="2:70" x14ac:dyDescent="0.25">
      <c r="B512" s="8" t="s">
        <v>1450</v>
      </c>
      <c r="C512" s="8" t="s">
        <v>71</v>
      </c>
      <c r="F512" s="11">
        <v>45974</v>
      </c>
      <c r="G512" s="11">
        <v>45978</v>
      </c>
      <c r="H512" s="11">
        <v>45989</v>
      </c>
      <c r="I512" s="8" t="s">
        <v>1428</v>
      </c>
      <c r="J512" s="8" t="s">
        <v>1429</v>
      </c>
      <c r="K512" s="8" t="s">
        <v>144</v>
      </c>
      <c r="L512" s="8" t="s">
        <v>15</v>
      </c>
      <c r="M512" s="30" t="s">
        <v>1430</v>
      </c>
      <c r="N512" s="8" t="s">
        <v>1165</v>
      </c>
      <c r="O512" s="8" t="s">
        <v>76</v>
      </c>
      <c r="P512" s="28" t="s">
        <v>146</v>
      </c>
      <c r="Q512" s="16" t="s">
        <v>1565</v>
      </c>
      <c r="X512" s="8" t="s">
        <v>101</v>
      </c>
      <c r="Y512" s="34">
        <f>IF(X512='Listas suspensas'!$A$21,'Listas suspensas'!$B$23,IF(X512='Listas suspensas'!$A$22,'Listas suspensas'!$B$23,IF(X512='Listas suspensas'!$A$23,'Listas suspensas'!$B$22,IF(X512='Listas suspensas'!$A$26,'Listas suspensas'!$B$22,IF(X512='Listas suspensas'!$A$32,'Listas suspensas'!$B$22,IF(X512='Listas suspensas'!$A$33,'Listas suspensas'!$B$21,IF(X512='Listas suspensas'!$A$24,'Listas suspensas'!$B$22,IF(X512='Listas suspensas'!$A$25,'Listas suspensas'!$B$21,IF(X512='Listas suspensas'!$A$30,'Listas suspensas'!$B$21,"")))))))))</f>
        <v>6.5</v>
      </c>
      <c r="Z512" s="8" t="s">
        <v>80</v>
      </c>
      <c r="AA512" s="8">
        <v>3</v>
      </c>
      <c r="AB512" s="8" t="str">
        <f>IF(AA512='Listas suspensas'!$A$2,'Listas suspensas'!$B$2,IF(AA512='Listas suspensas'!$A$3,'Listas suspensas'!$B$3,IF(AA512='Listas suspensas'!$A$4,'Listas suspensas'!$B$4,IF(AA512='Listas suspensas'!$A$5,'Listas suspensas'!$B$5,IF(AA512='Listas suspensas'!$A$6,'Listas suspensas'!$B$6,"")))))</f>
        <v xml:space="preserve"> Parcial e regular</v>
      </c>
      <c r="AC512" s="8" t="str">
        <f>IF(AA512='Listas suspensas'!$A$2,'Listas suspensas'!$C$2,IF(AA512='Listas suspensas'!$A$3,'Listas suspensas'!$C$3,IF(AA512='Listas suspensas'!$A$4,'Listas suspensas'!$C$4,IF(AA512='Listas suspensas'!$A$5,'Listas suspensas'!$C$5,IF(AA512='Listas suspensas'!$A$6,'Listas suspensas'!$C$6,"")))))</f>
        <v>Indica a penetração uniforme, mas não total pela extensão do alburno.</v>
      </c>
      <c r="BD512" s="13">
        <v>0.53900000000000003</v>
      </c>
      <c r="BE512" s="18">
        <f t="shared" si="92"/>
        <v>539</v>
      </c>
      <c r="BF512" s="8">
        <v>0.46800000000000003</v>
      </c>
      <c r="BG512" s="8">
        <v>0.19800000000000001</v>
      </c>
      <c r="BH512" s="8">
        <v>0.35899999999999999</v>
      </c>
      <c r="BI512" s="13">
        <f t="shared" si="86"/>
        <v>1.0249999999999999</v>
      </c>
      <c r="BJ512" s="14">
        <v>45.7</v>
      </c>
      <c r="BK512" s="14">
        <v>19.3</v>
      </c>
      <c r="BL512" s="14">
        <v>35</v>
      </c>
      <c r="BM512" s="16">
        <f t="shared" si="87"/>
        <v>100</v>
      </c>
      <c r="BN512" s="21">
        <f t="shared" si="88"/>
        <v>2.52</v>
      </c>
      <c r="BO512" s="21">
        <f t="shared" si="89"/>
        <v>1.07</v>
      </c>
      <c r="BP512" s="21">
        <f t="shared" si="90"/>
        <v>1.94</v>
      </c>
      <c r="BQ512" s="14">
        <f t="shared" si="91"/>
        <v>5.53</v>
      </c>
      <c r="BR512" s="22" t="str">
        <f>IF(OR(AND(X512="Mourões", BQ512&gt;=6.5),AND(X512="Postes", BQ512&gt;=9.6),AND(X512="Dormentes", BQ512&gt;=9.6),AND(X512="Estacas - Solo", BQ512&gt;=6.5),AND(X512="Estacas - Suspenso", BQ512&gt;=4),AND(X512="Cruzetas", BQ512&gt;=6.5),AND(X512="Outros - Solo", BQ512&gt;=6.5),AND(X512="Outros - Suspenso",BQ512&gt;=4),AND(X512="Deck",BQ512&gt;=4)),'Listas suspensas'!$C$21,'Listas suspensas'!$C$22)</f>
        <v>Os resultados da análise química apresentaram uma retenção do produto inferior ao padrão mínimo exigido pela norma ABNT NBR 16143</v>
      </c>
    </row>
    <row r="513" spans="2:70" x14ac:dyDescent="0.25">
      <c r="B513" s="8" t="s">
        <v>1451</v>
      </c>
      <c r="C513" s="8" t="s">
        <v>71</v>
      </c>
      <c r="F513" s="11">
        <v>45974</v>
      </c>
      <c r="G513" s="11">
        <v>45978</v>
      </c>
      <c r="H513" s="11">
        <v>45989</v>
      </c>
      <c r="I513" s="8" t="s">
        <v>815</v>
      </c>
      <c r="J513" s="8" t="s">
        <v>816</v>
      </c>
      <c r="K513" s="8" t="s">
        <v>74</v>
      </c>
      <c r="L513" s="8" t="s">
        <v>15</v>
      </c>
      <c r="M513" s="30" t="s">
        <v>1566</v>
      </c>
      <c r="N513" s="8" t="s">
        <v>1165</v>
      </c>
      <c r="O513" s="8" t="s">
        <v>94</v>
      </c>
      <c r="P513" s="28" t="s">
        <v>146</v>
      </c>
      <c r="Q513" s="16" t="s">
        <v>1567</v>
      </c>
      <c r="X513" s="8" t="s">
        <v>79</v>
      </c>
      <c r="Y513" s="34">
        <f>IF(X513='Listas suspensas'!$A$21,'Listas suspensas'!$B$23,IF(X513='Listas suspensas'!$A$22,'Listas suspensas'!$B$23,IF(X513='Listas suspensas'!$A$23,'Listas suspensas'!$B$22,IF(X513='Listas suspensas'!$A$26,'Listas suspensas'!$B$22,IF(X513='Listas suspensas'!$A$32,'Listas suspensas'!$B$22,IF(X513='Listas suspensas'!$A$33,'Listas suspensas'!$B$21,IF(X513='Listas suspensas'!$A$24,'Listas suspensas'!$B$22,IF(X513='Listas suspensas'!$A$25,'Listas suspensas'!$B$21,IF(X513='Listas suspensas'!$A$30,'Listas suspensas'!$B$21,"")))))))))</f>
        <v>6.5</v>
      </c>
      <c r="Z513" s="8" t="s">
        <v>80</v>
      </c>
      <c r="AA513" s="8">
        <v>2</v>
      </c>
      <c r="AB513" s="8" t="str">
        <f>IF(AA513='Listas suspensas'!$A$2,'Listas suspensas'!$B$2,IF(AA513='Listas suspensas'!$A$3,'Listas suspensas'!$B$3,IF(AA513='Listas suspensas'!$A$4,'Listas suspensas'!$B$4,IF(AA513='Listas suspensas'!$A$5,'Listas suspensas'!$B$5,IF(AA513='Listas suspensas'!$A$6,'Listas suspensas'!$B$6,"")))))</f>
        <v>Profunda e irregular</v>
      </c>
      <c r="AC513" s="8" t="str">
        <f>IF(AA513='Listas suspensas'!$A$2,'Listas suspensas'!$C$2,IF(AA513='Listas suspensas'!$A$3,'Listas suspensas'!$C$3,IF(AA513='Listas suspensas'!$A$4,'Listas suspensas'!$C$4,IF(AA513='Listas suspensas'!$A$5,'Listas suspensas'!$C$5,IF(AA513='Listas suspensas'!$A$6,'Listas suspensas'!$C$6,"")))))</f>
        <v>Indica a penetração profunda, mas desuniforme em toda a extensão do alburno.</v>
      </c>
      <c r="BD513" s="13">
        <v>0.60799999999999998</v>
      </c>
      <c r="BE513" s="18">
        <f t="shared" si="92"/>
        <v>608</v>
      </c>
      <c r="BF513" s="8">
        <v>0.72099999999999997</v>
      </c>
      <c r="BG513" s="8">
        <v>0.28899999999999998</v>
      </c>
      <c r="BH513" s="8">
        <v>0.53</v>
      </c>
      <c r="BI513" s="13">
        <f t="shared" si="86"/>
        <v>1.54</v>
      </c>
      <c r="BJ513" s="14">
        <v>46.8</v>
      </c>
      <c r="BK513" s="14">
        <v>18.8</v>
      </c>
      <c r="BL513" s="14">
        <v>34.4</v>
      </c>
      <c r="BM513" s="16">
        <f t="shared" si="87"/>
        <v>100</v>
      </c>
      <c r="BN513" s="21">
        <f t="shared" si="88"/>
        <v>4.38</v>
      </c>
      <c r="BO513" s="21">
        <f t="shared" si="89"/>
        <v>1.76</v>
      </c>
      <c r="BP513" s="21">
        <f t="shared" si="90"/>
        <v>3.22</v>
      </c>
      <c r="BQ513" s="14">
        <f t="shared" si="91"/>
        <v>9.36</v>
      </c>
      <c r="BR513" s="22" t="str">
        <f>IF(OR(AND(X513="Mourões", BQ513&gt;=6.5),AND(X513="Postes", BQ513&gt;=9.6),AND(X513="Dormentes", BQ513&gt;=9.6),AND(X513="Estacas - Solo", BQ513&gt;=6.5),AND(X513="Estacas - Suspenso", BQ513&gt;=4),AND(X513="Cruzetas", BQ513&gt;=6.5),AND(X513="Outros - Solo", BQ513&gt;=6.5),AND(X513="Outros - Suspenso",BQ513&gt;=4),AND(X513="Deck",BQ513&gt;=4)),'Listas suspensas'!$C$21,'Listas suspensas'!$C$22)</f>
        <v>Os resultados da análise química apresentaram uma retenção do produto de acordo com o padrão mínimo exigido pela norma ABNT NBR 16143</v>
      </c>
    </row>
    <row r="514" spans="2:70" x14ac:dyDescent="0.25">
      <c r="B514" s="8" t="s">
        <v>1452</v>
      </c>
      <c r="C514" s="8" t="s">
        <v>71</v>
      </c>
      <c r="F514" s="11">
        <v>45974</v>
      </c>
      <c r="G514" s="11">
        <v>45978</v>
      </c>
      <c r="H514" s="11">
        <v>45989</v>
      </c>
      <c r="I514" s="8" t="s">
        <v>815</v>
      </c>
      <c r="J514" s="8" t="s">
        <v>816</v>
      </c>
      <c r="K514" s="8" t="s">
        <v>74</v>
      </c>
      <c r="L514" s="8" t="s">
        <v>15</v>
      </c>
      <c r="M514" s="30" t="s">
        <v>1566</v>
      </c>
      <c r="N514" s="8" t="s">
        <v>1165</v>
      </c>
      <c r="O514" s="8" t="s">
        <v>94</v>
      </c>
      <c r="P514" s="28" t="s">
        <v>146</v>
      </c>
      <c r="Q514" s="16" t="s">
        <v>1568</v>
      </c>
      <c r="X514" s="8" t="s">
        <v>79</v>
      </c>
      <c r="Y514" s="34">
        <f>IF(X514='Listas suspensas'!$A$21,'Listas suspensas'!$B$23,IF(X514='Listas suspensas'!$A$22,'Listas suspensas'!$B$23,IF(X514='Listas suspensas'!$A$23,'Listas suspensas'!$B$22,IF(X514='Listas suspensas'!$A$26,'Listas suspensas'!$B$22,IF(X514='Listas suspensas'!$A$32,'Listas suspensas'!$B$22,IF(X514='Listas suspensas'!$A$33,'Listas suspensas'!$B$21,IF(X514='Listas suspensas'!$A$24,'Listas suspensas'!$B$22,IF(X514='Listas suspensas'!$A$25,'Listas suspensas'!$B$21,IF(X514='Listas suspensas'!$A$30,'Listas suspensas'!$B$21,"")))))))))</f>
        <v>6.5</v>
      </c>
      <c r="Z514" s="8" t="s">
        <v>80</v>
      </c>
      <c r="AA514" s="8">
        <v>3</v>
      </c>
      <c r="AB514" s="8" t="str">
        <f>IF(AA514='Listas suspensas'!$A$2,'Listas suspensas'!$B$2,IF(AA514='Listas suspensas'!$A$3,'Listas suspensas'!$B$3,IF(AA514='Listas suspensas'!$A$4,'Listas suspensas'!$B$4,IF(AA514='Listas suspensas'!$A$5,'Listas suspensas'!$B$5,IF(AA514='Listas suspensas'!$A$6,'Listas suspensas'!$B$6,"")))))</f>
        <v xml:space="preserve"> Parcial e regular</v>
      </c>
      <c r="AC514" s="8" t="str">
        <f>IF(AA514='Listas suspensas'!$A$2,'Listas suspensas'!$C$2,IF(AA514='Listas suspensas'!$A$3,'Listas suspensas'!$C$3,IF(AA514='Listas suspensas'!$A$4,'Listas suspensas'!$C$4,IF(AA514='Listas suspensas'!$A$5,'Listas suspensas'!$C$5,IF(AA514='Listas suspensas'!$A$6,'Listas suspensas'!$C$6,"")))))</f>
        <v>Indica a penetração uniforme, mas não total pela extensão do alburno.</v>
      </c>
      <c r="BD514" s="13">
        <v>0.65300000000000002</v>
      </c>
      <c r="BE514" s="18">
        <f t="shared" si="92"/>
        <v>653</v>
      </c>
      <c r="BF514" s="8">
        <v>0.41199999999999998</v>
      </c>
      <c r="BG514" s="8">
        <v>0.14399999999999999</v>
      </c>
      <c r="BH514" s="8">
        <v>0.24299999999999999</v>
      </c>
      <c r="BI514" s="13">
        <f t="shared" ref="BI514:BI577" si="93">SUM(BF514:BH514)</f>
        <v>0.79899999999999993</v>
      </c>
      <c r="BJ514" s="14">
        <v>51.6</v>
      </c>
      <c r="BK514" s="14">
        <v>18</v>
      </c>
      <c r="BL514" s="14">
        <v>30.4</v>
      </c>
      <c r="BM514" s="16">
        <f t="shared" si="87"/>
        <v>100</v>
      </c>
      <c r="BN514" s="21">
        <f t="shared" si="88"/>
        <v>2.69</v>
      </c>
      <c r="BO514" s="21">
        <f t="shared" si="89"/>
        <v>0.94</v>
      </c>
      <c r="BP514" s="21">
        <f t="shared" si="90"/>
        <v>1.59</v>
      </c>
      <c r="BQ514" s="14">
        <f t="shared" si="91"/>
        <v>5.22</v>
      </c>
      <c r="BR514" s="22" t="str">
        <f>IF(OR(AND(X514="Mourões", BQ514&gt;=6.5),AND(X514="Postes", BQ514&gt;=9.6),AND(X514="Dormentes", BQ514&gt;=9.6),AND(X514="Estacas - Solo", BQ514&gt;=6.5),AND(X514="Estacas - Suspenso", BQ514&gt;=4),AND(X514="Cruzetas", BQ514&gt;=6.5),AND(X514="Outros - Solo", BQ514&gt;=6.5),AND(X514="Outros - Suspenso",BQ514&gt;=4),AND(X514="Deck",BQ514&gt;=4)),'Listas suspensas'!$C$21,'Listas suspensas'!$C$22)</f>
        <v>Os resultados da análise química apresentaram uma retenção do produto inferior ao padrão mínimo exigido pela norma ABNT NBR 16143</v>
      </c>
    </row>
    <row r="515" spans="2:70" x14ac:dyDescent="0.25">
      <c r="B515" s="8" t="s">
        <v>1453</v>
      </c>
      <c r="C515" s="8" t="s">
        <v>71</v>
      </c>
      <c r="F515" s="11">
        <v>45974</v>
      </c>
      <c r="G515" s="11">
        <v>45978</v>
      </c>
      <c r="H515" s="11">
        <v>45989</v>
      </c>
      <c r="I515" s="8" t="s">
        <v>466</v>
      </c>
      <c r="J515" s="8" t="s">
        <v>467</v>
      </c>
      <c r="K515" s="8" t="s">
        <v>144</v>
      </c>
      <c r="L515" s="8" t="s">
        <v>15</v>
      </c>
      <c r="N515" s="8" t="s">
        <v>1165</v>
      </c>
      <c r="O515" s="8" t="s">
        <v>104</v>
      </c>
      <c r="P515" s="28" t="s">
        <v>471</v>
      </c>
      <c r="Q515" s="16" t="s">
        <v>1569</v>
      </c>
      <c r="X515" s="8" t="s">
        <v>101</v>
      </c>
      <c r="Y515" s="34">
        <f>IF(X515='Listas suspensas'!$A$21,'Listas suspensas'!$B$23,IF(X515='Listas suspensas'!$A$22,'Listas suspensas'!$B$23,IF(X515='Listas suspensas'!$A$23,'Listas suspensas'!$B$22,IF(X515='Listas suspensas'!$A$26,'Listas suspensas'!$B$22,IF(X515='Listas suspensas'!$A$32,'Listas suspensas'!$B$22,IF(X515='Listas suspensas'!$A$33,'Listas suspensas'!$B$21,IF(X515='Listas suspensas'!$A$24,'Listas suspensas'!$B$22,IF(X515='Listas suspensas'!$A$25,'Listas suspensas'!$B$21,IF(X515='Listas suspensas'!$A$30,'Listas suspensas'!$B$21,"")))))))))</f>
        <v>6.5</v>
      </c>
      <c r="Z515" s="8" t="s">
        <v>80</v>
      </c>
      <c r="AA515" s="8">
        <v>2</v>
      </c>
      <c r="AB515" s="8" t="str">
        <f>IF(AA515='Listas suspensas'!$A$2,'Listas suspensas'!$B$2,IF(AA515='Listas suspensas'!$A$3,'Listas suspensas'!$B$3,IF(AA515='Listas suspensas'!$A$4,'Listas suspensas'!$B$4,IF(AA515='Listas suspensas'!$A$5,'Listas suspensas'!$B$5,IF(AA515='Listas suspensas'!$A$6,'Listas suspensas'!$B$6,"")))))</f>
        <v>Profunda e irregular</v>
      </c>
      <c r="AC515" s="8" t="str">
        <f>IF(AA515='Listas suspensas'!$A$2,'Listas suspensas'!$C$2,IF(AA515='Listas suspensas'!$A$3,'Listas suspensas'!$C$3,IF(AA515='Listas suspensas'!$A$4,'Listas suspensas'!$C$4,IF(AA515='Listas suspensas'!$A$5,'Listas suspensas'!$C$5,IF(AA515='Listas suspensas'!$A$6,'Listas suspensas'!$C$6,"")))))</f>
        <v>Indica a penetração profunda, mas desuniforme em toda a extensão do alburno.</v>
      </c>
      <c r="BD515" s="13">
        <v>0.40100000000000002</v>
      </c>
      <c r="BE515" s="18">
        <f t="shared" si="92"/>
        <v>401</v>
      </c>
      <c r="BF515" s="8">
        <v>1.0469999999999999</v>
      </c>
      <c r="BG515" s="8">
        <v>0.313</v>
      </c>
      <c r="BH515" s="8">
        <v>0.59799999999999998</v>
      </c>
      <c r="BI515" s="13">
        <f t="shared" si="93"/>
        <v>1.9579999999999997</v>
      </c>
      <c r="BJ515" s="14">
        <v>53.5</v>
      </c>
      <c r="BK515" s="14">
        <v>16</v>
      </c>
      <c r="BL515" s="14">
        <v>30.5</v>
      </c>
      <c r="BM515" s="16">
        <f t="shared" si="87"/>
        <v>100</v>
      </c>
      <c r="BN515" s="21">
        <f t="shared" si="88"/>
        <v>4.2</v>
      </c>
      <c r="BO515" s="21">
        <f t="shared" si="89"/>
        <v>1.26</v>
      </c>
      <c r="BP515" s="21">
        <f t="shared" si="90"/>
        <v>2.4</v>
      </c>
      <c r="BQ515" s="14">
        <f t="shared" si="91"/>
        <v>7.86</v>
      </c>
      <c r="BR515" s="22" t="str">
        <f>IF(OR(AND(X515="Mourões", BQ515&gt;=6.5),AND(X515="Postes", BQ515&gt;=9.6),AND(X515="Dormentes", BQ515&gt;=9.6),AND(X515="Estacas - Solo", BQ515&gt;=6.5),AND(X515="Estacas - Suspenso", BQ515&gt;=4),AND(X515="Cruzetas", BQ515&gt;=6.5),AND(X515="Outros - Solo", BQ515&gt;=6.5),AND(X515="Outros - Suspenso",BQ515&gt;=4),AND(X515="Deck",BQ515&gt;=4)),'Listas suspensas'!$C$21,'Listas suspensas'!$C$22)</f>
        <v>Os resultados da análise química apresentaram uma retenção do produto de acordo com o padrão mínimo exigido pela norma ABNT NBR 16143</v>
      </c>
    </row>
    <row r="516" spans="2:70" x14ac:dyDescent="0.25">
      <c r="B516" s="8" t="s">
        <v>1454</v>
      </c>
      <c r="C516" s="8" t="s">
        <v>71</v>
      </c>
      <c r="F516" s="11">
        <v>45974</v>
      </c>
      <c r="G516" s="11">
        <v>45978</v>
      </c>
      <c r="H516" s="11">
        <v>45989</v>
      </c>
      <c r="I516" s="8" t="s">
        <v>466</v>
      </c>
      <c r="J516" s="8" t="s">
        <v>467</v>
      </c>
      <c r="K516" s="8" t="s">
        <v>144</v>
      </c>
      <c r="L516" s="8" t="s">
        <v>15</v>
      </c>
      <c r="N516" s="8" t="s">
        <v>1165</v>
      </c>
      <c r="O516" s="8" t="s">
        <v>104</v>
      </c>
      <c r="P516" s="28" t="s">
        <v>471</v>
      </c>
      <c r="Q516" s="16" t="s">
        <v>1570</v>
      </c>
      <c r="X516" s="8" t="s">
        <v>101</v>
      </c>
      <c r="Y516" s="34">
        <f>IF(X516='Listas suspensas'!$A$21,'Listas suspensas'!$B$23,IF(X516='Listas suspensas'!$A$22,'Listas suspensas'!$B$23,IF(X516='Listas suspensas'!$A$23,'Listas suspensas'!$B$22,IF(X516='Listas suspensas'!$A$26,'Listas suspensas'!$B$22,IF(X516='Listas suspensas'!$A$32,'Listas suspensas'!$B$22,IF(X516='Listas suspensas'!$A$33,'Listas suspensas'!$B$21,IF(X516='Listas suspensas'!$A$24,'Listas suspensas'!$B$22,IF(X516='Listas suspensas'!$A$25,'Listas suspensas'!$B$21,IF(X516='Listas suspensas'!$A$30,'Listas suspensas'!$B$21,"")))))))))</f>
        <v>6.5</v>
      </c>
      <c r="Z516" s="8" t="s">
        <v>80</v>
      </c>
      <c r="AA516" s="8">
        <v>2</v>
      </c>
      <c r="AB516" s="8" t="str">
        <f>IF(AA516='Listas suspensas'!$A$2,'Listas suspensas'!$B$2,IF(AA516='Listas suspensas'!$A$3,'Listas suspensas'!$B$3,IF(AA516='Listas suspensas'!$A$4,'Listas suspensas'!$B$4,IF(AA516='Listas suspensas'!$A$5,'Listas suspensas'!$B$5,IF(AA516='Listas suspensas'!$A$6,'Listas suspensas'!$B$6,"")))))</f>
        <v>Profunda e irregular</v>
      </c>
      <c r="AC516" s="8" t="str">
        <f>IF(AA516='Listas suspensas'!$A$2,'Listas suspensas'!$C$2,IF(AA516='Listas suspensas'!$A$3,'Listas suspensas'!$C$3,IF(AA516='Listas suspensas'!$A$4,'Listas suspensas'!$C$4,IF(AA516='Listas suspensas'!$A$5,'Listas suspensas'!$C$5,IF(AA516='Listas suspensas'!$A$6,'Listas suspensas'!$C$6,"")))))</f>
        <v>Indica a penetração profunda, mas desuniforme em toda a extensão do alburno.</v>
      </c>
      <c r="BD516" s="13">
        <v>0.52400000000000002</v>
      </c>
      <c r="BE516" s="18">
        <f t="shared" si="92"/>
        <v>524</v>
      </c>
      <c r="BF516" s="8">
        <v>1.1200000000000001</v>
      </c>
      <c r="BG516" s="8">
        <v>0.39100000000000001</v>
      </c>
      <c r="BH516" s="8">
        <v>0.75800000000000001</v>
      </c>
      <c r="BI516" s="13">
        <f t="shared" si="93"/>
        <v>2.2690000000000001</v>
      </c>
      <c r="BJ516" s="14">
        <v>49.4</v>
      </c>
      <c r="BK516" s="14">
        <v>17.2</v>
      </c>
      <c r="BL516" s="14">
        <v>33.4</v>
      </c>
      <c r="BM516" s="16">
        <f t="shared" si="87"/>
        <v>100</v>
      </c>
      <c r="BN516" s="21">
        <f t="shared" si="88"/>
        <v>5.87</v>
      </c>
      <c r="BO516" s="21">
        <f t="shared" si="89"/>
        <v>2.0499999999999998</v>
      </c>
      <c r="BP516" s="21">
        <f t="shared" si="90"/>
        <v>3.97</v>
      </c>
      <c r="BQ516" s="14">
        <f t="shared" si="91"/>
        <v>11.89</v>
      </c>
      <c r="BR516" s="22" t="str">
        <f>IF(OR(AND(X516="Mourões", BQ516&gt;=6.5),AND(X516="Postes", BQ516&gt;=9.6),AND(X516="Dormentes", BQ516&gt;=9.6),AND(X516="Estacas - Solo", BQ516&gt;=6.5),AND(X516="Estacas - Suspenso", BQ516&gt;=4),AND(X516="Cruzetas", BQ516&gt;=6.5),AND(X516="Outros - Solo", BQ516&gt;=6.5),AND(X516="Outros - Suspenso",BQ516&gt;=4),AND(X516="Deck",BQ516&gt;=4)),'Listas suspensas'!$C$21,'Listas suspensas'!$C$22)</f>
        <v>Os resultados da análise química apresentaram uma retenção do produto de acordo com o padrão mínimo exigido pela norma ABNT NBR 16143</v>
      </c>
    </row>
    <row r="517" spans="2:70" x14ac:dyDescent="0.25">
      <c r="B517" s="8" t="s">
        <v>1455</v>
      </c>
      <c r="C517" s="8" t="s">
        <v>71</v>
      </c>
      <c r="F517" s="11">
        <v>45974</v>
      </c>
      <c r="G517" s="11">
        <v>45978</v>
      </c>
      <c r="H517" s="11">
        <v>45989</v>
      </c>
      <c r="I517" s="8" t="s">
        <v>466</v>
      </c>
      <c r="J517" s="8" t="s">
        <v>467</v>
      </c>
      <c r="K517" s="8" t="s">
        <v>144</v>
      </c>
      <c r="L517" s="8" t="s">
        <v>15</v>
      </c>
      <c r="N517" s="8" t="s">
        <v>1165</v>
      </c>
      <c r="O517" s="8" t="s">
        <v>104</v>
      </c>
      <c r="P517" s="28" t="s">
        <v>471</v>
      </c>
      <c r="Q517" s="16" t="s">
        <v>1571</v>
      </c>
      <c r="X517" s="8" t="s">
        <v>473</v>
      </c>
      <c r="Y517" s="34">
        <f>IF(X517='Listas suspensas'!$A$21,'Listas suspensas'!$B$23,IF(X517='Listas suspensas'!$A$22,'Listas suspensas'!$B$23,IF(X517='Listas suspensas'!$A$23,'Listas suspensas'!$B$22,IF(X517='Listas suspensas'!$A$26,'Listas suspensas'!$B$22,IF(X517='Listas suspensas'!$A$32,'Listas suspensas'!$B$22,IF(X517='Listas suspensas'!$A$33,'Listas suspensas'!$B$21,IF(X517='Listas suspensas'!$A$24,'Listas suspensas'!$B$22,IF(X517='Listas suspensas'!$A$25,'Listas suspensas'!$B$21,IF(X517='Listas suspensas'!$A$30,'Listas suspensas'!$B$21,"")))))))))</f>
        <v>4</v>
      </c>
      <c r="Z517" s="8" t="s">
        <v>80</v>
      </c>
      <c r="AA517" s="8">
        <v>2</v>
      </c>
      <c r="AB517" s="8" t="str">
        <f>IF(AA517='Listas suspensas'!$A$2,'Listas suspensas'!$B$2,IF(AA517='Listas suspensas'!$A$3,'Listas suspensas'!$B$3,IF(AA517='Listas suspensas'!$A$4,'Listas suspensas'!$B$4,IF(AA517='Listas suspensas'!$A$5,'Listas suspensas'!$B$5,IF(AA517='Listas suspensas'!$A$6,'Listas suspensas'!$B$6,"")))))</f>
        <v>Profunda e irregular</v>
      </c>
      <c r="AC517" s="8" t="str">
        <f>IF(AA517='Listas suspensas'!$A$2,'Listas suspensas'!$C$2,IF(AA517='Listas suspensas'!$A$3,'Listas suspensas'!$C$3,IF(AA517='Listas suspensas'!$A$4,'Listas suspensas'!$C$4,IF(AA517='Listas suspensas'!$A$5,'Listas suspensas'!$C$5,IF(AA517='Listas suspensas'!$A$6,'Listas suspensas'!$C$6,"")))))</f>
        <v>Indica a penetração profunda, mas desuniforme em toda a extensão do alburno.</v>
      </c>
      <c r="BD517" s="13">
        <v>0.55600000000000005</v>
      </c>
      <c r="BE517" s="18">
        <f t="shared" si="92"/>
        <v>556</v>
      </c>
      <c r="BF517" s="8">
        <v>0.47199999999999998</v>
      </c>
      <c r="BG517" s="8">
        <v>0.19700000000000001</v>
      </c>
      <c r="BH517" s="8">
        <v>0.38100000000000001</v>
      </c>
      <c r="BI517" s="13">
        <f t="shared" si="93"/>
        <v>1.05</v>
      </c>
      <c r="BJ517" s="14">
        <v>45</v>
      </c>
      <c r="BK517" s="14">
        <v>18.7</v>
      </c>
      <c r="BL517" s="14">
        <v>36.299999999999997</v>
      </c>
      <c r="BM517" s="16">
        <f t="shared" si="87"/>
        <v>100</v>
      </c>
      <c r="BN517" s="21">
        <f t="shared" si="88"/>
        <v>2.62</v>
      </c>
      <c r="BO517" s="21">
        <f t="shared" si="89"/>
        <v>1.1000000000000001</v>
      </c>
      <c r="BP517" s="21">
        <f t="shared" si="90"/>
        <v>2.12</v>
      </c>
      <c r="BQ517" s="14">
        <f t="shared" si="91"/>
        <v>5.84</v>
      </c>
      <c r="BR517" s="22" t="str">
        <f>IF(OR(AND(X517="Mourões", BQ517&gt;=6.5),AND(X517="Postes", BQ517&gt;=9.6),AND(X517="Dormentes", BQ517&gt;=9.6),AND(X517="Estacas - Solo", BQ517&gt;=6.5),AND(X517="Estacas - Suspenso", BQ517&gt;=4),AND(X517="Cruzetas", BQ517&gt;=6.5),AND(X517="Outros - Solo", BQ517&gt;=6.5),AND(X517="Outros - Suspenso",BQ517&gt;=4),AND(X517="Deck",BQ517&gt;=4)),'Listas suspensas'!$C$21,'Listas suspensas'!$C$22)</f>
        <v>Os resultados da análise química apresentaram uma retenção do produto de acordo com o padrão mínimo exigido pela norma ABNT NBR 16143</v>
      </c>
    </row>
    <row r="518" spans="2:70" x14ac:dyDescent="0.25">
      <c r="B518" s="8" t="s">
        <v>1456</v>
      </c>
      <c r="C518" s="8" t="s">
        <v>71</v>
      </c>
      <c r="F518" s="11">
        <v>45974</v>
      </c>
      <c r="G518" s="11">
        <v>45978</v>
      </c>
      <c r="H518" s="11">
        <v>45989</v>
      </c>
      <c r="I518" s="8" t="s">
        <v>466</v>
      </c>
      <c r="J518" s="8" t="s">
        <v>467</v>
      </c>
      <c r="K518" s="8" t="s">
        <v>144</v>
      </c>
      <c r="L518" s="8" t="s">
        <v>15</v>
      </c>
      <c r="N518" s="8" t="s">
        <v>1165</v>
      </c>
      <c r="O518" s="8" t="s">
        <v>104</v>
      </c>
      <c r="P518" s="28" t="s">
        <v>471</v>
      </c>
      <c r="Q518" s="16" t="s">
        <v>1572</v>
      </c>
      <c r="X518" s="8" t="s">
        <v>473</v>
      </c>
      <c r="Y518" s="34">
        <f>IF(X518='Listas suspensas'!$A$21,'Listas suspensas'!$B$23,IF(X518='Listas suspensas'!$A$22,'Listas suspensas'!$B$23,IF(X518='Listas suspensas'!$A$23,'Listas suspensas'!$B$22,IF(X518='Listas suspensas'!$A$26,'Listas suspensas'!$B$22,IF(X518='Listas suspensas'!$A$32,'Listas suspensas'!$B$22,IF(X518='Listas suspensas'!$A$33,'Listas suspensas'!$B$21,IF(X518='Listas suspensas'!$A$24,'Listas suspensas'!$B$22,IF(X518='Listas suspensas'!$A$25,'Listas suspensas'!$B$21,IF(X518='Listas suspensas'!$A$30,'Listas suspensas'!$B$21,"")))))))))</f>
        <v>4</v>
      </c>
      <c r="Z518" s="8" t="s">
        <v>80</v>
      </c>
      <c r="AA518" s="8">
        <v>3</v>
      </c>
      <c r="AB518" s="8" t="str">
        <f>IF(AA518='Listas suspensas'!$A$2,'Listas suspensas'!$B$2,IF(AA518='Listas suspensas'!$A$3,'Listas suspensas'!$B$3,IF(AA518='Listas suspensas'!$A$4,'Listas suspensas'!$B$4,IF(AA518='Listas suspensas'!$A$5,'Listas suspensas'!$B$5,IF(AA518='Listas suspensas'!$A$6,'Listas suspensas'!$B$6,"")))))</f>
        <v xml:space="preserve"> Parcial e regular</v>
      </c>
      <c r="AC518" s="8" t="str">
        <f>IF(AA518='Listas suspensas'!$A$2,'Listas suspensas'!$C$2,IF(AA518='Listas suspensas'!$A$3,'Listas suspensas'!$C$3,IF(AA518='Listas suspensas'!$A$4,'Listas suspensas'!$C$4,IF(AA518='Listas suspensas'!$A$5,'Listas suspensas'!$C$5,IF(AA518='Listas suspensas'!$A$6,'Listas suspensas'!$C$6,"")))))</f>
        <v>Indica a penetração uniforme, mas não total pela extensão do alburno.</v>
      </c>
      <c r="BD518" s="13">
        <v>0.61</v>
      </c>
      <c r="BE518" s="18">
        <f t="shared" si="92"/>
        <v>610</v>
      </c>
      <c r="BF518" s="8">
        <v>0.26100000000000001</v>
      </c>
      <c r="BG518" s="8">
        <v>0.11</v>
      </c>
      <c r="BH518" s="8">
        <v>0.24099999999999999</v>
      </c>
      <c r="BI518" s="13">
        <f t="shared" si="93"/>
        <v>0.61199999999999999</v>
      </c>
      <c r="BJ518" s="14">
        <v>42.7</v>
      </c>
      <c r="BK518" s="14">
        <v>18</v>
      </c>
      <c r="BL518" s="14">
        <v>39.299999999999997</v>
      </c>
      <c r="BM518" s="16">
        <f t="shared" si="87"/>
        <v>100</v>
      </c>
      <c r="BN518" s="21">
        <f t="shared" si="88"/>
        <v>1.59</v>
      </c>
      <c r="BO518" s="21">
        <f t="shared" si="89"/>
        <v>0.67</v>
      </c>
      <c r="BP518" s="21">
        <f t="shared" si="90"/>
        <v>1.47</v>
      </c>
      <c r="BQ518" s="14">
        <f t="shared" si="91"/>
        <v>3.73</v>
      </c>
      <c r="BR518" s="22" t="str">
        <f>IF(OR(AND(X518="Mourões", BQ518&gt;=6.5),AND(X518="Postes", BQ518&gt;=9.6),AND(X518="Dormentes", BQ518&gt;=9.6),AND(X518="Estacas - Solo", BQ518&gt;=6.5),AND(X518="Estacas - Suspenso", BQ518&gt;=4),AND(X518="Cruzetas", BQ518&gt;=6.5),AND(X518="Outros - Solo", BQ518&gt;=6.5),AND(X518="Outros - Suspenso",BQ518&gt;=4),AND(X518="Deck",BQ518&gt;=4)),'Listas suspensas'!$C$21,'Listas suspensas'!$C$22)</f>
        <v>Os resultados da análise química apresentaram uma retenção do produto inferior ao padrão mínimo exigido pela norma ABNT NBR 16143</v>
      </c>
    </row>
    <row r="519" spans="2:70" x14ac:dyDescent="0.25">
      <c r="B519" s="8" t="s">
        <v>1457</v>
      </c>
      <c r="C519" s="8" t="s">
        <v>71</v>
      </c>
      <c r="F519" s="11">
        <v>45974</v>
      </c>
      <c r="G519" s="11">
        <v>45978</v>
      </c>
      <c r="H519" s="11">
        <v>45989</v>
      </c>
      <c r="I519" s="8" t="s">
        <v>466</v>
      </c>
      <c r="J519" s="8" t="s">
        <v>467</v>
      </c>
      <c r="K519" s="8" t="s">
        <v>144</v>
      </c>
      <c r="L519" s="8" t="s">
        <v>15</v>
      </c>
      <c r="N519" s="8" t="s">
        <v>1165</v>
      </c>
      <c r="O519" s="8" t="s">
        <v>104</v>
      </c>
      <c r="P519" s="28" t="s">
        <v>471</v>
      </c>
      <c r="Q519" s="16" t="s">
        <v>1573</v>
      </c>
      <c r="X519" s="8" t="s">
        <v>473</v>
      </c>
      <c r="Y519" s="34">
        <f>IF(X519='Listas suspensas'!$A$21,'Listas suspensas'!$B$23,IF(X519='Listas suspensas'!$A$22,'Listas suspensas'!$B$23,IF(X519='Listas suspensas'!$A$23,'Listas suspensas'!$B$22,IF(X519='Listas suspensas'!$A$26,'Listas suspensas'!$B$22,IF(X519='Listas suspensas'!$A$32,'Listas suspensas'!$B$22,IF(X519='Listas suspensas'!$A$33,'Listas suspensas'!$B$21,IF(X519='Listas suspensas'!$A$24,'Listas suspensas'!$B$22,IF(X519='Listas suspensas'!$A$25,'Listas suspensas'!$B$21,IF(X519='Listas suspensas'!$A$30,'Listas suspensas'!$B$21,"")))))))))</f>
        <v>4</v>
      </c>
      <c r="Z519" s="8" t="s">
        <v>80</v>
      </c>
      <c r="AA519" s="8">
        <v>3</v>
      </c>
      <c r="AB519" s="8" t="str">
        <f>IF(AA519='Listas suspensas'!$A$2,'Listas suspensas'!$B$2,IF(AA519='Listas suspensas'!$A$3,'Listas suspensas'!$B$3,IF(AA519='Listas suspensas'!$A$4,'Listas suspensas'!$B$4,IF(AA519='Listas suspensas'!$A$5,'Listas suspensas'!$B$5,IF(AA519='Listas suspensas'!$A$6,'Listas suspensas'!$B$6,"")))))</f>
        <v xml:space="preserve"> Parcial e regular</v>
      </c>
      <c r="AC519" s="8" t="str">
        <f>IF(AA519='Listas suspensas'!$A$2,'Listas suspensas'!$C$2,IF(AA519='Listas suspensas'!$A$3,'Listas suspensas'!$C$3,IF(AA519='Listas suspensas'!$A$4,'Listas suspensas'!$C$4,IF(AA519='Listas suspensas'!$A$5,'Listas suspensas'!$C$5,IF(AA519='Listas suspensas'!$A$6,'Listas suspensas'!$C$6,"")))))</f>
        <v>Indica a penetração uniforme, mas não total pela extensão do alburno.</v>
      </c>
      <c r="BD519" s="13">
        <v>0.40100000000000002</v>
      </c>
      <c r="BE519" s="18">
        <f t="shared" si="92"/>
        <v>401</v>
      </c>
      <c r="BF519" s="8">
        <v>0.249</v>
      </c>
      <c r="BG519" s="8">
        <v>0.17199999999999999</v>
      </c>
      <c r="BH519" s="8">
        <v>0.17499999999999999</v>
      </c>
      <c r="BI519" s="13">
        <f t="shared" si="93"/>
        <v>0.59599999999999997</v>
      </c>
      <c r="BJ519" s="14">
        <v>41.8</v>
      </c>
      <c r="BK519" s="14">
        <v>28.9</v>
      </c>
      <c r="BL519" s="14">
        <v>29.3</v>
      </c>
      <c r="BM519" s="16">
        <f t="shared" si="87"/>
        <v>100</v>
      </c>
      <c r="BN519" s="21">
        <f t="shared" si="88"/>
        <v>1</v>
      </c>
      <c r="BO519" s="21">
        <f t="shared" si="89"/>
        <v>0.69</v>
      </c>
      <c r="BP519" s="21">
        <f t="shared" si="90"/>
        <v>0.7</v>
      </c>
      <c r="BQ519" s="14">
        <f t="shared" si="91"/>
        <v>2.39</v>
      </c>
      <c r="BR519" s="22" t="str">
        <f>IF(OR(AND(X519="Mourões", BQ519&gt;=6.5),AND(X519="Postes", BQ519&gt;=9.6),AND(X519="Dormentes", BQ519&gt;=9.6),AND(X519="Estacas - Solo", BQ519&gt;=6.5),AND(X519="Estacas - Suspenso", BQ519&gt;=4),AND(X519="Cruzetas", BQ519&gt;=6.5),AND(X519="Outros - Solo", BQ519&gt;=6.5),AND(X519="Outros - Suspenso",BQ519&gt;=4),AND(X519="Deck",BQ519&gt;=4)),'Listas suspensas'!$C$21,'Listas suspensas'!$C$22)</f>
        <v>Os resultados da análise química apresentaram uma retenção do produto inferior ao padrão mínimo exigido pela norma ABNT NBR 16143</v>
      </c>
    </row>
    <row r="520" spans="2:70" x14ac:dyDescent="0.25">
      <c r="B520" s="8" t="s">
        <v>1458</v>
      </c>
      <c r="C520" s="8" t="s">
        <v>71</v>
      </c>
      <c r="F520" s="11">
        <v>45974</v>
      </c>
      <c r="G520" s="11">
        <v>45978</v>
      </c>
      <c r="H520" s="11">
        <v>45989</v>
      </c>
      <c r="I520" s="8" t="s">
        <v>1574</v>
      </c>
      <c r="J520" s="8" t="s">
        <v>1575</v>
      </c>
      <c r="K520" s="8" t="s">
        <v>144</v>
      </c>
      <c r="L520" s="8" t="s">
        <v>15</v>
      </c>
      <c r="M520" s="30" t="s">
        <v>1576</v>
      </c>
      <c r="N520" s="8" t="s">
        <v>1165</v>
      </c>
      <c r="O520" s="8" t="s">
        <v>76</v>
      </c>
      <c r="P520" s="28" t="s">
        <v>471</v>
      </c>
      <c r="Q520" s="16" t="s">
        <v>854</v>
      </c>
      <c r="X520" s="8" t="s">
        <v>101</v>
      </c>
      <c r="Y520" s="34">
        <f>IF(X520='Listas suspensas'!$A$21,'Listas suspensas'!$B$23,IF(X520='Listas suspensas'!$A$22,'Listas suspensas'!$B$23,IF(X520='Listas suspensas'!$A$23,'Listas suspensas'!$B$22,IF(X520='Listas suspensas'!$A$26,'Listas suspensas'!$B$22,IF(X520='Listas suspensas'!$A$32,'Listas suspensas'!$B$22,IF(X520='Listas suspensas'!$A$33,'Listas suspensas'!$B$21,IF(X520='Listas suspensas'!$A$24,'Listas suspensas'!$B$22,IF(X520='Listas suspensas'!$A$25,'Listas suspensas'!$B$21,IF(X520='Listas suspensas'!$A$30,'Listas suspensas'!$B$21,"")))))))))</f>
        <v>6.5</v>
      </c>
      <c r="Z520" s="8" t="s">
        <v>80</v>
      </c>
      <c r="AA520" s="8">
        <v>1</v>
      </c>
      <c r="AB520" s="8" t="str">
        <f>IF(AA520='Listas suspensas'!$A$2,'Listas suspensas'!$B$2,IF(AA520='Listas suspensas'!$A$3,'Listas suspensas'!$B$3,IF(AA520='Listas suspensas'!$A$4,'Listas suspensas'!$B$4,IF(AA520='Listas suspensas'!$A$5,'Listas suspensas'!$B$5,IF(AA520='Listas suspensas'!$A$6,'Listas suspensas'!$B$6,"")))))</f>
        <v>Profunda e regular</v>
      </c>
      <c r="AC520" s="8" t="str">
        <f>IF(AA520='Listas suspensas'!$A$2,'Listas suspensas'!$C$2,IF(AA520='Listas suspensas'!$A$3,'Listas suspensas'!$C$3,IF(AA520='Listas suspensas'!$A$4,'Listas suspensas'!$C$4,IF(AA520='Listas suspensas'!$A$5,'Listas suspensas'!$C$5,IF(AA520='Listas suspensas'!$A$6,'Listas suspensas'!$C$6,"")))))</f>
        <v>Indica a penetração profunda e uniforme em toda a extensão do alburno.</v>
      </c>
      <c r="BD520" s="13">
        <v>0.52400000000000002</v>
      </c>
      <c r="BE520" s="18">
        <f t="shared" si="92"/>
        <v>524</v>
      </c>
      <c r="BF520" s="8">
        <v>1.1379999999999999</v>
      </c>
      <c r="BG520" s="8">
        <v>0.34100000000000003</v>
      </c>
      <c r="BH520" s="8">
        <v>0.85799999999999998</v>
      </c>
      <c r="BI520" s="13">
        <f t="shared" si="93"/>
        <v>2.3369999999999997</v>
      </c>
      <c r="BJ520" s="14">
        <v>48.7</v>
      </c>
      <c r="BK520" s="14">
        <v>14.6</v>
      </c>
      <c r="BL520" s="14">
        <v>36.700000000000003</v>
      </c>
      <c r="BM520" s="16">
        <f t="shared" si="87"/>
        <v>100</v>
      </c>
      <c r="BN520" s="21">
        <f t="shared" si="88"/>
        <v>5.96</v>
      </c>
      <c r="BO520" s="21">
        <f t="shared" si="89"/>
        <v>1.79</v>
      </c>
      <c r="BP520" s="21">
        <f t="shared" si="90"/>
        <v>4.5</v>
      </c>
      <c r="BQ520" s="14">
        <f t="shared" si="91"/>
        <v>12.25</v>
      </c>
      <c r="BR520" s="22" t="str">
        <f>IF(OR(AND(X520="Mourões", BQ520&gt;=6.5),AND(X520="Postes", BQ520&gt;=9.6),AND(X520="Dormentes", BQ520&gt;=9.6),AND(X520="Estacas - Solo", BQ520&gt;=6.5),AND(X520="Estacas - Suspenso", BQ520&gt;=4),AND(X520="Cruzetas", BQ520&gt;=6.5),AND(X520="Outros - Solo", BQ520&gt;=6.5),AND(X520="Outros - Suspenso",BQ520&gt;=4),AND(X520="Deck",BQ520&gt;=4)),'Listas suspensas'!$C$21,'Listas suspensas'!$C$22)</f>
        <v>Os resultados da análise química apresentaram uma retenção do produto de acordo com o padrão mínimo exigido pela norma ABNT NBR 16143</v>
      </c>
    </row>
    <row r="521" spans="2:70" x14ac:dyDescent="0.25">
      <c r="B521" s="8" t="s">
        <v>1459</v>
      </c>
      <c r="C521" s="8" t="s">
        <v>71</v>
      </c>
      <c r="F521" s="11">
        <v>45974</v>
      </c>
      <c r="G521" s="11">
        <v>45978</v>
      </c>
      <c r="H521" s="11">
        <v>45989</v>
      </c>
      <c r="I521" s="8" t="s">
        <v>1574</v>
      </c>
      <c r="J521" s="8" t="s">
        <v>1575</v>
      </c>
      <c r="K521" s="8" t="s">
        <v>144</v>
      </c>
      <c r="L521" s="8" t="s">
        <v>15</v>
      </c>
      <c r="M521" s="30" t="s">
        <v>1576</v>
      </c>
      <c r="N521" s="8" t="s">
        <v>1165</v>
      </c>
      <c r="O521" s="8" t="s">
        <v>76</v>
      </c>
      <c r="P521" s="28" t="s">
        <v>471</v>
      </c>
      <c r="Q521" s="16" t="s">
        <v>856</v>
      </c>
      <c r="X521" s="8" t="s">
        <v>101</v>
      </c>
      <c r="Y521" s="34">
        <f>IF(X521='Listas suspensas'!$A$21,'Listas suspensas'!$B$23,IF(X521='Listas suspensas'!$A$22,'Listas suspensas'!$B$23,IF(X521='Listas suspensas'!$A$23,'Listas suspensas'!$B$22,IF(X521='Listas suspensas'!$A$26,'Listas suspensas'!$B$22,IF(X521='Listas suspensas'!$A$32,'Listas suspensas'!$B$22,IF(X521='Listas suspensas'!$A$33,'Listas suspensas'!$B$21,IF(X521='Listas suspensas'!$A$24,'Listas suspensas'!$B$22,IF(X521='Listas suspensas'!$A$25,'Listas suspensas'!$B$21,IF(X521='Listas suspensas'!$A$30,'Listas suspensas'!$B$21,"")))))))))</f>
        <v>6.5</v>
      </c>
      <c r="Z521" s="8" t="s">
        <v>80</v>
      </c>
      <c r="AA521" s="8">
        <v>2</v>
      </c>
      <c r="AB521" s="8" t="str">
        <f>IF(AA521='Listas suspensas'!$A$2,'Listas suspensas'!$B$2,IF(AA521='Listas suspensas'!$A$3,'Listas suspensas'!$B$3,IF(AA521='Listas suspensas'!$A$4,'Listas suspensas'!$B$4,IF(AA521='Listas suspensas'!$A$5,'Listas suspensas'!$B$5,IF(AA521='Listas suspensas'!$A$6,'Listas suspensas'!$B$6,"")))))</f>
        <v>Profunda e irregular</v>
      </c>
      <c r="AC521" s="8" t="str">
        <f>IF(AA521='Listas suspensas'!$A$2,'Listas suspensas'!$C$2,IF(AA521='Listas suspensas'!$A$3,'Listas suspensas'!$C$3,IF(AA521='Listas suspensas'!$A$4,'Listas suspensas'!$C$4,IF(AA521='Listas suspensas'!$A$5,'Listas suspensas'!$C$5,IF(AA521='Listas suspensas'!$A$6,'Listas suspensas'!$C$6,"")))))</f>
        <v>Indica a penetração profunda, mas desuniforme em toda a extensão do alburno.</v>
      </c>
      <c r="BD521" s="13">
        <v>0.375</v>
      </c>
      <c r="BE521" s="18">
        <f t="shared" si="92"/>
        <v>375</v>
      </c>
      <c r="BF521" s="8">
        <v>1.254</v>
      </c>
      <c r="BG521" s="8">
        <v>0.315</v>
      </c>
      <c r="BH521" s="8">
        <v>0.67300000000000004</v>
      </c>
      <c r="BI521" s="13">
        <f t="shared" si="93"/>
        <v>2.242</v>
      </c>
      <c r="BJ521" s="14">
        <v>55.9</v>
      </c>
      <c r="BK521" s="14">
        <v>14</v>
      </c>
      <c r="BL521" s="14">
        <v>30.1</v>
      </c>
      <c r="BM521" s="16">
        <f t="shared" si="87"/>
        <v>100</v>
      </c>
      <c r="BN521" s="21">
        <f t="shared" si="88"/>
        <v>4.7</v>
      </c>
      <c r="BO521" s="21">
        <f t="shared" si="89"/>
        <v>1.18</v>
      </c>
      <c r="BP521" s="21">
        <f t="shared" si="90"/>
        <v>2.52</v>
      </c>
      <c r="BQ521" s="14">
        <f t="shared" si="91"/>
        <v>8.4</v>
      </c>
      <c r="BR521" s="22" t="str">
        <f>IF(OR(AND(X521="Mourões", BQ521&gt;=6.5),AND(X521="Postes", BQ521&gt;=9.6),AND(X521="Dormentes", BQ521&gt;=9.6),AND(X521="Estacas - Solo", BQ521&gt;=6.5),AND(X521="Estacas - Suspenso", BQ521&gt;=4),AND(X521="Cruzetas", BQ521&gt;=6.5),AND(X521="Outros - Solo", BQ521&gt;=6.5),AND(X521="Outros - Suspenso",BQ521&gt;=4),AND(X521="Deck",BQ521&gt;=4)),'Listas suspensas'!$C$21,'Listas suspensas'!$C$22)</f>
        <v>Os resultados da análise química apresentaram uma retenção do produto de acordo com o padrão mínimo exigido pela norma ABNT NBR 16143</v>
      </c>
    </row>
    <row r="522" spans="2:70" x14ac:dyDescent="0.25">
      <c r="B522" s="8" t="s">
        <v>1460</v>
      </c>
      <c r="C522" s="8" t="s">
        <v>71</v>
      </c>
      <c r="F522" s="11">
        <v>45974</v>
      </c>
      <c r="G522" s="11">
        <v>45978</v>
      </c>
      <c r="H522" s="11">
        <v>45989</v>
      </c>
      <c r="I522" s="8" t="s">
        <v>611</v>
      </c>
      <c r="J522" s="8" t="s">
        <v>612</v>
      </c>
      <c r="K522" s="8" t="s">
        <v>613</v>
      </c>
      <c r="L522" s="8" t="s">
        <v>15</v>
      </c>
      <c r="N522" s="8" t="s">
        <v>1165</v>
      </c>
      <c r="O522" s="8" t="s">
        <v>76</v>
      </c>
      <c r="P522" s="28" t="s">
        <v>146</v>
      </c>
      <c r="Q522" s="16" t="s">
        <v>146</v>
      </c>
      <c r="X522" s="8" t="s">
        <v>79</v>
      </c>
      <c r="Y522" s="34">
        <f>IF(X522='Listas suspensas'!$A$21,'Listas suspensas'!$B$23,IF(X522='Listas suspensas'!$A$22,'Listas suspensas'!$B$23,IF(X522='Listas suspensas'!$A$23,'Listas suspensas'!$B$22,IF(X522='Listas suspensas'!$A$26,'Listas suspensas'!$B$22,IF(X522='Listas suspensas'!$A$32,'Listas suspensas'!$B$22,IF(X522='Listas suspensas'!$A$33,'Listas suspensas'!$B$21,IF(X522='Listas suspensas'!$A$24,'Listas suspensas'!$B$22,IF(X522='Listas suspensas'!$A$25,'Listas suspensas'!$B$21,IF(X522='Listas suspensas'!$A$30,'Listas suspensas'!$B$21,"")))))))))</f>
        <v>6.5</v>
      </c>
      <c r="Z522" s="8" t="s">
        <v>80</v>
      </c>
      <c r="AA522" s="8">
        <v>2</v>
      </c>
      <c r="AB522" s="8" t="str">
        <f>IF(AA522='Listas suspensas'!$A$2,'Listas suspensas'!$B$2,IF(AA522='Listas suspensas'!$A$3,'Listas suspensas'!$B$3,IF(AA522='Listas suspensas'!$A$4,'Listas suspensas'!$B$4,IF(AA522='Listas suspensas'!$A$5,'Listas suspensas'!$B$5,IF(AA522='Listas suspensas'!$A$6,'Listas suspensas'!$B$6,"")))))</f>
        <v>Profunda e irregular</v>
      </c>
      <c r="AC522" s="8" t="str">
        <f>IF(AA522='Listas suspensas'!$A$2,'Listas suspensas'!$C$2,IF(AA522='Listas suspensas'!$A$3,'Listas suspensas'!$C$3,IF(AA522='Listas suspensas'!$A$4,'Listas suspensas'!$C$4,IF(AA522='Listas suspensas'!$A$5,'Listas suspensas'!$C$5,IF(AA522='Listas suspensas'!$A$6,'Listas suspensas'!$C$6,"")))))</f>
        <v>Indica a penetração profunda, mas desuniforme em toda a extensão do alburno.</v>
      </c>
      <c r="BD522" s="13">
        <v>0.61199999999999999</v>
      </c>
      <c r="BE522" s="18">
        <f t="shared" si="92"/>
        <v>612</v>
      </c>
      <c r="BF522" s="8">
        <v>0.625</v>
      </c>
      <c r="BG522" s="8">
        <v>0.26800000000000002</v>
      </c>
      <c r="BH522" s="8">
        <v>0.49</v>
      </c>
      <c r="BI522" s="13">
        <f t="shared" si="93"/>
        <v>1.383</v>
      </c>
      <c r="BJ522" s="14">
        <v>45.2</v>
      </c>
      <c r="BK522" s="14">
        <v>19.399999999999999</v>
      </c>
      <c r="BL522" s="14">
        <v>35.4</v>
      </c>
      <c r="BM522" s="16">
        <f t="shared" si="87"/>
        <v>100</v>
      </c>
      <c r="BN522" s="21">
        <f t="shared" si="88"/>
        <v>3.83</v>
      </c>
      <c r="BO522" s="21">
        <f t="shared" si="89"/>
        <v>1.64</v>
      </c>
      <c r="BP522" s="21">
        <f t="shared" si="90"/>
        <v>3</v>
      </c>
      <c r="BQ522" s="14">
        <f t="shared" si="91"/>
        <v>8.4700000000000006</v>
      </c>
      <c r="BR522" s="22" t="str">
        <f>IF(OR(AND(X522="Mourões", BQ522&gt;=6.5),AND(X522="Postes", BQ522&gt;=9.6),AND(X522="Dormentes", BQ522&gt;=9.6),AND(X522="Estacas - Solo", BQ522&gt;=6.5),AND(X522="Estacas - Suspenso", BQ522&gt;=4),AND(X522="Cruzetas", BQ522&gt;=6.5),AND(X522="Outros - Solo", BQ522&gt;=6.5),AND(X522="Outros - Suspenso",BQ522&gt;=4),AND(X522="Deck",BQ522&gt;=4)),'Listas suspensas'!$C$21,'Listas suspensas'!$C$22)</f>
        <v>Os resultados da análise química apresentaram uma retenção do produto de acordo com o padrão mínimo exigido pela norma ABNT NBR 16143</v>
      </c>
    </row>
    <row r="523" spans="2:70" x14ac:dyDescent="0.25">
      <c r="B523" s="8" t="s">
        <v>1461</v>
      </c>
      <c r="C523" s="8" t="s">
        <v>71</v>
      </c>
      <c r="F523" s="11">
        <v>45987</v>
      </c>
      <c r="G523" s="11">
        <v>45989</v>
      </c>
      <c r="H523" s="11">
        <v>45999</v>
      </c>
      <c r="I523" s="8" t="s">
        <v>1581</v>
      </c>
      <c r="J523" s="8" t="s">
        <v>188</v>
      </c>
      <c r="K523" s="8" t="s">
        <v>189</v>
      </c>
      <c r="L523" s="8" t="s">
        <v>15</v>
      </c>
      <c r="M523" s="30" t="s">
        <v>190</v>
      </c>
      <c r="N523" s="8" t="s">
        <v>1165</v>
      </c>
      <c r="O523" s="8" t="s">
        <v>94</v>
      </c>
      <c r="P523" s="28" t="s">
        <v>77</v>
      </c>
      <c r="Q523" s="16" t="s">
        <v>1582</v>
      </c>
      <c r="X523" s="8" t="s">
        <v>79</v>
      </c>
      <c r="Y523" s="34">
        <f>IF(X523='Listas suspensas'!$A$21,'Listas suspensas'!$B$23,IF(X523='Listas suspensas'!$A$22,'Listas suspensas'!$B$23,IF(X523='Listas suspensas'!$A$23,'Listas suspensas'!$B$22,IF(X523='Listas suspensas'!$A$26,'Listas suspensas'!$B$22,IF(X523='Listas suspensas'!$A$32,'Listas suspensas'!$B$22,IF(X523='Listas suspensas'!$A$33,'Listas suspensas'!$B$21,IF(X523='Listas suspensas'!$A$24,'Listas suspensas'!$B$22,IF(X523='Listas suspensas'!$A$25,'Listas suspensas'!$B$21,IF(X523='Listas suspensas'!$A$30,'Listas suspensas'!$B$21,"")))))))))</f>
        <v>6.5</v>
      </c>
      <c r="Z523" s="8" t="s">
        <v>80</v>
      </c>
      <c r="AA523" s="8">
        <v>2</v>
      </c>
      <c r="AB523" s="8" t="str">
        <f>IF(AA523='Listas suspensas'!$A$2,'Listas suspensas'!$B$2,IF(AA523='Listas suspensas'!$A$3,'Listas suspensas'!$B$3,IF(AA523='Listas suspensas'!$A$4,'Listas suspensas'!$B$4,IF(AA523='Listas suspensas'!$A$5,'Listas suspensas'!$B$5,IF(AA523='Listas suspensas'!$A$6,'Listas suspensas'!$B$6,"")))))</f>
        <v>Profunda e irregular</v>
      </c>
      <c r="AC523" s="8" t="str">
        <f>IF(AA523='Listas suspensas'!$A$2,'Listas suspensas'!$C$2,IF(AA523='Listas suspensas'!$A$3,'Listas suspensas'!$C$3,IF(AA523='Listas suspensas'!$A$4,'Listas suspensas'!$C$4,IF(AA523='Listas suspensas'!$A$5,'Listas suspensas'!$C$5,IF(AA523='Listas suspensas'!$A$6,'Listas suspensas'!$C$6,"")))))</f>
        <v>Indica a penetração profunda, mas desuniforme em toda a extensão do alburno.</v>
      </c>
      <c r="BD523" s="13">
        <v>0.63700000000000001</v>
      </c>
      <c r="BE523" s="18">
        <f t="shared" si="92"/>
        <v>637</v>
      </c>
      <c r="BF523" s="8">
        <v>0.61</v>
      </c>
      <c r="BG523" s="8">
        <v>0.26900000000000002</v>
      </c>
      <c r="BH523" s="8">
        <v>0.38800000000000001</v>
      </c>
      <c r="BI523" s="13">
        <f t="shared" si="93"/>
        <v>1.2669999999999999</v>
      </c>
      <c r="BJ523" s="14">
        <v>48.2</v>
      </c>
      <c r="BK523" s="14">
        <v>21.2</v>
      </c>
      <c r="BL523" s="14">
        <v>30.6</v>
      </c>
      <c r="BM523" s="16">
        <f t="shared" si="87"/>
        <v>100</v>
      </c>
      <c r="BN523" s="21">
        <f t="shared" si="88"/>
        <v>3.89</v>
      </c>
      <c r="BO523" s="21">
        <f t="shared" si="89"/>
        <v>1.71</v>
      </c>
      <c r="BP523" s="21">
        <f t="shared" si="90"/>
        <v>2.4700000000000002</v>
      </c>
      <c r="BQ523" s="14">
        <f t="shared" si="91"/>
        <v>8.07</v>
      </c>
      <c r="BR523" s="22" t="str">
        <f>IF(OR(AND(X523="Mourões", BQ523&gt;=6.5),AND(X523="Postes", BQ523&gt;=9.6),AND(X523="Dormentes", BQ523&gt;=9.6),AND(X523="Estacas - Solo", BQ523&gt;=6.5),AND(X523="Estacas - Suspenso", BQ523&gt;=4),AND(X523="Cruzetas", BQ523&gt;=6.5),AND(X523="Outros - Solo", BQ523&gt;=6.5),AND(X523="Outros - Suspenso",BQ523&gt;=4),AND(X523="Deck",BQ523&gt;=4)),'Listas suspensas'!$C$21,'Listas suspensas'!$C$22)</f>
        <v>Os resultados da análise química apresentaram uma retenção do produto de acordo com o padrão mínimo exigido pela norma ABNT NBR 16143</v>
      </c>
    </row>
    <row r="524" spans="2:70" x14ac:dyDescent="0.25">
      <c r="B524" s="8" t="s">
        <v>1462</v>
      </c>
      <c r="C524" s="8" t="s">
        <v>71</v>
      </c>
      <c r="F524" s="11">
        <v>45987</v>
      </c>
      <c r="G524" s="11">
        <v>45989</v>
      </c>
      <c r="H524" s="11">
        <v>45999</v>
      </c>
      <c r="I524" s="8" t="s">
        <v>241</v>
      </c>
      <c r="J524" s="8" t="s">
        <v>242</v>
      </c>
      <c r="K524" s="8" t="s">
        <v>243</v>
      </c>
      <c r="L524" s="8" t="s">
        <v>15</v>
      </c>
      <c r="M524" s="30" t="s">
        <v>361</v>
      </c>
      <c r="N524" s="8" t="s">
        <v>1165</v>
      </c>
      <c r="O524" s="8" t="s">
        <v>94</v>
      </c>
      <c r="P524" s="28" t="s">
        <v>77</v>
      </c>
      <c r="Q524" s="16" t="s">
        <v>1583</v>
      </c>
      <c r="X524" s="8" t="s">
        <v>994</v>
      </c>
      <c r="Y524" s="34">
        <f>IF(X524='Listas suspensas'!$A$21,'Listas suspensas'!$B$23,IF(X524='Listas suspensas'!$A$22,'Listas suspensas'!$B$23,IF(X524='Listas suspensas'!$A$23,'Listas suspensas'!$B$22,IF(X524='Listas suspensas'!$A$26,'Listas suspensas'!$B$22,IF(X524='Listas suspensas'!$A$32,'Listas suspensas'!$B$22,IF(X524='Listas suspensas'!$A$33,'Listas suspensas'!$B$21,IF(X524='Listas suspensas'!$A$24,'Listas suspensas'!$B$22,IF(X524='Listas suspensas'!$A$25,'Listas suspensas'!$B$21,IF(X524='Listas suspensas'!$A$30,'Listas suspensas'!$B$21,"")))))))))</f>
        <v>4</v>
      </c>
      <c r="Z524" s="8" t="s">
        <v>80</v>
      </c>
      <c r="AA524" s="8">
        <v>2</v>
      </c>
      <c r="AB524" s="8" t="str">
        <f>IF(AA524='Listas suspensas'!$A$2,'Listas suspensas'!$B$2,IF(AA524='Listas suspensas'!$A$3,'Listas suspensas'!$B$3,IF(AA524='Listas suspensas'!$A$4,'Listas suspensas'!$B$4,IF(AA524='Listas suspensas'!$A$5,'Listas suspensas'!$B$5,IF(AA524='Listas suspensas'!$A$6,'Listas suspensas'!$B$6,"")))))</f>
        <v>Profunda e irregular</v>
      </c>
      <c r="AC524" s="8" t="str">
        <f>IF(AA524='Listas suspensas'!$A$2,'Listas suspensas'!$C$2,IF(AA524='Listas suspensas'!$A$3,'Listas suspensas'!$C$3,IF(AA524='Listas suspensas'!$A$4,'Listas suspensas'!$C$4,IF(AA524='Listas suspensas'!$A$5,'Listas suspensas'!$C$5,IF(AA524='Listas suspensas'!$A$6,'Listas suspensas'!$C$6,"")))))</f>
        <v>Indica a penetração profunda, mas desuniforme em toda a extensão do alburno.</v>
      </c>
      <c r="BD524" s="13">
        <v>0.877</v>
      </c>
      <c r="BE524" s="18">
        <f t="shared" si="92"/>
        <v>877</v>
      </c>
      <c r="BF524" s="8">
        <v>0.40400000000000003</v>
      </c>
      <c r="BG524" s="8">
        <v>0.192</v>
      </c>
      <c r="BH524" s="8">
        <v>0.40400000000000003</v>
      </c>
      <c r="BI524" s="13">
        <f t="shared" si="93"/>
        <v>1</v>
      </c>
      <c r="BJ524" s="14">
        <v>40.4</v>
      </c>
      <c r="BK524" s="14">
        <v>19.2</v>
      </c>
      <c r="BL524" s="14">
        <v>40.4</v>
      </c>
      <c r="BM524" s="16">
        <f t="shared" si="87"/>
        <v>100</v>
      </c>
      <c r="BN524" s="21">
        <f t="shared" si="88"/>
        <v>3.54</v>
      </c>
      <c r="BO524" s="21">
        <f t="shared" si="89"/>
        <v>1.68</v>
      </c>
      <c r="BP524" s="21">
        <f t="shared" si="90"/>
        <v>3.54</v>
      </c>
      <c r="BQ524" s="14">
        <f t="shared" si="91"/>
        <v>8.76</v>
      </c>
      <c r="BR524" s="22" t="str">
        <f>IF(OR(AND(X524="Mourões", BQ524&gt;=6.5),AND(X524="Postes", BQ524&gt;=9.6),AND(X524="Dormentes", BQ524&gt;=9.6),AND(X524="Estacas - Solo", BQ524&gt;=6.5),AND(X524="Estacas - Suspenso", BQ524&gt;=4),AND(X524="Cruzetas", BQ524&gt;=6.5),AND(X524="Outros - Solo", BQ524&gt;=6.5),AND(X524="Outros - Suspenso",BQ524&gt;=4),AND(X524="Deck",BQ524&gt;=4)),'Listas suspensas'!$C$21,'Listas suspensas'!$C$22)</f>
        <v>Os resultados da análise química apresentaram uma retenção do produto de acordo com o padrão mínimo exigido pela norma ABNT NBR 16143</v>
      </c>
    </row>
    <row r="525" spans="2:70" x14ac:dyDescent="0.25">
      <c r="B525" s="8" t="s">
        <v>1463</v>
      </c>
      <c r="C525" s="8" t="s">
        <v>71</v>
      </c>
      <c r="F525" s="11">
        <v>45987</v>
      </c>
      <c r="G525" s="11">
        <v>45989</v>
      </c>
      <c r="H525" s="11">
        <v>45999</v>
      </c>
      <c r="I525" s="8" t="s">
        <v>241</v>
      </c>
      <c r="J525" s="8" t="s">
        <v>242</v>
      </c>
      <c r="K525" s="8" t="s">
        <v>243</v>
      </c>
      <c r="L525" s="8" t="s">
        <v>15</v>
      </c>
      <c r="M525" s="30" t="s">
        <v>361</v>
      </c>
      <c r="N525" s="8" t="s">
        <v>1165</v>
      </c>
      <c r="O525" s="8" t="s">
        <v>94</v>
      </c>
      <c r="P525" s="28" t="s">
        <v>77</v>
      </c>
      <c r="Q525" s="16" t="s">
        <v>1584</v>
      </c>
      <c r="X525" s="8" t="s">
        <v>994</v>
      </c>
      <c r="Y525" s="34">
        <f>IF(X525='Listas suspensas'!$A$21,'Listas suspensas'!$B$23,IF(X525='Listas suspensas'!$A$22,'Listas suspensas'!$B$23,IF(X525='Listas suspensas'!$A$23,'Listas suspensas'!$B$22,IF(X525='Listas suspensas'!$A$26,'Listas suspensas'!$B$22,IF(X525='Listas suspensas'!$A$32,'Listas suspensas'!$B$22,IF(X525='Listas suspensas'!$A$33,'Listas suspensas'!$B$21,IF(X525='Listas suspensas'!$A$24,'Listas suspensas'!$B$22,IF(X525='Listas suspensas'!$A$25,'Listas suspensas'!$B$21,IF(X525='Listas suspensas'!$A$30,'Listas suspensas'!$B$21,"")))))))))</f>
        <v>4</v>
      </c>
      <c r="Z525" s="8" t="s">
        <v>80</v>
      </c>
      <c r="AA525" s="8">
        <v>3</v>
      </c>
      <c r="AB525" s="8" t="str">
        <f>IF(AA525='Listas suspensas'!$A$2,'Listas suspensas'!$B$2,IF(AA525='Listas suspensas'!$A$3,'Listas suspensas'!$B$3,IF(AA525='Listas suspensas'!$A$4,'Listas suspensas'!$B$4,IF(AA525='Listas suspensas'!$A$5,'Listas suspensas'!$B$5,IF(AA525='Listas suspensas'!$A$6,'Listas suspensas'!$B$6,"")))))</f>
        <v xml:space="preserve"> Parcial e regular</v>
      </c>
      <c r="AC525" s="8" t="str">
        <f>IF(AA525='Listas suspensas'!$A$2,'Listas suspensas'!$C$2,IF(AA525='Listas suspensas'!$A$3,'Listas suspensas'!$C$3,IF(AA525='Listas suspensas'!$A$4,'Listas suspensas'!$C$4,IF(AA525='Listas suspensas'!$A$5,'Listas suspensas'!$C$5,IF(AA525='Listas suspensas'!$A$6,'Listas suspensas'!$C$6,"")))))</f>
        <v>Indica a penetração uniforme, mas não total pela extensão do alburno.</v>
      </c>
      <c r="BD525" s="13">
        <v>0.85199999999999998</v>
      </c>
      <c r="BE525" s="18">
        <f t="shared" si="92"/>
        <v>852</v>
      </c>
      <c r="BF525" s="8">
        <v>0.22900000000000001</v>
      </c>
      <c r="BG525" s="8">
        <v>8.3000000000000004E-2</v>
      </c>
      <c r="BH525" s="8">
        <v>0.14399999999999999</v>
      </c>
      <c r="BI525" s="13">
        <f t="shared" si="93"/>
        <v>0.45599999999999996</v>
      </c>
      <c r="BJ525" s="14">
        <v>50.2</v>
      </c>
      <c r="BK525" s="14">
        <v>18.100000000000001</v>
      </c>
      <c r="BL525" s="14">
        <v>31.7</v>
      </c>
      <c r="BM525" s="16">
        <f t="shared" si="87"/>
        <v>100</v>
      </c>
      <c r="BN525" s="21">
        <f t="shared" si="88"/>
        <v>1.95</v>
      </c>
      <c r="BO525" s="21">
        <f t="shared" si="89"/>
        <v>0.71</v>
      </c>
      <c r="BP525" s="21">
        <f t="shared" si="90"/>
        <v>1.23</v>
      </c>
      <c r="BQ525" s="14">
        <f t="shared" si="91"/>
        <v>3.89</v>
      </c>
      <c r="BR525" s="22" t="str">
        <f>IF(OR(AND(X525="Mourões", BQ525&gt;=6.5),AND(X525="Postes", BQ525&gt;=9.6),AND(X525="Dormentes", BQ525&gt;=9.6),AND(X525="Estacas - Solo", BQ525&gt;=6.5),AND(X525="Estacas - Suspenso", BQ525&gt;=4),AND(X525="Cruzetas", BQ525&gt;=6.5),AND(X525="Outros - Solo", BQ525&gt;=6.5),AND(X525="Outros - Suspenso",BQ525&gt;=4),AND(X525="Deck",BQ525&gt;=4)),'Listas suspensas'!$C$21,'Listas suspensas'!$C$22)</f>
        <v>Os resultados da análise química apresentaram uma retenção do produto inferior ao padrão mínimo exigido pela norma ABNT NBR 16143</v>
      </c>
    </row>
    <row r="526" spans="2:70" x14ac:dyDescent="0.25">
      <c r="B526" s="8" t="s">
        <v>1464</v>
      </c>
      <c r="C526" s="8" t="s">
        <v>71</v>
      </c>
      <c r="F526" s="11">
        <v>45987</v>
      </c>
      <c r="G526" s="11">
        <v>45989</v>
      </c>
      <c r="H526" s="11">
        <v>45999</v>
      </c>
      <c r="I526" s="8" t="s">
        <v>241</v>
      </c>
      <c r="J526" s="8" t="s">
        <v>242</v>
      </c>
      <c r="K526" s="8" t="s">
        <v>243</v>
      </c>
      <c r="L526" s="8" t="s">
        <v>15</v>
      </c>
      <c r="M526" s="30" t="s">
        <v>361</v>
      </c>
      <c r="N526" s="8" t="s">
        <v>1165</v>
      </c>
      <c r="O526" s="8" t="s">
        <v>94</v>
      </c>
      <c r="P526" s="28" t="s">
        <v>77</v>
      </c>
      <c r="Q526" s="16" t="s">
        <v>1585</v>
      </c>
      <c r="X526" s="8" t="s">
        <v>994</v>
      </c>
      <c r="Y526" s="34">
        <f>IF(X526='Listas suspensas'!$A$21,'Listas suspensas'!$B$23,IF(X526='Listas suspensas'!$A$22,'Listas suspensas'!$B$23,IF(X526='Listas suspensas'!$A$23,'Listas suspensas'!$B$22,IF(X526='Listas suspensas'!$A$26,'Listas suspensas'!$B$22,IF(X526='Listas suspensas'!$A$32,'Listas suspensas'!$B$22,IF(X526='Listas suspensas'!$A$33,'Listas suspensas'!$B$21,IF(X526='Listas suspensas'!$A$24,'Listas suspensas'!$B$22,IF(X526='Listas suspensas'!$A$25,'Listas suspensas'!$B$21,IF(X526='Listas suspensas'!$A$30,'Listas suspensas'!$B$21,"")))))))))</f>
        <v>4</v>
      </c>
      <c r="Z526" s="8" t="s">
        <v>80</v>
      </c>
      <c r="AA526" s="8">
        <v>2</v>
      </c>
      <c r="AB526" s="8" t="str">
        <f>IF(AA526='Listas suspensas'!$A$2,'Listas suspensas'!$B$2,IF(AA526='Listas suspensas'!$A$3,'Listas suspensas'!$B$3,IF(AA526='Listas suspensas'!$A$4,'Listas suspensas'!$B$4,IF(AA526='Listas suspensas'!$A$5,'Listas suspensas'!$B$5,IF(AA526='Listas suspensas'!$A$6,'Listas suspensas'!$B$6,"")))))</f>
        <v>Profunda e irregular</v>
      </c>
      <c r="AC526" s="8" t="str">
        <f>IF(AA526='Listas suspensas'!$A$2,'Listas suspensas'!$C$2,IF(AA526='Listas suspensas'!$A$3,'Listas suspensas'!$C$3,IF(AA526='Listas suspensas'!$A$4,'Listas suspensas'!$C$4,IF(AA526='Listas suspensas'!$A$5,'Listas suspensas'!$C$5,IF(AA526='Listas suspensas'!$A$6,'Listas suspensas'!$C$6,"")))))</f>
        <v>Indica a penetração profunda, mas desuniforme em toda a extensão do alburno.</v>
      </c>
      <c r="BD526" s="13">
        <v>0.81100000000000005</v>
      </c>
      <c r="BE526" s="18">
        <f t="shared" si="92"/>
        <v>811</v>
      </c>
      <c r="BF526" s="8">
        <v>0.23799999999999999</v>
      </c>
      <c r="BG526" s="8">
        <v>0.108</v>
      </c>
      <c r="BH526" s="8">
        <v>0.20699999999999999</v>
      </c>
      <c r="BI526" s="13">
        <f t="shared" si="93"/>
        <v>0.55299999999999994</v>
      </c>
      <c r="BJ526" s="14">
        <v>43</v>
      </c>
      <c r="BK526" s="14">
        <v>19.5</v>
      </c>
      <c r="BL526" s="14">
        <v>37.5</v>
      </c>
      <c r="BM526" s="16">
        <f t="shared" si="87"/>
        <v>100</v>
      </c>
      <c r="BN526" s="21">
        <f t="shared" si="88"/>
        <v>1.93</v>
      </c>
      <c r="BO526" s="21">
        <f t="shared" si="89"/>
        <v>0.88</v>
      </c>
      <c r="BP526" s="21">
        <f t="shared" si="90"/>
        <v>1.68</v>
      </c>
      <c r="BQ526" s="14">
        <f t="shared" si="91"/>
        <v>4.49</v>
      </c>
      <c r="BR526" s="22" t="str">
        <f>IF(OR(AND(X526="Mourões", BQ526&gt;=6.5),AND(X526="Postes", BQ526&gt;=9.6),AND(X526="Dormentes", BQ526&gt;=9.6),AND(X526="Estacas - Solo", BQ526&gt;=6.5),AND(X526="Estacas - Suspenso", BQ526&gt;=4),AND(X526="Cruzetas", BQ526&gt;=6.5),AND(X526="Outros - Solo", BQ526&gt;=6.5),AND(X526="Outros - Suspenso",BQ526&gt;=4),AND(X526="Deck",BQ526&gt;=4)),'Listas suspensas'!$C$21,'Listas suspensas'!$C$22)</f>
        <v>Os resultados da análise química apresentaram uma retenção do produto de acordo com o padrão mínimo exigido pela norma ABNT NBR 16143</v>
      </c>
    </row>
    <row r="527" spans="2:70" x14ac:dyDescent="0.25">
      <c r="B527" s="8" t="s">
        <v>1465</v>
      </c>
      <c r="C527" s="8" t="s">
        <v>71</v>
      </c>
      <c r="F527" s="11">
        <v>45987</v>
      </c>
      <c r="G527" s="11">
        <v>45989</v>
      </c>
      <c r="H527" s="11">
        <v>45999</v>
      </c>
      <c r="I527" s="8" t="s">
        <v>241</v>
      </c>
      <c r="J527" s="8" t="s">
        <v>242</v>
      </c>
      <c r="K527" s="8" t="s">
        <v>243</v>
      </c>
      <c r="L527" s="8" t="s">
        <v>15</v>
      </c>
      <c r="M527" s="30" t="s">
        <v>361</v>
      </c>
      <c r="N527" s="8" t="s">
        <v>1165</v>
      </c>
      <c r="O527" s="8" t="s">
        <v>94</v>
      </c>
      <c r="P527" s="28" t="s">
        <v>77</v>
      </c>
      <c r="Q527" s="16" t="s">
        <v>1586</v>
      </c>
      <c r="X527" s="8" t="s">
        <v>994</v>
      </c>
      <c r="Y527" s="34">
        <f>IF(X527='Listas suspensas'!$A$21,'Listas suspensas'!$B$23,IF(X527='Listas suspensas'!$A$22,'Listas suspensas'!$B$23,IF(X527='Listas suspensas'!$A$23,'Listas suspensas'!$B$22,IF(X527='Listas suspensas'!$A$26,'Listas suspensas'!$B$22,IF(X527='Listas suspensas'!$A$32,'Listas suspensas'!$B$22,IF(X527='Listas suspensas'!$A$33,'Listas suspensas'!$B$21,IF(X527='Listas suspensas'!$A$24,'Listas suspensas'!$B$22,IF(X527='Listas suspensas'!$A$25,'Listas suspensas'!$B$21,IF(X527='Listas suspensas'!$A$30,'Listas suspensas'!$B$21,"")))))))))</f>
        <v>4</v>
      </c>
      <c r="Z527" s="8" t="s">
        <v>80</v>
      </c>
      <c r="AA527" s="8">
        <v>2</v>
      </c>
      <c r="AB527" s="8" t="str">
        <f>IF(AA527='Listas suspensas'!$A$2,'Listas suspensas'!$B$2,IF(AA527='Listas suspensas'!$A$3,'Listas suspensas'!$B$3,IF(AA527='Listas suspensas'!$A$4,'Listas suspensas'!$B$4,IF(AA527='Listas suspensas'!$A$5,'Listas suspensas'!$B$5,IF(AA527='Listas suspensas'!$A$6,'Listas suspensas'!$B$6,"")))))</f>
        <v>Profunda e irregular</v>
      </c>
      <c r="AC527" s="8" t="str">
        <f>IF(AA527='Listas suspensas'!$A$2,'Listas suspensas'!$C$2,IF(AA527='Listas suspensas'!$A$3,'Listas suspensas'!$C$3,IF(AA527='Listas suspensas'!$A$4,'Listas suspensas'!$C$4,IF(AA527='Listas suspensas'!$A$5,'Listas suspensas'!$C$5,IF(AA527='Listas suspensas'!$A$6,'Listas suspensas'!$C$6,"")))))</f>
        <v>Indica a penetração profunda, mas desuniforme em toda a extensão do alburno.</v>
      </c>
      <c r="BD527" s="13">
        <v>0.77</v>
      </c>
      <c r="BE527" s="18">
        <f t="shared" si="92"/>
        <v>770</v>
      </c>
      <c r="BF527" s="8">
        <v>0.33900000000000002</v>
      </c>
      <c r="BG527" s="8">
        <v>0.13400000000000001</v>
      </c>
      <c r="BH527" s="8">
        <v>0.29599999999999999</v>
      </c>
      <c r="BI527" s="13">
        <f t="shared" si="93"/>
        <v>0.76900000000000002</v>
      </c>
      <c r="BJ527" s="14">
        <v>44</v>
      </c>
      <c r="BK527" s="14">
        <v>17.5</v>
      </c>
      <c r="BL527" s="14">
        <v>38.5</v>
      </c>
      <c r="BM527" s="16">
        <f t="shared" si="87"/>
        <v>100</v>
      </c>
      <c r="BN527" s="21">
        <f t="shared" si="88"/>
        <v>2.61</v>
      </c>
      <c r="BO527" s="21">
        <f t="shared" si="89"/>
        <v>1.03</v>
      </c>
      <c r="BP527" s="21">
        <f t="shared" si="90"/>
        <v>2.2799999999999998</v>
      </c>
      <c r="BQ527" s="14">
        <f t="shared" si="91"/>
        <v>5.92</v>
      </c>
      <c r="BR527" s="22" t="str">
        <f>IF(OR(AND(X527="Mourões", BQ527&gt;=6.5),AND(X527="Postes", BQ527&gt;=9.6),AND(X527="Dormentes", BQ527&gt;=9.6),AND(X527="Estacas - Solo", BQ527&gt;=6.5),AND(X527="Estacas - Suspenso", BQ527&gt;=4),AND(X527="Cruzetas", BQ527&gt;=6.5),AND(X527="Outros - Solo", BQ527&gt;=6.5),AND(X527="Outros - Suspenso",BQ527&gt;=4),AND(X527="Deck",BQ527&gt;=4)),'Listas suspensas'!$C$21,'Listas suspensas'!$C$22)</f>
        <v>Os resultados da análise química apresentaram uma retenção do produto de acordo com o padrão mínimo exigido pela norma ABNT NBR 16143</v>
      </c>
    </row>
    <row r="528" spans="2:70" x14ac:dyDescent="0.25">
      <c r="B528" s="8" t="s">
        <v>1466</v>
      </c>
      <c r="C528" s="8" t="s">
        <v>71</v>
      </c>
      <c r="F528" s="11">
        <v>45987</v>
      </c>
      <c r="G528" s="11">
        <v>45989</v>
      </c>
      <c r="H528" s="11">
        <v>45999</v>
      </c>
      <c r="I528" s="8" t="s">
        <v>241</v>
      </c>
      <c r="J528" s="8" t="s">
        <v>242</v>
      </c>
      <c r="K528" s="8" t="s">
        <v>243</v>
      </c>
      <c r="L528" s="8" t="s">
        <v>15</v>
      </c>
      <c r="M528" s="30" t="s">
        <v>361</v>
      </c>
      <c r="N528" s="8" t="s">
        <v>1165</v>
      </c>
      <c r="O528" s="8" t="s">
        <v>94</v>
      </c>
      <c r="P528" s="28" t="s">
        <v>77</v>
      </c>
      <c r="Q528" s="16" t="s">
        <v>1587</v>
      </c>
      <c r="X528" s="8" t="s">
        <v>994</v>
      </c>
      <c r="Y528" s="34">
        <f>IF(X528='Listas suspensas'!$A$21,'Listas suspensas'!$B$23,IF(X528='Listas suspensas'!$A$22,'Listas suspensas'!$B$23,IF(X528='Listas suspensas'!$A$23,'Listas suspensas'!$B$22,IF(X528='Listas suspensas'!$A$26,'Listas suspensas'!$B$22,IF(X528='Listas suspensas'!$A$32,'Listas suspensas'!$B$22,IF(X528='Listas suspensas'!$A$33,'Listas suspensas'!$B$21,IF(X528='Listas suspensas'!$A$24,'Listas suspensas'!$B$22,IF(X528='Listas suspensas'!$A$25,'Listas suspensas'!$B$21,IF(X528='Listas suspensas'!$A$30,'Listas suspensas'!$B$21,"")))))))))</f>
        <v>4</v>
      </c>
      <c r="Z528" s="8" t="s">
        <v>80</v>
      </c>
      <c r="AA528" s="8">
        <v>2</v>
      </c>
      <c r="AB528" s="8" t="str">
        <f>IF(AA528='Listas suspensas'!$A$2,'Listas suspensas'!$B$2,IF(AA528='Listas suspensas'!$A$3,'Listas suspensas'!$B$3,IF(AA528='Listas suspensas'!$A$4,'Listas suspensas'!$B$4,IF(AA528='Listas suspensas'!$A$5,'Listas suspensas'!$B$5,IF(AA528='Listas suspensas'!$A$6,'Listas suspensas'!$B$6,"")))))</f>
        <v>Profunda e irregular</v>
      </c>
      <c r="AC528" s="8" t="str">
        <f>IF(AA528='Listas suspensas'!$A$2,'Listas suspensas'!$C$2,IF(AA528='Listas suspensas'!$A$3,'Listas suspensas'!$C$3,IF(AA528='Listas suspensas'!$A$4,'Listas suspensas'!$C$4,IF(AA528='Listas suspensas'!$A$5,'Listas suspensas'!$C$5,IF(AA528='Listas suspensas'!$A$6,'Listas suspensas'!$C$6,"")))))</f>
        <v>Indica a penetração profunda, mas desuniforme em toda a extensão do alburno.</v>
      </c>
      <c r="BD528" s="13">
        <v>0.83499999999999996</v>
      </c>
      <c r="BE528" s="18">
        <f t="shared" si="92"/>
        <v>835</v>
      </c>
      <c r="BF528" s="8">
        <v>0.20699999999999999</v>
      </c>
      <c r="BG528" s="8">
        <v>0.125</v>
      </c>
      <c r="BH528" s="8">
        <v>0.215</v>
      </c>
      <c r="BI528" s="13">
        <f t="shared" si="93"/>
        <v>0.54699999999999993</v>
      </c>
      <c r="BJ528" s="14">
        <v>37.9</v>
      </c>
      <c r="BK528" s="14">
        <v>22.8</v>
      </c>
      <c r="BL528" s="14">
        <v>39.299999999999997</v>
      </c>
      <c r="BM528" s="16">
        <f t="shared" si="87"/>
        <v>100</v>
      </c>
      <c r="BN528" s="21">
        <f t="shared" si="88"/>
        <v>1.73</v>
      </c>
      <c r="BO528" s="21">
        <f t="shared" si="89"/>
        <v>1.04</v>
      </c>
      <c r="BP528" s="21">
        <f t="shared" si="90"/>
        <v>1.8</v>
      </c>
      <c r="BQ528" s="14">
        <f t="shared" si="91"/>
        <v>4.57</v>
      </c>
      <c r="BR528" s="22" t="str">
        <f>IF(OR(AND(X528="Mourões", BQ528&gt;=6.5),AND(X528="Postes", BQ528&gt;=9.6),AND(X528="Dormentes", BQ528&gt;=9.6),AND(X528="Estacas - Solo", BQ528&gt;=6.5),AND(X528="Estacas - Suspenso", BQ528&gt;=4),AND(X528="Cruzetas", BQ528&gt;=6.5),AND(X528="Outros - Solo", BQ528&gt;=6.5),AND(X528="Outros - Suspenso",BQ528&gt;=4),AND(X528="Deck",BQ528&gt;=4)),'Listas suspensas'!$C$21,'Listas suspensas'!$C$22)</f>
        <v>Os resultados da análise química apresentaram uma retenção do produto de acordo com o padrão mínimo exigido pela norma ABNT NBR 16143</v>
      </c>
    </row>
    <row r="529" spans="2:70" x14ac:dyDescent="0.25">
      <c r="B529" s="8" t="s">
        <v>1467</v>
      </c>
      <c r="C529" s="8" t="s">
        <v>71</v>
      </c>
      <c r="F529" s="11">
        <v>45987</v>
      </c>
      <c r="G529" s="11">
        <v>45989</v>
      </c>
      <c r="H529" s="11">
        <v>45999</v>
      </c>
      <c r="I529" s="8" t="s">
        <v>896</v>
      </c>
      <c r="J529" s="8" t="s">
        <v>1016</v>
      </c>
      <c r="K529" s="8" t="s">
        <v>619</v>
      </c>
      <c r="L529" s="8" t="s">
        <v>15</v>
      </c>
      <c r="M529" s="30" t="s">
        <v>898</v>
      </c>
      <c r="N529" s="8" t="s">
        <v>1165</v>
      </c>
      <c r="O529" s="8" t="s">
        <v>94</v>
      </c>
      <c r="P529" s="28" t="s">
        <v>471</v>
      </c>
      <c r="Q529" s="16" t="s">
        <v>1361</v>
      </c>
      <c r="X529" s="8" t="s">
        <v>473</v>
      </c>
      <c r="Y529" s="34">
        <f>IF(X529='Listas suspensas'!$A$21,'Listas suspensas'!$B$23,IF(X529='Listas suspensas'!$A$22,'Listas suspensas'!$B$23,IF(X529='Listas suspensas'!$A$23,'Listas suspensas'!$B$22,IF(X529='Listas suspensas'!$A$26,'Listas suspensas'!$B$22,IF(X529='Listas suspensas'!$A$32,'Listas suspensas'!$B$22,IF(X529='Listas suspensas'!$A$33,'Listas suspensas'!$B$21,IF(X529='Listas suspensas'!$A$24,'Listas suspensas'!$B$22,IF(X529='Listas suspensas'!$A$25,'Listas suspensas'!$B$21,IF(X529='Listas suspensas'!$A$30,'Listas suspensas'!$B$21,"")))))))))</f>
        <v>4</v>
      </c>
      <c r="Z529" s="8" t="s">
        <v>80</v>
      </c>
      <c r="AA529" s="8">
        <v>2</v>
      </c>
      <c r="AB529" s="8" t="str">
        <f>IF(AA529='Listas suspensas'!$A$2,'Listas suspensas'!$B$2,IF(AA529='Listas suspensas'!$A$3,'Listas suspensas'!$B$3,IF(AA529='Listas suspensas'!$A$4,'Listas suspensas'!$B$4,IF(AA529='Listas suspensas'!$A$5,'Listas suspensas'!$B$5,IF(AA529='Listas suspensas'!$A$6,'Listas suspensas'!$B$6,"")))))</f>
        <v>Profunda e irregular</v>
      </c>
      <c r="AC529" s="8" t="str">
        <f>IF(AA529='Listas suspensas'!$A$2,'Listas suspensas'!$C$2,IF(AA529='Listas suspensas'!$A$3,'Listas suspensas'!$C$3,IF(AA529='Listas suspensas'!$A$4,'Listas suspensas'!$C$4,IF(AA529='Listas suspensas'!$A$5,'Listas suspensas'!$C$5,IF(AA529='Listas suspensas'!$A$6,'Listas suspensas'!$C$6,"")))))</f>
        <v>Indica a penetração profunda, mas desuniforme em toda a extensão do alburno.</v>
      </c>
      <c r="BD529" s="13">
        <v>0.55100000000000005</v>
      </c>
      <c r="BE529" s="18">
        <f t="shared" si="92"/>
        <v>551</v>
      </c>
      <c r="BF529" s="8">
        <v>0.42199999999999999</v>
      </c>
      <c r="BG529" s="8">
        <v>0.17699999999999999</v>
      </c>
      <c r="BH529" s="8">
        <v>0.32900000000000001</v>
      </c>
      <c r="BI529" s="13">
        <f t="shared" si="93"/>
        <v>0.92799999999999994</v>
      </c>
      <c r="BJ529" s="14">
        <v>45.5</v>
      </c>
      <c r="BK529" s="14">
        <v>19.100000000000001</v>
      </c>
      <c r="BL529" s="14">
        <v>35.4</v>
      </c>
      <c r="BM529" s="16">
        <f t="shared" si="87"/>
        <v>100</v>
      </c>
      <c r="BN529" s="21">
        <f t="shared" si="88"/>
        <v>2.33</v>
      </c>
      <c r="BO529" s="21">
        <f t="shared" si="89"/>
        <v>0.98</v>
      </c>
      <c r="BP529" s="21">
        <f t="shared" si="90"/>
        <v>1.81</v>
      </c>
      <c r="BQ529" s="14">
        <f t="shared" si="91"/>
        <v>5.12</v>
      </c>
      <c r="BR529" s="22" t="str">
        <f>IF(OR(AND(X529="Mourões", BQ529&gt;=6.5),AND(X529="Postes", BQ529&gt;=9.6),AND(X529="Dormentes", BQ529&gt;=9.6),AND(X529="Estacas - Solo", BQ529&gt;=6.5),AND(X529="Estacas - Suspenso", BQ529&gt;=4),AND(X529="Cruzetas", BQ529&gt;=6.5),AND(X529="Outros - Solo", BQ529&gt;=6.5),AND(X529="Outros - Suspenso",BQ529&gt;=4),AND(X529="Deck",BQ529&gt;=4)),'Listas suspensas'!$C$21,'Listas suspensas'!$C$22)</f>
        <v>Os resultados da análise química apresentaram uma retenção do produto de acordo com o padrão mínimo exigido pela norma ABNT NBR 16143</v>
      </c>
    </row>
    <row r="530" spans="2:70" x14ac:dyDescent="0.25">
      <c r="B530" s="8" t="s">
        <v>1468</v>
      </c>
      <c r="C530" s="8" t="s">
        <v>71</v>
      </c>
      <c r="F530" s="11">
        <v>45987</v>
      </c>
      <c r="G530" s="11">
        <v>45989</v>
      </c>
      <c r="H530" s="11">
        <v>45999</v>
      </c>
      <c r="I530" s="8" t="s">
        <v>896</v>
      </c>
      <c r="J530" s="8" t="s">
        <v>1016</v>
      </c>
      <c r="K530" s="8" t="s">
        <v>619</v>
      </c>
      <c r="L530" s="8" t="s">
        <v>15</v>
      </c>
      <c r="M530" s="30" t="s">
        <v>898</v>
      </c>
      <c r="N530" s="8" t="s">
        <v>1165</v>
      </c>
      <c r="O530" s="8" t="s">
        <v>94</v>
      </c>
      <c r="P530" s="28" t="s">
        <v>471</v>
      </c>
      <c r="Q530" s="16" t="s">
        <v>1588</v>
      </c>
      <c r="X530" s="8" t="s">
        <v>473</v>
      </c>
      <c r="Y530" s="34">
        <f>IF(X530='Listas suspensas'!$A$21,'Listas suspensas'!$B$23,IF(X530='Listas suspensas'!$A$22,'Listas suspensas'!$B$23,IF(X530='Listas suspensas'!$A$23,'Listas suspensas'!$B$22,IF(X530='Listas suspensas'!$A$26,'Listas suspensas'!$B$22,IF(X530='Listas suspensas'!$A$32,'Listas suspensas'!$B$22,IF(X530='Listas suspensas'!$A$33,'Listas suspensas'!$B$21,IF(X530='Listas suspensas'!$A$24,'Listas suspensas'!$B$22,IF(X530='Listas suspensas'!$A$25,'Listas suspensas'!$B$21,IF(X530='Listas suspensas'!$A$30,'Listas suspensas'!$B$21,"")))))))))</f>
        <v>4</v>
      </c>
      <c r="Z530" s="8" t="s">
        <v>80</v>
      </c>
      <c r="AA530" s="8">
        <v>2</v>
      </c>
      <c r="AB530" s="8" t="str">
        <f>IF(AA530='Listas suspensas'!$A$2,'Listas suspensas'!$B$2,IF(AA530='Listas suspensas'!$A$3,'Listas suspensas'!$B$3,IF(AA530='Listas suspensas'!$A$4,'Listas suspensas'!$B$4,IF(AA530='Listas suspensas'!$A$5,'Listas suspensas'!$B$5,IF(AA530='Listas suspensas'!$A$6,'Listas suspensas'!$B$6,"")))))</f>
        <v>Profunda e irregular</v>
      </c>
      <c r="AC530" s="8" t="str">
        <f>IF(AA530='Listas suspensas'!$A$2,'Listas suspensas'!$C$2,IF(AA530='Listas suspensas'!$A$3,'Listas suspensas'!$C$3,IF(AA530='Listas suspensas'!$A$4,'Listas suspensas'!$C$4,IF(AA530='Listas suspensas'!$A$5,'Listas suspensas'!$C$5,IF(AA530='Listas suspensas'!$A$6,'Listas suspensas'!$C$6,"")))))</f>
        <v>Indica a penetração profunda, mas desuniforme em toda a extensão do alburno.</v>
      </c>
      <c r="BD530" s="13">
        <v>0.60699999999999998</v>
      </c>
      <c r="BE530" s="18">
        <f t="shared" si="92"/>
        <v>607</v>
      </c>
      <c r="BF530" s="8">
        <v>0.54700000000000004</v>
      </c>
      <c r="BG530" s="8">
        <v>0.183</v>
      </c>
      <c r="BH530" s="8">
        <v>0.35199999999999998</v>
      </c>
      <c r="BI530" s="13">
        <f t="shared" si="93"/>
        <v>1.0819999999999999</v>
      </c>
      <c r="BJ530" s="14">
        <v>50.5</v>
      </c>
      <c r="BK530" s="14">
        <v>16.899999999999999</v>
      </c>
      <c r="BL530" s="14">
        <v>32.6</v>
      </c>
      <c r="BM530" s="16">
        <f t="shared" si="87"/>
        <v>100</v>
      </c>
      <c r="BN530" s="21">
        <f t="shared" si="88"/>
        <v>3.32</v>
      </c>
      <c r="BO530" s="21">
        <f t="shared" si="89"/>
        <v>1.1100000000000001</v>
      </c>
      <c r="BP530" s="21">
        <f t="shared" si="90"/>
        <v>2.14</v>
      </c>
      <c r="BQ530" s="14">
        <f t="shared" si="91"/>
        <v>6.57</v>
      </c>
      <c r="BR530" s="22" t="str">
        <f>IF(OR(AND(X530="Mourões", BQ530&gt;=6.5),AND(X530="Postes", BQ530&gt;=9.6),AND(X530="Dormentes", BQ530&gt;=9.6),AND(X530="Estacas - Solo", BQ530&gt;=6.5),AND(X530="Estacas - Suspenso", BQ530&gt;=4),AND(X530="Cruzetas", BQ530&gt;=6.5),AND(X530="Outros - Solo", BQ530&gt;=6.5),AND(X530="Outros - Suspenso",BQ530&gt;=4),AND(X530="Deck",BQ530&gt;=4)),'Listas suspensas'!$C$21,'Listas suspensas'!$C$22)</f>
        <v>Os resultados da análise química apresentaram uma retenção do produto de acordo com o padrão mínimo exigido pela norma ABNT NBR 16143</v>
      </c>
    </row>
    <row r="531" spans="2:70" x14ac:dyDescent="0.25">
      <c r="B531" s="8" t="s">
        <v>1469</v>
      </c>
      <c r="C531" s="8" t="s">
        <v>71</v>
      </c>
      <c r="F531" s="11">
        <v>45987</v>
      </c>
      <c r="G531" s="11">
        <v>45989</v>
      </c>
      <c r="H531" s="11">
        <v>45999</v>
      </c>
      <c r="I531" s="8" t="s">
        <v>896</v>
      </c>
      <c r="J531" s="8" t="s">
        <v>1016</v>
      </c>
      <c r="K531" s="8" t="s">
        <v>619</v>
      </c>
      <c r="L531" s="8" t="s">
        <v>15</v>
      </c>
      <c r="M531" s="30" t="s">
        <v>898</v>
      </c>
      <c r="N531" s="8" t="s">
        <v>1165</v>
      </c>
      <c r="O531" s="8" t="s">
        <v>94</v>
      </c>
      <c r="P531" s="28" t="s">
        <v>471</v>
      </c>
      <c r="Q531" s="16" t="s">
        <v>1589</v>
      </c>
      <c r="X531" s="8" t="s">
        <v>473</v>
      </c>
      <c r="Y531" s="34">
        <f>IF(X531='Listas suspensas'!$A$21,'Listas suspensas'!$B$23,IF(X531='Listas suspensas'!$A$22,'Listas suspensas'!$B$23,IF(X531='Listas suspensas'!$A$23,'Listas suspensas'!$B$22,IF(X531='Listas suspensas'!$A$26,'Listas suspensas'!$B$22,IF(X531='Listas suspensas'!$A$32,'Listas suspensas'!$B$22,IF(X531='Listas suspensas'!$A$33,'Listas suspensas'!$B$21,IF(X531='Listas suspensas'!$A$24,'Listas suspensas'!$B$22,IF(X531='Listas suspensas'!$A$25,'Listas suspensas'!$B$21,IF(X531='Listas suspensas'!$A$30,'Listas suspensas'!$B$21,"")))))))))</f>
        <v>4</v>
      </c>
      <c r="Z531" s="8" t="s">
        <v>80</v>
      </c>
      <c r="AA531" s="8">
        <v>3</v>
      </c>
      <c r="AB531" s="8" t="str">
        <f>IF(AA531='Listas suspensas'!$A$2,'Listas suspensas'!$B$2,IF(AA531='Listas suspensas'!$A$3,'Listas suspensas'!$B$3,IF(AA531='Listas suspensas'!$A$4,'Listas suspensas'!$B$4,IF(AA531='Listas suspensas'!$A$5,'Listas suspensas'!$B$5,IF(AA531='Listas suspensas'!$A$6,'Listas suspensas'!$B$6,"")))))</f>
        <v xml:space="preserve"> Parcial e regular</v>
      </c>
      <c r="AC531" s="8" t="str">
        <f>IF(AA531='Listas suspensas'!$A$2,'Listas suspensas'!$C$2,IF(AA531='Listas suspensas'!$A$3,'Listas suspensas'!$C$3,IF(AA531='Listas suspensas'!$A$4,'Listas suspensas'!$C$4,IF(AA531='Listas suspensas'!$A$5,'Listas suspensas'!$C$5,IF(AA531='Listas suspensas'!$A$6,'Listas suspensas'!$C$6,"")))))</f>
        <v>Indica a penetração uniforme, mas não total pela extensão do alburno.</v>
      </c>
      <c r="BD531" s="13">
        <v>0.59299999999999997</v>
      </c>
      <c r="BE531" s="18">
        <f t="shared" si="92"/>
        <v>593</v>
      </c>
      <c r="BF531" s="8">
        <v>0.32800000000000001</v>
      </c>
      <c r="BG531" s="8">
        <v>0.13700000000000001</v>
      </c>
      <c r="BH531" s="8">
        <v>0.219</v>
      </c>
      <c r="BI531" s="13">
        <f t="shared" si="93"/>
        <v>0.68400000000000005</v>
      </c>
      <c r="BJ531" s="14">
        <v>48</v>
      </c>
      <c r="BK531" s="14">
        <v>20</v>
      </c>
      <c r="BL531" s="14">
        <v>32</v>
      </c>
      <c r="BM531" s="16">
        <f t="shared" si="87"/>
        <v>100</v>
      </c>
      <c r="BN531" s="21">
        <f t="shared" si="88"/>
        <v>1.95</v>
      </c>
      <c r="BO531" s="21">
        <f t="shared" si="89"/>
        <v>0.81</v>
      </c>
      <c r="BP531" s="21">
        <f t="shared" si="90"/>
        <v>1.3</v>
      </c>
      <c r="BQ531" s="14">
        <f t="shared" si="91"/>
        <v>4.0599999999999996</v>
      </c>
      <c r="BR531" s="22" t="str">
        <f>IF(OR(AND(X531="Mourões", BQ531&gt;=6.5),AND(X531="Postes", BQ531&gt;=9.6),AND(X531="Dormentes", BQ531&gt;=9.6),AND(X531="Estacas - Solo", BQ531&gt;=6.5),AND(X531="Estacas - Suspenso", BQ531&gt;=4),AND(X531="Cruzetas", BQ531&gt;=6.5),AND(X531="Outros - Solo", BQ531&gt;=6.5),AND(X531="Outros - Suspenso",BQ531&gt;=4),AND(X531="Deck",BQ531&gt;=4)),'Listas suspensas'!$C$21,'Listas suspensas'!$C$22)</f>
        <v>Os resultados da análise química apresentaram uma retenção do produto de acordo com o padrão mínimo exigido pela norma ABNT NBR 16143</v>
      </c>
    </row>
    <row r="532" spans="2:70" x14ac:dyDescent="0.25">
      <c r="B532" s="8" t="s">
        <v>1470</v>
      </c>
      <c r="C532" s="8" t="s">
        <v>71</v>
      </c>
      <c r="F532" s="11">
        <v>45987</v>
      </c>
      <c r="G532" s="11">
        <v>45989</v>
      </c>
      <c r="H532" s="11">
        <v>45999</v>
      </c>
      <c r="I532" s="8" t="s">
        <v>896</v>
      </c>
      <c r="J532" s="8" t="s">
        <v>1016</v>
      </c>
      <c r="K532" s="8" t="s">
        <v>619</v>
      </c>
      <c r="L532" s="8" t="s">
        <v>15</v>
      </c>
      <c r="M532" s="30" t="s">
        <v>898</v>
      </c>
      <c r="N532" s="8" t="s">
        <v>1165</v>
      </c>
      <c r="O532" s="8" t="s">
        <v>94</v>
      </c>
      <c r="P532" s="28" t="s">
        <v>471</v>
      </c>
      <c r="Q532" s="16" t="s">
        <v>1590</v>
      </c>
      <c r="X532" s="8" t="s">
        <v>473</v>
      </c>
      <c r="Y532" s="34">
        <f>IF(X532='Listas suspensas'!$A$21,'Listas suspensas'!$B$23,IF(X532='Listas suspensas'!$A$22,'Listas suspensas'!$B$23,IF(X532='Listas suspensas'!$A$23,'Listas suspensas'!$B$22,IF(X532='Listas suspensas'!$A$26,'Listas suspensas'!$B$22,IF(X532='Listas suspensas'!$A$32,'Listas suspensas'!$B$22,IF(X532='Listas suspensas'!$A$33,'Listas suspensas'!$B$21,IF(X532='Listas suspensas'!$A$24,'Listas suspensas'!$B$22,IF(X532='Listas suspensas'!$A$25,'Listas suspensas'!$B$21,IF(X532='Listas suspensas'!$A$30,'Listas suspensas'!$B$21,"")))))))))</f>
        <v>4</v>
      </c>
      <c r="Z532" s="8" t="s">
        <v>80</v>
      </c>
      <c r="AA532" s="8">
        <v>3</v>
      </c>
      <c r="AB532" s="8" t="str">
        <f>IF(AA532='Listas suspensas'!$A$2,'Listas suspensas'!$B$2,IF(AA532='Listas suspensas'!$A$3,'Listas suspensas'!$B$3,IF(AA532='Listas suspensas'!$A$4,'Listas suspensas'!$B$4,IF(AA532='Listas suspensas'!$A$5,'Listas suspensas'!$B$5,IF(AA532='Listas suspensas'!$A$6,'Listas suspensas'!$B$6,"")))))</f>
        <v xml:space="preserve"> Parcial e regular</v>
      </c>
      <c r="AC532" s="8" t="str">
        <f>IF(AA532='Listas suspensas'!$A$2,'Listas suspensas'!$C$2,IF(AA532='Listas suspensas'!$A$3,'Listas suspensas'!$C$3,IF(AA532='Listas suspensas'!$A$4,'Listas suspensas'!$C$4,IF(AA532='Listas suspensas'!$A$5,'Listas suspensas'!$C$5,IF(AA532='Listas suspensas'!$A$6,'Listas suspensas'!$C$6,"")))))</f>
        <v>Indica a penetração uniforme, mas não total pela extensão do alburno.</v>
      </c>
      <c r="BD532" s="13">
        <v>0.55600000000000005</v>
      </c>
      <c r="BE532" s="18">
        <f t="shared" si="92"/>
        <v>556</v>
      </c>
      <c r="BF532" s="8">
        <v>0.33600000000000002</v>
      </c>
      <c r="BG532" s="8">
        <v>0.14099999999999999</v>
      </c>
      <c r="BH532" s="8">
        <v>0.22900000000000001</v>
      </c>
      <c r="BI532" s="13">
        <f t="shared" si="93"/>
        <v>0.70599999999999996</v>
      </c>
      <c r="BJ532" s="14">
        <v>47.6</v>
      </c>
      <c r="BK532" s="14">
        <v>20</v>
      </c>
      <c r="BL532" s="14">
        <v>32.4</v>
      </c>
      <c r="BM532" s="16">
        <f t="shared" si="87"/>
        <v>100</v>
      </c>
      <c r="BN532" s="21">
        <f t="shared" si="88"/>
        <v>1.87</v>
      </c>
      <c r="BO532" s="21">
        <f t="shared" si="89"/>
        <v>0.78</v>
      </c>
      <c r="BP532" s="21">
        <f t="shared" si="90"/>
        <v>1.27</v>
      </c>
      <c r="BQ532" s="14">
        <f t="shared" si="91"/>
        <v>3.92</v>
      </c>
      <c r="BR532" s="22" t="str">
        <f>IF(OR(AND(X532="Mourões", BQ532&gt;=6.5),AND(X532="Postes", BQ532&gt;=9.6),AND(X532="Dormentes", BQ532&gt;=9.6),AND(X532="Estacas - Solo", BQ532&gt;=6.5),AND(X532="Estacas - Suspenso", BQ532&gt;=4),AND(X532="Cruzetas", BQ532&gt;=6.5),AND(X532="Outros - Solo", BQ532&gt;=6.5),AND(X532="Outros - Suspenso",BQ532&gt;=4),AND(X532="Deck",BQ532&gt;=4)),'Listas suspensas'!$C$21,'Listas suspensas'!$C$22)</f>
        <v>Os resultados da análise química apresentaram uma retenção do produto inferior ao padrão mínimo exigido pela norma ABNT NBR 16143</v>
      </c>
    </row>
    <row r="533" spans="2:70" x14ac:dyDescent="0.25">
      <c r="B533" s="8" t="s">
        <v>1471</v>
      </c>
      <c r="C533" s="8" t="s">
        <v>71</v>
      </c>
      <c r="F533" s="11">
        <v>45987</v>
      </c>
      <c r="G533" s="11">
        <v>45989</v>
      </c>
      <c r="H533" s="11">
        <v>45999</v>
      </c>
      <c r="I533" s="8" t="s">
        <v>896</v>
      </c>
      <c r="J533" s="8" t="s">
        <v>1016</v>
      </c>
      <c r="K533" s="8" t="s">
        <v>619</v>
      </c>
      <c r="L533" s="8" t="s">
        <v>15</v>
      </c>
      <c r="M533" s="30" t="s">
        <v>898</v>
      </c>
      <c r="N533" s="8" t="s">
        <v>1165</v>
      </c>
      <c r="O533" s="8" t="s">
        <v>94</v>
      </c>
      <c r="P533" s="28" t="s">
        <v>471</v>
      </c>
      <c r="Q533" s="16" t="s">
        <v>1591</v>
      </c>
      <c r="X533" s="8" t="s">
        <v>473</v>
      </c>
      <c r="Y533" s="34">
        <f>IF(X533='Listas suspensas'!$A$21,'Listas suspensas'!$B$23,IF(X533='Listas suspensas'!$A$22,'Listas suspensas'!$B$23,IF(X533='Listas suspensas'!$A$23,'Listas suspensas'!$B$22,IF(X533='Listas suspensas'!$A$26,'Listas suspensas'!$B$22,IF(X533='Listas suspensas'!$A$32,'Listas suspensas'!$B$22,IF(X533='Listas suspensas'!$A$33,'Listas suspensas'!$B$21,IF(X533='Listas suspensas'!$A$24,'Listas suspensas'!$B$22,IF(X533='Listas suspensas'!$A$25,'Listas suspensas'!$B$21,IF(X533='Listas suspensas'!$A$30,'Listas suspensas'!$B$21,"")))))))))</f>
        <v>4</v>
      </c>
      <c r="Z533" s="8" t="s">
        <v>80</v>
      </c>
      <c r="AA533" s="8">
        <v>3</v>
      </c>
      <c r="AB533" s="8" t="str">
        <f>IF(AA533='Listas suspensas'!$A$2,'Listas suspensas'!$B$2,IF(AA533='Listas suspensas'!$A$3,'Listas suspensas'!$B$3,IF(AA533='Listas suspensas'!$A$4,'Listas suspensas'!$B$4,IF(AA533='Listas suspensas'!$A$5,'Listas suspensas'!$B$5,IF(AA533='Listas suspensas'!$A$6,'Listas suspensas'!$B$6,"")))))</f>
        <v xml:space="preserve"> Parcial e regular</v>
      </c>
      <c r="AC533" s="8" t="str">
        <f>IF(AA533='Listas suspensas'!$A$2,'Listas suspensas'!$C$2,IF(AA533='Listas suspensas'!$A$3,'Listas suspensas'!$C$3,IF(AA533='Listas suspensas'!$A$4,'Listas suspensas'!$C$4,IF(AA533='Listas suspensas'!$A$5,'Listas suspensas'!$C$5,IF(AA533='Listas suspensas'!$A$6,'Listas suspensas'!$C$6,"")))))</f>
        <v>Indica a penetração uniforme, mas não total pela extensão do alburno.</v>
      </c>
      <c r="BD533" s="13">
        <v>0.55300000000000005</v>
      </c>
      <c r="BE533" s="18">
        <f t="shared" si="92"/>
        <v>553</v>
      </c>
      <c r="BF533" s="8">
        <v>0.38100000000000001</v>
      </c>
      <c r="BG533" s="8">
        <v>0.16700000000000001</v>
      </c>
      <c r="BH533" s="8">
        <v>0.22</v>
      </c>
      <c r="BI533" s="13">
        <f t="shared" si="93"/>
        <v>0.76800000000000002</v>
      </c>
      <c r="BJ533" s="14">
        <v>49.7</v>
      </c>
      <c r="BK533" s="14">
        <v>21.7</v>
      </c>
      <c r="BL533" s="14">
        <v>28.6</v>
      </c>
      <c r="BM533" s="16">
        <f t="shared" si="87"/>
        <v>100</v>
      </c>
      <c r="BN533" s="21">
        <f t="shared" si="88"/>
        <v>2.11</v>
      </c>
      <c r="BO533" s="21">
        <f t="shared" si="89"/>
        <v>0.92</v>
      </c>
      <c r="BP533" s="21">
        <f t="shared" si="90"/>
        <v>1.22</v>
      </c>
      <c r="BQ533" s="14">
        <f t="shared" si="91"/>
        <v>4.25</v>
      </c>
      <c r="BR533" s="22" t="str">
        <f>IF(OR(AND(X533="Mourões", BQ533&gt;=6.5),AND(X533="Postes", BQ533&gt;=9.6),AND(X533="Dormentes", BQ533&gt;=9.6),AND(X533="Estacas - Solo", BQ533&gt;=6.5),AND(X533="Estacas - Suspenso", BQ533&gt;=4),AND(X533="Cruzetas", BQ533&gt;=6.5),AND(X533="Outros - Solo", BQ533&gt;=6.5),AND(X533="Outros - Suspenso",BQ533&gt;=4),AND(X533="Deck",BQ533&gt;=4)),'Listas suspensas'!$C$21,'Listas suspensas'!$C$22)</f>
        <v>Os resultados da análise química apresentaram uma retenção do produto de acordo com o padrão mínimo exigido pela norma ABNT NBR 16143</v>
      </c>
    </row>
    <row r="534" spans="2:70" x14ac:dyDescent="0.25">
      <c r="B534" s="8" t="s">
        <v>1472</v>
      </c>
      <c r="C534" s="8" t="s">
        <v>71</v>
      </c>
      <c r="F534" s="11">
        <v>45987</v>
      </c>
      <c r="G534" s="11">
        <v>45989</v>
      </c>
      <c r="H534" s="11">
        <v>45999</v>
      </c>
      <c r="I534" s="8" t="s">
        <v>1592</v>
      </c>
      <c r="J534" s="8" t="s">
        <v>1593</v>
      </c>
      <c r="K534" s="8" t="s">
        <v>619</v>
      </c>
      <c r="L534" s="8" t="s">
        <v>15</v>
      </c>
      <c r="M534" s="30" t="s">
        <v>1594</v>
      </c>
      <c r="N534" s="8" t="s">
        <v>1165</v>
      </c>
      <c r="O534" s="8" t="s">
        <v>76</v>
      </c>
      <c r="P534" s="28" t="s">
        <v>77</v>
      </c>
      <c r="Q534" s="16" t="s">
        <v>1595</v>
      </c>
      <c r="X534" s="8" t="s">
        <v>79</v>
      </c>
      <c r="Y534" s="34">
        <f>IF(X534='Listas suspensas'!$A$21,'Listas suspensas'!$B$23,IF(X534='Listas suspensas'!$A$22,'Listas suspensas'!$B$23,IF(X534='Listas suspensas'!$A$23,'Listas suspensas'!$B$22,IF(X534='Listas suspensas'!$A$26,'Listas suspensas'!$B$22,IF(X534='Listas suspensas'!$A$32,'Listas suspensas'!$B$22,IF(X534='Listas suspensas'!$A$33,'Listas suspensas'!$B$21,IF(X534='Listas suspensas'!$A$24,'Listas suspensas'!$B$22,IF(X534='Listas suspensas'!$A$25,'Listas suspensas'!$B$21,IF(X534='Listas suspensas'!$A$30,'Listas suspensas'!$B$21,"")))))))))</f>
        <v>6.5</v>
      </c>
      <c r="Z534" s="8" t="s">
        <v>80</v>
      </c>
      <c r="AA534" s="8">
        <v>3</v>
      </c>
      <c r="AB534" s="8" t="str">
        <f>IF(AA534='Listas suspensas'!$A$2,'Listas suspensas'!$B$2,IF(AA534='Listas suspensas'!$A$3,'Listas suspensas'!$B$3,IF(AA534='Listas suspensas'!$A$4,'Listas suspensas'!$B$4,IF(AA534='Listas suspensas'!$A$5,'Listas suspensas'!$B$5,IF(AA534='Listas suspensas'!$A$6,'Listas suspensas'!$B$6,"")))))</f>
        <v xml:space="preserve"> Parcial e regular</v>
      </c>
      <c r="AC534" s="8" t="str">
        <f>IF(AA534='Listas suspensas'!$A$2,'Listas suspensas'!$C$2,IF(AA534='Listas suspensas'!$A$3,'Listas suspensas'!$C$3,IF(AA534='Listas suspensas'!$A$4,'Listas suspensas'!$C$4,IF(AA534='Listas suspensas'!$A$5,'Listas suspensas'!$C$5,IF(AA534='Listas suspensas'!$A$6,'Listas suspensas'!$C$6,"")))))</f>
        <v>Indica a penetração uniforme, mas não total pela extensão do alburno.</v>
      </c>
      <c r="BD534" s="13">
        <v>0.67800000000000005</v>
      </c>
      <c r="BE534" s="18">
        <f t="shared" si="92"/>
        <v>678</v>
      </c>
      <c r="BF534" s="8">
        <v>0.221</v>
      </c>
      <c r="BG534" s="8">
        <v>0.108</v>
      </c>
      <c r="BH534" s="8">
        <v>0.24</v>
      </c>
      <c r="BI534" s="13">
        <f t="shared" si="93"/>
        <v>0.56899999999999995</v>
      </c>
      <c r="BJ534" s="14">
        <v>38.799999999999997</v>
      </c>
      <c r="BK534" s="14">
        <v>19</v>
      </c>
      <c r="BL534" s="14">
        <v>42.2</v>
      </c>
      <c r="BM534" s="16">
        <f t="shared" si="87"/>
        <v>100</v>
      </c>
      <c r="BN534" s="21">
        <f t="shared" si="88"/>
        <v>1.5</v>
      </c>
      <c r="BO534" s="21">
        <f t="shared" si="89"/>
        <v>0.73</v>
      </c>
      <c r="BP534" s="21">
        <f t="shared" si="90"/>
        <v>1.63</v>
      </c>
      <c r="BQ534" s="14">
        <f t="shared" si="91"/>
        <v>3.86</v>
      </c>
      <c r="BR534" s="22" t="str">
        <f>IF(OR(AND(X534="Mourões", BQ534&gt;=6.5),AND(X534="Postes", BQ534&gt;=9.6),AND(X534="Dormentes", BQ534&gt;=9.6),AND(X534="Estacas - Solo", BQ534&gt;=6.5),AND(X534="Estacas - Suspenso", BQ534&gt;=4),AND(X534="Cruzetas", BQ534&gt;=6.5),AND(X534="Outros - Solo", BQ534&gt;=6.5),AND(X534="Outros - Suspenso",BQ534&gt;=4),AND(X534="Deck",BQ534&gt;=4)),'Listas suspensas'!$C$21,'Listas suspensas'!$C$22)</f>
        <v>Os resultados da análise química apresentaram uma retenção do produto inferior ao padrão mínimo exigido pela norma ABNT NBR 16143</v>
      </c>
    </row>
    <row r="535" spans="2:70" x14ac:dyDescent="0.25">
      <c r="B535" s="8" t="s">
        <v>1473</v>
      </c>
      <c r="C535" s="8" t="s">
        <v>71</v>
      </c>
      <c r="F535" s="11">
        <v>45963</v>
      </c>
      <c r="G535" s="11">
        <v>45963</v>
      </c>
      <c r="H535" s="11">
        <v>45999</v>
      </c>
      <c r="I535" s="8" t="s">
        <v>1596</v>
      </c>
      <c r="J535" s="8" t="s">
        <v>1597</v>
      </c>
      <c r="K535" s="8" t="s">
        <v>74</v>
      </c>
      <c r="L535" s="8" t="s">
        <v>15</v>
      </c>
      <c r="M535" s="30" t="s">
        <v>1598</v>
      </c>
      <c r="N535" s="8" t="s">
        <v>1165</v>
      </c>
      <c r="O535" s="8" t="s">
        <v>94</v>
      </c>
      <c r="P535" s="28" t="s">
        <v>77</v>
      </c>
      <c r="Q535" s="16" t="s">
        <v>1611</v>
      </c>
      <c r="X535" s="8" t="s">
        <v>79</v>
      </c>
      <c r="Y535" s="34">
        <f>IF(X535='Listas suspensas'!$A$21,'Listas suspensas'!$B$23,IF(X535='Listas suspensas'!$A$22,'Listas suspensas'!$B$23,IF(X535='Listas suspensas'!$A$23,'Listas suspensas'!$B$22,IF(X535='Listas suspensas'!$A$26,'Listas suspensas'!$B$22,IF(X535='Listas suspensas'!$A$32,'Listas suspensas'!$B$22,IF(X535='Listas suspensas'!$A$33,'Listas suspensas'!$B$21,IF(X535='Listas suspensas'!$A$24,'Listas suspensas'!$B$22,IF(X535='Listas suspensas'!$A$25,'Listas suspensas'!$B$21,IF(X535='Listas suspensas'!$A$30,'Listas suspensas'!$B$21,"")))))))))</f>
        <v>6.5</v>
      </c>
      <c r="Z535" s="8" t="s">
        <v>80</v>
      </c>
      <c r="AA535" s="8">
        <v>2</v>
      </c>
      <c r="AB535" s="8" t="str">
        <f>IF(AA535='Listas suspensas'!$A$2,'Listas suspensas'!$B$2,IF(AA535='Listas suspensas'!$A$3,'Listas suspensas'!$B$3,IF(AA535='Listas suspensas'!$A$4,'Listas suspensas'!$B$4,IF(AA535='Listas suspensas'!$A$5,'Listas suspensas'!$B$5,IF(AA535='Listas suspensas'!$A$6,'Listas suspensas'!$B$6,"")))))</f>
        <v>Profunda e irregular</v>
      </c>
      <c r="AC535" s="8" t="str">
        <f>IF(AA535='Listas suspensas'!$A$2,'Listas suspensas'!$C$2,IF(AA535='Listas suspensas'!$A$3,'Listas suspensas'!$C$3,IF(AA535='Listas suspensas'!$A$4,'Listas suspensas'!$C$4,IF(AA535='Listas suspensas'!$A$5,'Listas suspensas'!$C$5,IF(AA535='Listas suspensas'!$A$6,'Listas suspensas'!$C$6,"")))))</f>
        <v>Indica a penetração profunda, mas desuniforme em toda a extensão do alburno.</v>
      </c>
      <c r="BD535" s="13">
        <v>0.64</v>
      </c>
      <c r="BE535" s="18">
        <f t="shared" si="92"/>
        <v>640</v>
      </c>
      <c r="BF535" s="8">
        <v>0.51900000000000002</v>
      </c>
      <c r="BG535" s="8">
        <v>0.23499999999999999</v>
      </c>
      <c r="BH535" s="8">
        <v>0.434</v>
      </c>
      <c r="BI535" s="13">
        <f t="shared" si="93"/>
        <v>1.1879999999999999</v>
      </c>
      <c r="BJ535" s="14">
        <v>43.7</v>
      </c>
      <c r="BK535" s="14">
        <v>19.8</v>
      </c>
      <c r="BL535" s="14">
        <v>36.5</v>
      </c>
      <c r="BM535" s="16">
        <f t="shared" si="87"/>
        <v>100</v>
      </c>
      <c r="BN535" s="21">
        <f t="shared" si="88"/>
        <v>3.32</v>
      </c>
      <c r="BO535" s="21">
        <f t="shared" si="89"/>
        <v>1.5</v>
      </c>
      <c r="BP535" s="21">
        <f t="shared" si="90"/>
        <v>2.78</v>
      </c>
      <c r="BQ535" s="14">
        <f t="shared" si="91"/>
        <v>7.6</v>
      </c>
      <c r="BR535" s="22" t="str">
        <f>IF(OR(AND(X535="Mourões", BQ535&gt;=6.5),AND(X535="Postes", BQ535&gt;=9.6),AND(X535="Dormentes", BQ535&gt;=9.6),AND(X535="Estacas - Solo", BQ535&gt;=6.5),AND(X535="Estacas - Suspenso", BQ535&gt;=4),AND(X535="Cruzetas", BQ535&gt;=6.5),AND(X535="Outros - Solo", BQ535&gt;=6.5),AND(X535="Outros - Suspenso",BQ535&gt;=4),AND(X535="Deck",BQ535&gt;=4)),'Listas suspensas'!$C$21,'Listas suspensas'!$C$22)</f>
        <v>Os resultados da análise química apresentaram uma retenção do produto de acordo com o padrão mínimo exigido pela norma ABNT NBR 16143</v>
      </c>
    </row>
    <row r="536" spans="2:70" x14ac:dyDescent="0.25">
      <c r="B536" s="8" t="s">
        <v>1474</v>
      </c>
      <c r="C536" s="8" t="s">
        <v>71</v>
      </c>
      <c r="F536" s="11">
        <v>45993</v>
      </c>
      <c r="G536" s="11">
        <v>45994</v>
      </c>
      <c r="H536" s="11">
        <v>45999</v>
      </c>
      <c r="I536" s="8" t="s">
        <v>1581</v>
      </c>
      <c r="J536" s="8" t="s">
        <v>188</v>
      </c>
      <c r="K536" s="8" t="s">
        <v>189</v>
      </c>
      <c r="L536" s="8" t="s">
        <v>15</v>
      </c>
      <c r="M536" s="30" t="s">
        <v>190</v>
      </c>
      <c r="N536" s="8" t="s">
        <v>1165</v>
      </c>
      <c r="O536" s="8" t="s">
        <v>94</v>
      </c>
      <c r="P536" s="28" t="s">
        <v>77</v>
      </c>
      <c r="Q536" s="16" t="s">
        <v>1599</v>
      </c>
      <c r="X536" s="8" t="s">
        <v>79</v>
      </c>
      <c r="Y536" s="34">
        <f>IF(X536='Listas suspensas'!$A$21,'Listas suspensas'!$B$23,IF(X536='Listas suspensas'!$A$22,'Listas suspensas'!$B$23,IF(X536='Listas suspensas'!$A$23,'Listas suspensas'!$B$22,IF(X536='Listas suspensas'!$A$26,'Listas suspensas'!$B$22,IF(X536='Listas suspensas'!$A$32,'Listas suspensas'!$B$22,IF(X536='Listas suspensas'!$A$33,'Listas suspensas'!$B$21,IF(X536='Listas suspensas'!$A$24,'Listas suspensas'!$B$22,IF(X536='Listas suspensas'!$A$25,'Listas suspensas'!$B$21,IF(X536='Listas suspensas'!$A$30,'Listas suspensas'!$B$21,"")))))))))</f>
        <v>6.5</v>
      </c>
      <c r="Z536" s="8" t="s">
        <v>80</v>
      </c>
      <c r="AA536" s="8">
        <v>2</v>
      </c>
      <c r="AB536" s="8" t="str">
        <f>IF(AA536='Listas suspensas'!$A$2,'Listas suspensas'!$B$2,IF(AA536='Listas suspensas'!$A$3,'Listas suspensas'!$B$3,IF(AA536='Listas suspensas'!$A$4,'Listas suspensas'!$B$4,IF(AA536='Listas suspensas'!$A$5,'Listas suspensas'!$B$5,IF(AA536='Listas suspensas'!$A$6,'Listas suspensas'!$B$6,"")))))</f>
        <v>Profunda e irregular</v>
      </c>
      <c r="AC536" s="8" t="str">
        <f>IF(AA536='Listas suspensas'!$A$2,'Listas suspensas'!$C$2,IF(AA536='Listas suspensas'!$A$3,'Listas suspensas'!$C$3,IF(AA536='Listas suspensas'!$A$4,'Listas suspensas'!$C$4,IF(AA536='Listas suspensas'!$A$5,'Listas suspensas'!$C$5,IF(AA536='Listas suspensas'!$A$6,'Listas suspensas'!$C$6,"")))))</f>
        <v>Indica a penetração profunda, mas desuniforme em toda a extensão do alburno.</v>
      </c>
      <c r="BD536" s="13">
        <v>0.89500000000000002</v>
      </c>
      <c r="BE536" s="18">
        <f t="shared" si="92"/>
        <v>895</v>
      </c>
      <c r="BF536" s="8">
        <v>0.314</v>
      </c>
      <c r="BG536" s="8">
        <v>0.184</v>
      </c>
      <c r="BH536" s="8">
        <v>0.35199999999999998</v>
      </c>
      <c r="BI536" s="13">
        <f t="shared" si="93"/>
        <v>0.85</v>
      </c>
      <c r="BJ536" s="14">
        <v>36.9</v>
      </c>
      <c r="BK536" s="14">
        <v>21.6</v>
      </c>
      <c r="BL536" s="14">
        <v>41.5</v>
      </c>
      <c r="BM536" s="16">
        <f t="shared" si="87"/>
        <v>100</v>
      </c>
      <c r="BN536" s="21">
        <f t="shared" si="88"/>
        <v>2.81</v>
      </c>
      <c r="BO536" s="21">
        <f t="shared" si="89"/>
        <v>1.65</v>
      </c>
      <c r="BP536" s="21">
        <f t="shared" si="90"/>
        <v>3.15</v>
      </c>
      <c r="BQ536" s="14">
        <f t="shared" si="91"/>
        <v>7.61</v>
      </c>
      <c r="BR536" s="22" t="str">
        <f>IF(OR(AND(X536="Mourões", BQ536&gt;=6.5),AND(X536="Postes", BQ536&gt;=9.6),AND(X536="Dormentes", BQ536&gt;=9.6),AND(X536="Estacas - Solo", BQ536&gt;=6.5),AND(X536="Estacas - Suspenso", BQ536&gt;=4),AND(X536="Cruzetas", BQ536&gt;=6.5),AND(X536="Outros - Solo", BQ536&gt;=6.5),AND(X536="Outros - Suspenso",BQ536&gt;=4),AND(X536="Deck",BQ536&gt;=4)),'Listas suspensas'!$C$21,'Listas suspensas'!$C$22)</f>
        <v>Os resultados da análise química apresentaram uma retenção do produto de acordo com o padrão mínimo exigido pela norma ABNT NBR 16143</v>
      </c>
    </row>
    <row r="537" spans="2:70" x14ac:dyDescent="0.25">
      <c r="B537" s="8" t="s">
        <v>1475</v>
      </c>
      <c r="C537" s="8" t="s">
        <v>71</v>
      </c>
      <c r="F537" s="11">
        <v>45993</v>
      </c>
      <c r="G537" s="11">
        <v>45994</v>
      </c>
      <c r="H537" s="11">
        <v>45999</v>
      </c>
      <c r="I537" s="8" t="s">
        <v>1600</v>
      </c>
      <c r="J537" s="8" t="s">
        <v>1601</v>
      </c>
      <c r="K537" s="8" t="s">
        <v>144</v>
      </c>
      <c r="L537" s="8" t="s">
        <v>15</v>
      </c>
      <c r="M537" s="30" t="s">
        <v>1008</v>
      </c>
      <c r="N537" s="8" t="s">
        <v>1165</v>
      </c>
      <c r="O537" s="8" t="s">
        <v>94</v>
      </c>
      <c r="P537" s="28" t="s">
        <v>77</v>
      </c>
      <c r="Q537" s="16" t="s">
        <v>1602</v>
      </c>
      <c r="X537" s="8" t="s">
        <v>79</v>
      </c>
      <c r="Y537" s="34">
        <f>IF(X537='Listas suspensas'!$A$21,'Listas suspensas'!$B$23,IF(X537='Listas suspensas'!$A$22,'Listas suspensas'!$B$23,IF(X537='Listas suspensas'!$A$23,'Listas suspensas'!$B$22,IF(X537='Listas suspensas'!$A$26,'Listas suspensas'!$B$22,IF(X537='Listas suspensas'!$A$32,'Listas suspensas'!$B$22,IF(X537='Listas suspensas'!$A$33,'Listas suspensas'!$B$21,IF(X537='Listas suspensas'!$A$24,'Listas suspensas'!$B$22,IF(X537='Listas suspensas'!$A$25,'Listas suspensas'!$B$21,IF(X537='Listas suspensas'!$A$30,'Listas suspensas'!$B$21,"")))))))))</f>
        <v>6.5</v>
      </c>
      <c r="Z537" s="8" t="s">
        <v>80</v>
      </c>
      <c r="AA537" s="8">
        <v>2</v>
      </c>
      <c r="AB537" s="8" t="str">
        <f>IF(AA537='Listas suspensas'!$A$2,'Listas suspensas'!$B$2,IF(AA537='Listas suspensas'!$A$3,'Listas suspensas'!$B$3,IF(AA537='Listas suspensas'!$A$4,'Listas suspensas'!$B$4,IF(AA537='Listas suspensas'!$A$5,'Listas suspensas'!$B$5,IF(AA537='Listas suspensas'!$A$6,'Listas suspensas'!$B$6,"")))))</f>
        <v>Profunda e irregular</v>
      </c>
      <c r="AC537" s="8" t="str">
        <f>IF(AA537='Listas suspensas'!$A$2,'Listas suspensas'!$C$2,IF(AA537='Listas suspensas'!$A$3,'Listas suspensas'!$C$3,IF(AA537='Listas suspensas'!$A$4,'Listas suspensas'!$C$4,IF(AA537='Listas suspensas'!$A$5,'Listas suspensas'!$C$5,IF(AA537='Listas suspensas'!$A$6,'Listas suspensas'!$C$6,"")))))</f>
        <v>Indica a penetração profunda, mas desuniforme em toda a extensão do alburno.</v>
      </c>
      <c r="BD537" s="13">
        <v>0.62</v>
      </c>
      <c r="BE537" s="18">
        <f t="shared" si="92"/>
        <v>620</v>
      </c>
      <c r="BF537" s="8">
        <v>0.46800000000000003</v>
      </c>
      <c r="BG537" s="8">
        <v>0.182</v>
      </c>
      <c r="BH537" s="8">
        <v>0.30599999999999999</v>
      </c>
      <c r="BI537" s="13">
        <f t="shared" si="93"/>
        <v>0.95599999999999996</v>
      </c>
      <c r="BJ537" s="14">
        <v>49</v>
      </c>
      <c r="BK537" s="14">
        <v>19.100000000000001</v>
      </c>
      <c r="BL537" s="14">
        <v>31.9</v>
      </c>
      <c r="BM537" s="16">
        <f t="shared" si="87"/>
        <v>100</v>
      </c>
      <c r="BN537" s="21">
        <f t="shared" si="88"/>
        <v>2.9</v>
      </c>
      <c r="BO537" s="21">
        <f t="shared" si="89"/>
        <v>1.1299999999999999</v>
      </c>
      <c r="BP537" s="21">
        <f t="shared" si="90"/>
        <v>1.9</v>
      </c>
      <c r="BQ537" s="14">
        <f t="shared" si="91"/>
        <v>5.93</v>
      </c>
      <c r="BR537" s="22" t="str">
        <f>IF(OR(AND(X537="Mourões", BQ537&gt;=6.5),AND(X537="Postes", BQ537&gt;=9.6),AND(X537="Dormentes", BQ537&gt;=9.6),AND(X537="Estacas - Solo", BQ537&gt;=6.5),AND(X537="Estacas - Suspenso", BQ537&gt;=4),AND(X537="Cruzetas", BQ537&gt;=6.5),AND(X537="Outros - Solo", BQ537&gt;=6.5),AND(X537="Outros - Suspenso",BQ537&gt;=4),AND(X537="Deck",BQ537&gt;=4)),'Listas suspensas'!$C$21,'Listas suspensas'!$C$22)</f>
        <v>Os resultados da análise química apresentaram uma retenção do produto inferior ao padrão mínimo exigido pela norma ABNT NBR 16143</v>
      </c>
    </row>
    <row r="538" spans="2:70" x14ac:dyDescent="0.25">
      <c r="B538" s="8" t="s">
        <v>1476</v>
      </c>
      <c r="C538" s="8" t="s">
        <v>71</v>
      </c>
      <c r="F538" s="11">
        <v>45993</v>
      </c>
      <c r="G538" s="11">
        <v>45994</v>
      </c>
      <c r="H538" s="11">
        <v>45999</v>
      </c>
      <c r="I538" s="8" t="s">
        <v>1600</v>
      </c>
      <c r="J538" s="8" t="s">
        <v>1601</v>
      </c>
      <c r="K538" s="8" t="s">
        <v>144</v>
      </c>
      <c r="L538" s="8" t="s">
        <v>15</v>
      </c>
      <c r="M538" s="30" t="s">
        <v>1008</v>
      </c>
      <c r="N538" s="8" t="s">
        <v>1165</v>
      </c>
      <c r="O538" s="8" t="s">
        <v>94</v>
      </c>
      <c r="P538" s="28" t="s">
        <v>77</v>
      </c>
      <c r="Q538" s="16" t="s">
        <v>1612</v>
      </c>
      <c r="X538" s="8" t="s">
        <v>79</v>
      </c>
      <c r="Y538" s="34">
        <f>IF(X538='Listas suspensas'!$A$21,'Listas suspensas'!$B$23,IF(X538='Listas suspensas'!$A$22,'Listas suspensas'!$B$23,IF(X538='Listas suspensas'!$A$23,'Listas suspensas'!$B$22,IF(X538='Listas suspensas'!$A$26,'Listas suspensas'!$B$22,IF(X538='Listas suspensas'!$A$32,'Listas suspensas'!$B$22,IF(X538='Listas suspensas'!$A$33,'Listas suspensas'!$B$21,IF(X538='Listas suspensas'!$A$24,'Listas suspensas'!$B$22,IF(X538='Listas suspensas'!$A$25,'Listas suspensas'!$B$21,IF(X538='Listas suspensas'!$A$30,'Listas suspensas'!$B$21,"")))))))))</f>
        <v>6.5</v>
      </c>
      <c r="Z538" s="8" t="s">
        <v>80</v>
      </c>
      <c r="AA538" s="8">
        <v>1</v>
      </c>
      <c r="AB538" s="8" t="str">
        <f>IF(AA538='Listas suspensas'!$A$2,'Listas suspensas'!$B$2,IF(AA538='Listas suspensas'!$A$3,'Listas suspensas'!$B$3,IF(AA538='Listas suspensas'!$A$4,'Listas suspensas'!$B$4,IF(AA538='Listas suspensas'!$A$5,'Listas suspensas'!$B$5,IF(AA538='Listas suspensas'!$A$6,'Listas suspensas'!$B$6,"")))))</f>
        <v>Profunda e regular</v>
      </c>
      <c r="AC538" s="8" t="str">
        <f>IF(AA538='Listas suspensas'!$A$2,'Listas suspensas'!$C$2,IF(AA538='Listas suspensas'!$A$3,'Listas suspensas'!$C$3,IF(AA538='Listas suspensas'!$A$4,'Listas suspensas'!$C$4,IF(AA538='Listas suspensas'!$A$5,'Listas suspensas'!$C$5,IF(AA538='Listas suspensas'!$A$6,'Listas suspensas'!$C$6,"")))))</f>
        <v>Indica a penetração profunda e uniforme em toda a extensão do alburno.</v>
      </c>
      <c r="BD538" s="13">
        <v>0.47499999999999998</v>
      </c>
      <c r="BE538" s="18">
        <f t="shared" si="92"/>
        <v>475</v>
      </c>
      <c r="BF538" s="8">
        <v>2.2429999999999999</v>
      </c>
      <c r="BG538" s="8">
        <v>0.38400000000000001</v>
      </c>
      <c r="BH538" s="8">
        <v>0.82299999999999995</v>
      </c>
      <c r="BI538" s="13">
        <f t="shared" si="93"/>
        <v>3.4499999999999997</v>
      </c>
      <c r="BJ538" s="14">
        <v>63.8</v>
      </c>
      <c r="BK538" s="14">
        <v>11.3</v>
      </c>
      <c r="BL538" s="14">
        <v>24.9</v>
      </c>
      <c r="BM538" s="16">
        <f t="shared" si="87"/>
        <v>100</v>
      </c>
      <c r="BN538" s="21">
        <f t="shared" si="88"/>
        <v>10.65</v>
      </c>
      <c r="BO538" s="21">
        <f t="shared" si="89"/>
        <v>1.82</v>
      </c>
      <c r="BP538" s="21">
        <f t="shared" si="90"/>
        <v>3.91</v>
      </c>
      <c r="BQ538" s="14">
        <f t="shared" si="91"/>
        <v>16.38</v>
      </c>
      <c r="BR538" s="22" t="str">
        <f>IF(OR(AND(X538="Mourões", BQ538&gt;=6.5),AND(X538="Postes", BQ538&gt;=9.6),AND(X538="Dormentes", BQ538&gt;=9.6),AND(X538="Estacas - Solo", BQ538&gt;=6.5),AND(X538="Estacas - Suspenso", BQ538&gt;=4),AND(X538="Cruzetas", BQ538&gt;=6.5),AND(X538="Outros - Solo", BQ538&gt;=6.5),AND(X538="Outros - Suspenso",BQ538&gt;=4),AND(X538="Deck",BQ538&gt;=4)),'Listas suspensas'!$C$21,'Listas suspensas'!$C$22)</f>
        <v>Os resultados da análise química apresentaram uma retenção do produto de acordo com o padrão mínimo exigido pela norma ABNT NBR 16143</v>
      </c>
    </row>
    <row r="539" spans="2:70" x14ac:dyDescent="0.25">
      <c r="B539" s="8" t="s">
        <v>1477</v>
      </c>
      <c r="C539" s="8" t="s">
        <v>71</v>
      </c>
      <c r="F539" s="11">
        <v>45993</v>
      </c>
      <c r="G539" s="11">
        <v>45994</v>
      </c>
      <c r="H539" s="11">
        <v>45999</v>
      </c>
      <c r="I539" s="8" t="s">
        <v>1600</v>
      </c>
      <c r="J539" s="8" t="s">
        <v>1601</v>
      </c>
      <c r="K539" s="8" t="s">
        <v>144</v>
      </c>
      <c r="L539" s="8" t="s">
        <v>15</v>
      </c>
      <c r="M539" s="30" t="s">
        <v>1008</v>
      </c>
      <c r="N539" s="8" t="s">
        <v>1165</v>
      </c>
      <c r="O539" s="8" t="s">
        <v>94</v>
      </c>
      <c r="P539" s="28" t="s">
        <v>77</v>
      </c>
      <c r="Q539" s="16" t="s">
        <v>1603</v>
      </c>
      <c r="X539" s="8" t="s">
        <v>79</v>
      </c>
      <c r="Y539" s="34">
        <f>IF(X539='Listas suspensas'!$A$21,'Listas suspensas'!$B$23,IF(X539='Listas suspensas'!$A$22,'Listas suspensas'!$B$23,IF(X539='Listas suspensas'!$A$23,'Listas suspensas'!$B$22,IF(X539='Listas suspensas'!$A$26,'Listas suspensas'!$B$22,IF(X539='Listas suspensas'!$A$32,'Listas suspensas'!$B$22,IF(X539='Listas suspensas'!$A$33,'Listas suspensas'!$B$21,IF(X539='Listas suspensas'!$A$24,'Listas suspensas'!$B$22,IF(X539='Listas suspensas'!$A$25,'Listas suspensas'!$B$21,IF(X539='Listas suspensas'!$A$30,'Listas suspensas'!$B$21,"")))))))))</f>
        <v>6.5</v>
      </c>
      <c r="Z539" s="8" t="s">
        <v>80</v>
      </c>
      <c r="AA539" s="8">
        <v>1</v>
      </c>
      <c r="AB539" s="8" t="str">
        <f>IF(AA539='Listas suspensas'!$A$2,'Listas suspensas'!$B$2,IF(AA539='Listas suspensas'!$A$3,'Listas suspensas'!$B$3,IF(AA539='Listas suspensas'!$A$4,'Listas suspensas'!$B$4,IF(AA539='Listas suspensas'!$A$5,'Listas suspensas'!$B$5,IF(AA539='Listas suspensas'!$A$6,'Listas suspensas'!$B$6,"")))))</f>
        <v>Profunda e regular</v>
      </c>
      <c r="AC539" s="8" t="str">
        <f>IF(AA539='Listas suspensas'!$A$2,'Listas suspensas'!$C$2,IF(AA539='Listas suspensas'!$A$3,'Listas suspensas'!$C$3,IF(AA539='Listas suspensas'!$A$4,'Listas suspensas'!$C$4,IF(AA539='Listas suspensas'!$A$5,'Listas suspensas'!$C$5,IF(AA539='Listas suspensas'!$A$6,'Listas suspensas'!$C$6,"")))))</f>
        <v>Indica a penetração profunda e uniforme em toda a extensão do alburno.</v>
      </c>
      <c r="BD539" s="13">
        <v>0.63600000000000001</v>
      </c>
      <c r="BE539" s="18">
        <f t="shared" si="92"/>
        <v>636</v>
      </c>
      <c r="BF539" s="8">
        <v>0.53200000000000003</v>
      </c>
      <c r="BG539" s="8">
        <v>0.22</v>
      </c>
      <c r="BH539" s="8">
        <v>0.40400000000000003</v>
      </c>
      <c r="BI539" s="13">
        <f t="shared" si="93"/>
        <v>1.1560000000000001</v>
      </c>
      <c r="BJ539" s="14">
        <v>46</v>
      </c>
      <c r="BK539" s="14">
        <v>19</v>
      </c>
      <c r="BL539" s="14">
        <v>35</v>
      </c>
      <c r="BM539" s="16">
        <f t="shared" si="87"/>
        <v>100</v>
      </c>
      <c r="BN539" s="21">
        <f t="shared" si="88"/>
        <v>3.38</v>
      </c>
      <c r="BO539" s="21">
        <f t="shared" si="89"/>
        <v>1.4</v>
      </c>
      <c r="BP539" s="21">
        <f t="shared" si="90"/>
        <v>2.57</v>
      </c>
      <c r="BQ539" s="14">
        <f t="shared" si="91"/>
        <v>7.35</v>
      </c>
      <c r="BR539" s="22" t="str">
        <f>IF(OR(AND(X539="Mourões", BQ539&gt;=6.5),AND(X539="Postes", BQ539&gt;=9.6),AND(X539="Dormentes", BQ539&gt;=9.6),AND(X539="Estacas - Solo", BQ539&gt;=6.5),AND(X539="Estacas - Suspenso", BQ539&gt;=4),AND(X539="Cruzetas", BQ539&gt;=6.5),AND(X539="Outros - Solo", BQ539&gt;=6.5),AND(X539="Outros - Suspenso",BQ539&gt;=4),AND(X539="Deck",BQ539&gt;=4)),'Listas suspensas'!$C$21,'Listas suspensas'!$C$22)</f>
        <v>Os resultados da análise química apresentaram uma retenção do produto de acordo com o padrão mínimo exigido pela norma ABNT NBR 16143</v>
      </c>
    </row>
    <row r="540" spans="2:70" x14ac:dyDescent="0.25">
      <c r="B540" s="8" t="s">
        <v>1478</v>
      </c>
      <c r="C540" s="8" t="s">
        <v>71</v>
      </c>
      <c r="F540" s="11">
        <v>45993</v>
      </c>
      <c r="G540" s="11">
        <v>45994</v>
      </c>
      <c r="H540" s="11">
        <v>45999</v>
      </c>
      <c r="I540" s="8" t="s">
        <v>1604</v>
      </c>
      <c r="J540" s="8" t="s">
        <v>242</v>
      </c>
      <c r="K540" s="8" t="s">
        <v>243</v>
      </c>
      <c r="L540" s="8" t="s">
        <v>15</v>
      </c>
      <c r="M540" s="30" t="s">
        <v>361</v>
      </c>
      <c r="N540" s="8" t="s">
        <v>1165</v>
      </c>
      <c r="O540" s="8" t="s">
        <v>94</v>
      </c>
      <c r="P540" s="28" t="s">
        <v>77</v>
      </c>
      <c r="Q540" s="16" t="s">
        <v>1610</v>
      </c>
      <c r="X540" s="8" t="s">
        <v>994</v>
      </c>
      <c r="Y540" s="34">
        <f>IF(X540='Listas suspensas'!$A$21,'Listas suspensas'!$B$23,IF(X540='Listas suspensas'!$A$22,'Listas suspensas'!$B$23,IF(X540='Listas suspensas'!$A$23,'Listas suspensas'!$B$22,IF(X540='Listas suspensas'!$A$26,'Listas suspensas'!$B$22,IF(X540='Listas suspensas'!$A$32,'Listas suspensas'!$B$22,IF(X540='Listas suspensas'!$A$33,'Listas suspensas'!$B$21,IF(X540='Listas suspensas'!$A$24,'Listas suspensas'!$B$22,IF(X540='Listas suspensas'!$A$25,'Listas suspensas'!$B$21,IF(X540='Listas suspensas'!$A$30,'Listas suspensas'!$B$21,"")))))))))</f>
        <v>4</v>
      </c>
      <c r="Z540" s="8" t="s">
        <v>80</v>
      </c>
      <c r="AA540" s="8">
        <v>3</v>
      </c>
      <c r="AB540" s="8" t="str">
        <f>IF(AA540='Listas suspensas'!$A$2,'Listas suspensas'!$B$2,IF(AA540='Listas suspensas'!$A$3,'Listas suspensas'!$B$3,IF(AA540='Listas suspensas'!$A$4,'Listas suspensas'!$B$4,IF(AA540='Listas suspensas'!$A$5,'Listas suspensas'!$B$5,IF(AA540='Listas suspensas'!$A$6,'Listas suspensas'!$B$6,"")))))</f>
        <v xml:space="preserve"> Parcial e regular</v>
      </c>
      <c r="AC540" s="8" t="str">
        <f>IF(AA540='Listas suspensas'!$A$2,'Listas suspensas'!$C$2,IF(AA540='Listas suspensas'!$A$3,'Listas suspensas'!$C$3,IF(AA540='Listas suspensas'!$A$4,'Listas suspensas'!$C$4,IF(AA540='Listas suspensas'!$A$5,'Listas suspensas'!$C$5,IF(AA540='Listas suspensas'!$A$6,'Listas suspensas'!$C$6,"")))))</f>
        <v>Indica a penetração uniforme, mas não total pela extensão do alburno.</v>
      </c>
      <c r="BD540" s="13">
        <v>0.82099999999999995</v>
      </c>
      <c r="BE540" s="18">
        <f t="shared" si="92"/>
        <v>821</v>
      </c>
      <c r="BF540" s="8">
        <v>0.26300000000000001</v>
      </c>
      <c r="BG540" s="8">
        <v>0.111</v>
      </c>
      <c r="BH540" s="8">
        <v>0.20300000000000001</v>
      </c>
      <c r="BI540" s="13">
        <f t="shared" si="93"/>
        <v>0.57699999999999996</v>
      </c>
      <c r="BJ540" s="14">
        <v>45.5</v>
      </c>
      <c r="BK540" s="14">
        <v>19.2</v>
      </c>
      <c r="BL540" s="14">
        <v>35.299999999999997</v>
      </c>
      <c r="BM540" s="16">
        <f t="shared" si="87"/>
        <v>100</v>
      </c>
      <c r="BN540" s="21">
        <f t="shared" si="88"/>
        <v>2.16</v>
      </c>
      <c r="BO540" s="21">
        <f t="shared" si="89"/>
        <v>0.91</v>
      </c>
      <c r="BP540" s="21">
        <f t="shared" si="90"/>
        <v>1.67</v>
      </c>
      <c r="BQ540" s="14">
        <f t="shared" si="91"/>
        <v>4.74</v>
      </c>
      <c r="BR540" s="22" t="str">
        <f>IF(OR(AND(X540="Mourões", BQ540&gt;=6.5),AND(X540="Postes", BQ540&gt;=9.6),AND(X540="Dormentes", BQ540&gt;=9.6),AND(X540="Estacas - Solo", BQ540&gt;=6.5),AND(X540="Estacas - Suspenso", BQ540&gt;=4),AND(X540="Cruzetas", BQ540&gt;=6.5),AND(X540="Outros - Solo", BQ540&gt;=6.5),AND(X540="Outros - Suspenso",BQ540&gt;=4),AND(X540="Deck",BQ540&gt;=4)),'Listas suspensas'!$C$21,'Listas suspensas'!$C$22)</f>
        <v>Os resultados da análise química apresentaram uma retenção do produto de acordo com o padrão mínimo exigido pela norma ABNT NBR 16143</v>
      </c>
    </row>
    <row r="541" spans="2:70" x14ac:dyDescent="0.25">
      <c r="B541" s="8" t="s">
        <v>1479</v>
      </c>
      <c r="C541" s="8" t="s">
        <v>71</v>
      </c>
      <c r="F541" s="11">
        <v>45993</v>
      </c>
      <c r="G541" s="11">
        <v>45994</v>
      </c>
      <c r="H541" s="11">
        <v>45999</v>
      </c>
      <c r="I541" s="8" t="s">
        <v>1604</v>
      </c>
      <c r="J541" s="8" t="s">
        <v>242</v>
      </c>
      <c r="K541" s="8" t="s">
        <v>243</v>
      </c>
      <c r="L541" s="8" t="s">
        <v>15</v>
      </c>
      <c r="M541" s="30" t="s">
        <v>361</v>
      </c>
      <c r="N541" s="8" t="s">
        <v>1165</v>
      </c>
      <c r="O541" s="8" t="s">
        <v>94</v>
      </c>
      <c r="P541" s="28" t="s">
        <v>77</v>
      </c>
      <c r="Q541" s="16" t="s">
        <v>1609</v>
      </c>
      <c r="X541" s="8" t="s">
        <v>994</v>
      </c>
      <c r="Y541" s="34">
        <f>IF(X541='Listas suspensas'!$A$21,'Listas suspensas'!$B$23,IF(X541='Listas suspensas'!$A$22,'Listas suspensas'!$B$23,IF(X541='Listas suspensas'!$A$23,'Listas suspensas'!$B$22,IF(X541='Listas suspensas'!$A$26,'Listas suspensas'!$B$22,IF(X541='Listas suspensas'!$A$32,'Listas suspensas'!$B$22,IF(X541='Listas suspensas'!$A$33,'Listas suspensas'!$B$21,IF(X541='Listas suspensas'!$A$24,'Listas suspensas'!$B$22,IF(X541='Listas suspensas'!$A$25,'Listas suspensas'!$B$21,IF(X541='Listas suspensas'!$A$30,'Listas suspensas'!$B$21,"")))))))))</f>
        <v>4</v>
      </c>
      <c r="Z541" s="8" t="s">
        <v>80</v>
      </c>
      <c r="AA541" s="8">
        <v>2</v>
      </c>
      <c r="AB541" s="8" t="str">
        <f>IF(AA541='Listas suspensas'!$A$2,'Listas suspensas'!$B$2,IF(AA541='Listas suspensas'!$A$3,'Listas suspensas'!$B$3,IF(AA541='Listas suspensas'!$A$4,'Listas suspensas'!$B$4,IF(AA541='Listas suspensas'!$A$5,'Listas suspensas'!$B$5,IF(AA541='Listas suspensas'!$A$6,'Listas suspensas'!$B$6,"")))))</f>
        <v>Profunda e irregular</v>
      </c>
      <c r="AC541" s="8" t="str">
        <f>IF(AA541='Listas suspensas'!$A$2,'Listas suspensas'!$C$2,IF(AA541='Listas suspensas'!$A$3,'Listas suspensas'!$C$3,IF(AA541='Listas suspensas'!$A$4,'Listas suspensas'!$C$4,IF(AA541='Listas suspensas'!$A$5,'Listas suspensas'!$C$5,IF(AA541='Listas suspensas'!$A$6,'Listas suspensas'!$C$6,"")))))</f>
        <v>Indica a penetração profunda, mas desuniforme em toda a extensão do alburno.</v>
      </c>
      <c r="BD541" s="13">
        <v>0.86099999999999999</v>
      </c>
      <c r="BE541" s="18">
        <f t="shared" si="92"/>
        <v>861</v>
      </c>
      <c r="BF541" s="8">
        <v>0.28499999999999998</v>
      </c>
      <c r="BG541" s="8">
        <v>0.111</v>
      </c>
      <c r="BH541" s="8">
        <v>0.23100000000000001</v>
      </c>
      <c r="BI541" s="13">
        <f t="shared" si="93"/>
        <v>0.627</v>
      </c>
      <c r="BJ541" s="14">
        <v>45.5</v>
      </c>
      <c r="BK541" s="14">
        <v>17.7</v>
      </c>
      <c r="BL541" s="14">
        <v>36.799999999999997</v>
      </c>
      <c r="BM541" s="16">
        <f t="shared" si="87"/>
        <v>100</v>
      </c>
      <c r="BN541" s="21">
        <f t="shared" si="88"/>
        <v>2.4500000000000002</v>
      </c>
      <c r="BO541" s="21">
        <f t="shared" si="89"/>
        <v>0.96</v>
      </c>
      <c r="BP541" s="21">
        <f t="shared" si="90"/>
        <v>1.99</v>
      </c>
      <c r="BQ541" s="14">
        <f t="shared" si="91"/>
        <v>5.4</v>
      </c>
      <c r="BR541" s="22" t="str">
        <f>IF(OR(AND(X541="Mourões", BQ541&gt;=6.5),AND(X541="Postes", BQ541&gt;=9.6),AND(X541="Dormentes", BQ541&gt;=9.6),AND(X541="Estacas - Solo", BQ541&gt;=6.5),AND(X541="Estacas - Suspenso", BQ541&gt;=4),AND(X541="Cruzetas", BQ541&gt;=6.5),AND(X541="Outros - Solo", BQ541&gt;=6.5),AND(X541="Outros - Suspenso",BQ541&gt;=4),AND(X541="Deck",BQ541&gt;=4)),'Listas suspensas'!$C$21,'Listas suspensas'!$C$22)</f>
        <v>Os resultados da análise química apresentaram uma retenção do produto de acordo com o padrão mínimo exigido pela norma ABNT NBR 16143</v>
      </c>
    </row>
    <row r="542" spans="2:70" x14ac:dyDescent="0.25">
      <c r="B542" s="8" t="s">
        <v>1480</v>
      </c>
      <c r="C542" s="8" t="s">
        <v>71</v>
      </c>
      <c r="F542" s="11">
        <v>45993</v>
      </c>
      <c r="G542" s="11">
        <v>45994</v>
      </c>
      <c r="H542" s="11">
        <v>45999</v>
      </c>
      <c r="I542" s="8" t="s">
        <v>1604</v>
      </c>
      <c r="J542" s="8" t="s">
        <v>242</v>
      </c>
      <c r="K542" s="8" t="s">
        <v>243</v>
      </c>
      <c r="L542" s="8" t="s">
        <v>15</v>
      </c>
      <c r="M542" s="30" t="s">
        <v>361</v>
      </c>
      <c r="N542" s="8" t="s">
        <v>1165</v>
      </c>
      <c r="O542" s="8" t="s">
        <v>94</v>
      </c>
      <c r="P542" s="28" t="s">
        <v>77</v>
      </c>
      <c r="Q542" s="16" t="s">
        <v>1608</v>
      </c>
      <c r="X542" s="8" t="s">
        <v>994</v>
      </c>
      <c r="Y542" s="34">
        <f>IF(X542='Listas suspensas'!$A$21,'Listas suspensas'!$B$23,IF(X542='Listas suspensas'!$A$22,'Listas suspensas'!$B$23,IF(X542='Listas suspensas'!$A$23,'Listas suspensas'!$B$22,IF(X542='Listas suspensas'!$A$26,'Listas suspensas'!$B$22,IF(X542='Listas suspensas'!$A$32,'Listas suspensas'!$B$22,IF(X542='Listas suspensas'!$A$33,'Listas suspensas'!$B$21,IF(X542='Listas suspensas'!$A$24,'Listas suspensas'!$B$22,IF(X542='Listas suspensas'!$A$25,'Listas suspensas'!$B$21,IF(X542='Listas suspensas'!$A$30,'Listas suspensas'!$B$21,"")))))))))</f>
        <v>4</v>
      </c>
      <c r="Z542" s="8" t="s">
        <v>80</v>
      </c>
      <c r="AA542" s="8">
        <v>3</v>
      </c>
      <c r="AB542" s="8" t="str">
        <f>IF(AA542='Listas suspensas'!$A$2,'Listas suspensas'!$B$2,IF(AA542='Listas suspensas'!$A$3,'Listas suspensas'!$B$3,IF(AA542='Listas suspensas'!$A$4,'Listas suspensas'!$B$4,IF(AA542='Listas suspensas'!$A$5,'Listas suspensas'!$B$5,IF(AA542='Listas suspensas'!$A$6,'Listas suspensas'!$B$6,"")))))</f>
        <v xml:space="preserve"> Parcial e regular</v>
      </c>
      <c r="AC542" s="8" t="str">
        <f>IF(AA542='Listas suspensas'!$A$2,'Listas suspensas'!$C$2,IF(AA542='Listas suspensas'!$A$3,'Listas suspensas'!$C$3,IF(AA542='Listas suspensas'!$A$4,'Listas suspensas'!$C$4,IF(AA542='Listas suspensas'!$A$5,'Listas suspensas'!$C$5,IF(AA542='Listas suspensas'!$A$6,'Listas suspensas'!$C$6,"")))))</f>
        <v>Indica a penetração uniforme, mas não total pela extensão do alburno.</v>
      </c>
      <c r="BD542" s="13">
        <v>0.83799999999999997</v>
      </c>
      <c r="BE542" s="18">
        <f t="shared" si="92"/>
        <v>838</v>
      </c>
      <c r="BF542" s="8">
        <v>0.23499999999999999</v>
      </c>
      <c r="BG542" s="8">
        <v>0.08</v>
      </c>
      <c r="BH542" s="8">
        <v>0.16800000000000001</v>
      </c>
      <c r="BI542" s="13">
        <f t="shared" si="93"/>
        <v>0.48299999999999998</v>
      </c>
      <c r="BJ542" s="14">
        <v>48.6</v>
      </c>
      <c r="BK542" s="14">
        <v>16.600000000000001</v>
      </c>
      <c r="BL542" s="14">
        <v>34.799999999999997</v>
      </c>
      <c r="BM542" s="16">
        <f t="shared" si="87"/>
        <v>100</v>
      </c>
      <c r="BN542" s="21">
        <f t="shared" si="88"/>
        <v>1.97</v>
      </c>
      <c r="BO542" s="21">
        <f t="shared" si="89"/>
        <v>0.67</v>
      </c>
      <c r="BP542" s="21">
        <f t="shared" si="90"/>
        <v>1.41</v>
      </c>
      <c r="BQ542" s="14">
        <f t="shared" si="91"/>
        <v>4.05</v>
      </c>
      <c r="BR542" s="22" t="str">
        <f>IF(OR(AND(X542="Mourões", BQ542&gt;=6.5),AND(X542="Postes", BQ542&gt;=9.6),AND(X542="Dormentes", BQ542&gt;=9.6),AND(X542="Estacas - Solo", BQ542&gt;=6.5),AND(X542="Estacas - Suspenso", BQ542&gt;=4),AND(X542="Cruzetas", BQ542&gt;=6.5),AND(X542="Outros - Solo", BQ542&gt;=6.5),AND(X542="Outros - Suspenso",BQ542&gt;=4),AND(X542="Deck",BQ542&gt;=4)),'Listas suspensas'!$C$21,'Listas suspensas'!$C$22)</f>
        <v>Os resultados da análise química apresentaram uma retenção do produto de acordo com o padrão mínimo exigido pela norma ABNT NBR 16143</v>
      </c>
    </row>
    <row r="543" spans="2:70" x14ac:dyDescent="0.25">
      <c r="B543" s="8" t="s">
        <v>1481</v>
      </c>
      <c r="C543" s="8" t="s">
        <v>71</v>
      </c>
      <c r="F543" s="11">
        <v>45993</v>
      </c>
      <c r="G543" s="11">
        <v>45994</v>
      </c>
      <c r="H543" s="11">
        <v>45999</v>
      </c>
      <c r="I543" s="8" t="s">
        <v>1604</v>
      </c>
      <c r="J543" s="8" t="s">
        <v>242</v>
      </c>
      <c r="K543" s="8" t="s">
        <v>243</v>
      </c>
      <c r="L543" s="8" t="s">
        <v>15</v>
      </c>
      <c r="M543" s="30" t="s">
        <v>361</v>
      </c>
      <c r="N543" s="8" t="s">
        <v>1165</v>
      </c>
      <c r="O543" s="8" t="s">
        <v>94</v>
      </c>
      <c r="P543" s="28" t="s">
        <v>77</v>
      </c>
      <c r="Q543" s="16" t="s">
        <v>1607</v>
      </c>
      <c r="X543" s="8" t="s">
        <v>994</v>
      </c>
      <c r="Y543" s="34">
        <f>IF(X543='Listas suspensas'!$A$21,'Listas suspensas'!$B$23,IF(X543='Listas suspensas'!$A$22,'Listas suspensas'!$B$23,IF(X543='Listas suspensas'!$A$23,'Listas suspensas'!$B$22,IF(X543='Listas suspensas'!$A$26,'Listas suspensas'!$B$22,IF(X543='Listas suspensas'!$A$32,'Listas suspensas'!$B$22,IF(X543='Listas suspensas'!$A$33,'Listas suspensas'!$B$21,IF(X543='Listas suspensas'!$A$24,'Listas suspensas'!$B$22,IF(X543='Listas suspensas'!$A$25,'Listas suspensas'!$B$21,IF(X543='Listas suspensas'!$A$30,'Listas suspensas'!$B$21,"")))))))))</f>
        <v>4</v>
      </c>
      <c r="Z543" s="8" t="s">
        <v>80</v>
      </c>
      <c r="AA543" s="8">
        <v>2</v>
      </c>
      <c r="AB543" s="8" t="str">
        <f>IF(AA543='Listas suspensas'!$A$2,'Listas suspensas'!$B$2,IF(AA543='Listas suspensas'!$A$3,'Listas suspensas'!$B$3,IF(AA543='Listas suspensas'!$A$4,'Listas suspensas'!$B$4,IF(AA543='Listas suspensas'!$A$5,'Listas suspensas'!$B$5,IF(AA543='Listas suspensas'!$A$6,'Listas suspensas'!$B$6,"")))))</f>
        <v>Profunda e irregular</v>
      </c>
      <c r="AC543" s="8" t="str">
        <f>IF(AA543='Listas suspensas'!$A$2,'Listas suspensas'!$C$2,IF(AA543='Listas suspensas'!$A$3,'Listas suspensas'!$C$3,IF(AA543='Listas suspensas'!$A$4,'Listas suspensas'!$C$4,IF(AA543='Listas suspensas'!$A$5,'Listas suspensas'!$C$5,IF(AA543='Listas suspensas'!$A$6,'Listas suspensas'!$C$6,"")))))</f>
        <v>Indica a penetração profunda, mas desuniforme em toda a extensão do alburno.</v>
      </c>
      <c r="BD543" s="13">
        <v>0.83399999999999996</v>
      </c>
      <c r="BE543" s="18">
        <f t="shared" si="92"/>
        <v>834</v>
      </c>
      <c r="BF543" s="8">
        <v>0.309</v>
      </c>
      <c r="BG543" s="8">
        <v>0.14599999999999999</v>
      </c>
      <c r="BH543" s="8">
        <v>0.26200000000000001</v>
      </c>
      <c r="BI543" s="13">
        <f t="shared" si="93"/>
        <v>0.71699999999999997</v>
      </c>
      <c r="BJ543" s="14">
        <v>43</v>
      </c>
      <c r="BK543" s="14">
        <v>20.399999999999999</v>
      </c>
      <c r="BL543" s="14">
        <v>36.6</v>
      </c>
      <c r="BM543" s="16">
        <f t="shared" si="87"/>
        <v>100</v>
      </c>
      <c r="BN543" s="21">
        <f t="shared" si="88"/>
        <v>2.58</v>
      </c>
      <c r="BO543" s="21">
        <f t="shared" si="89"/>
        <v>1.22</v>
      </c>
      <c r="BP543" s="21">
        <f t="shared" si="90"/>
        <v>2.19</v>
      </c>
      <c r="BQ543" s="14">
        <f t="shared" si="91"/>
        <v>5.99</v>
      </c>
      <c r="BR543" s="22" t="str">
        <f>IF(OR(AND(X543="Mourões", BQ543&gt;=6.5),AND(X543="Postes", BQ543&gt;=9.6),AND(X543="Dormentes", BQ543&gt;=9.6),AND(X543="Estacas - Solo", BQ543&gt;=6.5),AND(X543="Estacas - Suspenso", BQ543&gt;=4),AND(X543="Cruzetas", BQ543&gt;=6.5),AND(X543="Outros - Solo", BQ543&gt;=6.5),AND(X543="Outros - Suspenso",BQ543&gt;=4),AND(X543="Deck",BQ543&gt;=4)),'Listas suspensas'!$C$21,'Listas suspensas'!$C$22)</f>
        <v>Os resultados da análise química apresentaram uma retenção do produto de acordo com o padrão mínimo exigido pela norma ABNT NBR 16143</v>
      </c>
    </row>
    <row r="544" spans="2:70" x14ac:dyDescent="0.25">
      <c r="B544" s="8" t="s">
        <v>1482</v>
      </c>
      <c r="C544" s="8" t="s">
        <v>71</v>
      </c>
      <c r="F544" s="11">
        <v>45993</v>
      </c>
      <c r="G544" s="11">
        <v>45994</v>
      </c>
      <c r="H544" s="11">
        <v>45999</v>
      </c>
      <c r="I544" s="8" t="s">
        <v>1604</v>
      </c>
      <c r="J544" s="8" t="s">
        <v>242</v>
      </c>
      <c r="K544" s="8" t="s">
        <v>243</v>
      </c>
      <c r="L544" s="8" t="s">
        <v>15</v>
      </c>
      <c r="M544" s="30" t="s">
        <v>361</v>
      </c>
      <c r="N544" s="8" t="s">
        <v>1165</v>
      </c>
      <c r="O544" s="8" t="s">
        <v>94</v>
      </c>
      <c r="P544" s="28" t="s">
        <v>77</v>
      </c>
      <c r="Q544" s="16" t="s">
        <v>1606</v>
      </c>
      <c r="X544" s="8" t="s">
        <v>994</v>
      </c>
      <c r="Y544" s="34">
        <f>IF(X544='Listas suspensas'!$A$21,'Listas suspensas'!$B$23,IF(X544='Listas suspensas'!$A$22,'Listas suspensas'!$B$23,IF(X544='Listas suspensas'!$A$23,'Listas suspensas'!$B$22,IF(X544='Listas suspensas'!$A$26,'Listas suspensas'!$B$22,IF(X544='Listas suspensas'!$A$32,'Listas suspensas'!$B$22,IF(X544='Listas suspensas'!$A$33,'Listas suspensas'!$B$21,IF(X544='Listas suspensas'!$A$24,'Listas suspensas'!$B$22,IF(X544='Listas suspensas'!$A$25,'Listas suspensas'!$B$21,IF(X544='Listas suspensas'!$A$30,'Listas suspensas'!$B$21,"")))))))))</f>
        <v>4</v>
      </c>
      <c r="Z544" s="8" t="s">
        <v>80</v>
      </c>
      <c r="AA544" s="8">
        <v>3</v>
      </c>
      <c r="AB544" s="8" t="str">
        <f>IF(AA544='Listas suspensas'!$A$2,'Listas suspensas'!$B$2,IF(AA544='Listas suspensas'!$A$3,'Listas suspensas'!$B$3,IF(AA544='Listas suspensas'!$A$4,'Listas suspensas'!$B$4,IF(AA544='Listas suspensas'!$A$5,'Listas suspensas'!$B$5,IF(AA544='Listas suspensas'!$A$6,'Listas suspensas'!$B$6,"")))))</f>
        <v xml:space="preserve"> Parcial e regular</v>
      </c>
      <c r="AC544" s="8" t="str">
        <f>IF(AA544='Listas suspensas'!$A$2,'Listas suspensas'!$C$2,IF(AA544='Listas suspensas'!$A$3,'Listas suspensas'!$C$3,IF(AA544='Listas suspensas'!$A$4,'Listas suspensas'!$C$4,IF(AA544='Listas suspensas'!$A$5,'Listas suspensas'!$C$5,IF(AA544='Listas suspensas'!$A$6,'Listas suspensas'!$C$6,"")))))</f>
        <v>Indica a penetração uniforme, mas não total pela extensão do alburno.</v>
      </c>
      <c r="BD544" s="13">
        <v>0.64100000000000001</v>
      </c>
      <c r="BE544" s="18">
        <f t="shared" si="92"/>
        <v>641</v>
      </c>
      <c r="BF544" s="8">
        <v>0.32200000000000001</v>
      </c>
      <c r="BG544" s="8">
        <v>0.155</v>
      </c>
      <c r="BH544" s="8">
        <v>0.26800000000000002</v>
      </c>
      <c r="BI544" s="13">
        <f t="shared" si="93"/>
        <v>0.745</v>
      </c>
      <c r="BJ544" s="14">
        <v>43.2</v>
      </c>
      <c r="BK544" s="14">
        <v>20.8</v>
      </c>
      <c r="BL544" s="14">
        <v>36</v>
      </c>
      <c r="BM544" s="16">
        <f t="shared" si="87"/>
        <v>100</v>
      </c>
      <c r="BN544" s="21">
        <f t="shared" si="88"/>
        <v>2.06</v>
      </c>
      <c r="BO544" s="21">
        <f t="shared" si="89"/>
        <v>0.99</v>
      </c>
      <c r="BP544" s="21">
        <f t="shared" si="90"/>
        <v>1.72</v>
      </c>
      <c r="BQ544" s="14">
        <f t="shared" si="91"/>
        <v>4.7699999999999996</v>
      </c>
      <c r="BR544" s="22" t="str">
        <f>IF(OR(AND(X544="Mourões", BQ544&gt;=6.5),AND(X544="Postes", BQ544&gt;=9.6),AND(X544="Dormentes", BQ544&gt;=9.6),AND(X544="Estacas - Solo", BQ544&gt;=6.5),AND(X544="Estacas - Suspenso", BQ544&gt;=4),AND(X544="Cruzetas", BQ544&gt;=6.5),AND(X544="Outros - Solo", BQ544&gt;=6.5),AND(X544="Outros - Suspenso",BQ544&gt;=4),AND(X544="Deck",BQ544&gt;=4)),'Listas suspensas'!$C$21,'Listas suspensas'!$C$22)</f>
        <v>Os resultados da análise química apresentaram uma retenção do produto de acordo com o padrão mínimo exigido pela norma ABNT NBR 16143</v>
      </c>
    </row>
    <row r="545" spans="2:70" x14ac:dyDescent="0.25">
      <c r="B545" s="8" t="s">
        <v>1483</v>
      </c>
      <c r="C545" s="8" t="s">
        <v>71</v>
      </c>
      <c r="F545" s="11">
        <v>45993</v>
      </c>
      <c r="G545" s="11">
        <v>45994</v>
      </c>
      <c r="H545" s="11">
        <v>45999</v>
      </c>
      <c r="I545" s="8" t="s">
        <v>1604</v>
      </c>
      <c r="J545" s="8" t="s">
        <v>242</v>
      </c>
      <c r="K545" s="8" t="s">
        <v>243</v>
      </c>
      <c r="L545" s="8" t="s">
        <v>15</v>
      </c>
      <c r="M545" s="30" t="s">
        <v>361</v>
      </c>
      <c r="N545" s="8" t="s">
        <v>1165</v>
      </c>
      <c r="O545" s="8" t="s">
        <v>94</v>
      </c>
      <c r="P545" s="28" t="s">
        <v>77</v>
      </c>
      <c r="Q545" s="16" t="s">
        <v>1605</v>
      </c>
      <c r="X545" s="8" t="s">
        <v>994</v>
      </c>
      <c r="Y545" s="34">
        <f>IF(X545='Listas suspensas'!$A$21,'Listas suspensas'!$B$23,IF(X545='Listas suspensas'!$A$22,'Listas suspensas'!$B$23,IF(X545='Listas suspensas'!$A$23,'Listas suspensas'!$B$22,IF(X545='Listas suspensas'!$A$26,'Listas suspensas'!$B$22,IF(X545='Listas suspensas'!$A$32,'Listas suspensas'!$B$22,IF(X545='Listas suspensas'!$A$33,'Listas suspensas'!$B$21,IF(X545='Listas suspensas'!$A$24,'Listas suspensas'!$B$22,IF(X545='Listas suspensas'!$A$25,'Listas suspensas'!$B$21,IF(X545='Listas suspensas'!$A$30,'Listas suspensas'!$B$21,"")))))))))</f>
        <v>4</v>
      </c>
      <c r="Z545" s="8" t="s">
        <v>80</v>
      </c>
      <c r="AA545" s="8">
        <v>2</v>
      </c>
      <c r="AB545" s="8" t="str">
        <f>IF(AA545='Listas suspensas'!$A$2,'Listas suspensas'!$B$2,IF(AA545='Listas suspensas'!$A$3,'Listas suspensas'!$B$3,IF(AA545='Listas suspensas'!$A$4,'Listas suspensas'!$B$4,IF(AA545='Listas suspensas'!$A$5,'Listas suspensas'!$B$5,IF(AA545='Listas suspensas'!$A$6,'Listas suspensas'!$B$6,"")))))</f>
        <v>Profunda e irregular</v>
      </c>
      <c r="AC545" s="8" t="str">
        <f>IF(AA545='Listas suspensas'!$A$2,'Listas suspensas'!$C$2,IF(AA545='Listas suspensas'!$A$3,'Listas suspensas'!$C$3,IF(AA545='Listas suspensas'!$A$4,'Listas suspensas'!$C$4,IF(AA545='Listas suspensas'!$A$5,'Listas suspensas'!$C$5,IF(AA545='Listas suspensas'!$A$6,'Listas suspensas'!$C$6,"")))))</f>
        <v>Indica a penetração profunda, mas desuniforme em toda a extensão do alburno.</v>
      </c>
      <c r="BD545" s="13">
        <v>0.90200000000000002</v>
      </c>
      <c r="BE545" s="18">
        <f t="shared" si="92"/>
        <v>902</v>
      </c>
      <c r="BF545" s="8">
        <v>0.27300000000000002</v>
      </c>
      <c r="BG545" s="8">
        <v>0.111</v>
      </c>
      <c r="BH545" s="8">
        <v>0.224</v>
      </c>
      <c r="BI545" s="13">
        <f t="shared" si="93"/>
        <v>0.60799999999999998</v>
      </c>
      <c r="BJ545" s="14">
        <v>44.9</v>
      </c>
      <c r="BK545" s="14">
        <v>18.2</v>
      </c>
      <c r="BL545" s="14">
        <v>36.9</v>
      </c>
      <c r="BM545" s="16">
        <f t="shared" si="87"/>
        <v>100</v>
      </c>
      <c r="BN545" s="21">
        <f t="shared" si="88"/>
        <v>2.46</v>
      </c>
      <c r="BO545" s="21">
        <f t="shared" si="89"/>
        <v>1</v>
      </c>
      <c r="BP545" s="21">
        <f t="shared" si="90"/>
        <v>2.02</v>
      </c>
      <c r="BQ545" s="14">
        <f t="shared" si="91"/>
        <v>5.48</v>
      </c>
      <c r="BR545" s="22" t="str">
        <f>IF(OR(AND(X545="Mourões", BQ545&gt;=6.5),AND(X545="Postes", BQ545&gt;=9.6),AND(X545="Dormentes", BQ545&gt;=9.6),AND(X545="Estacas - Solo", BQ545&gt;=6.5),AND(X545="Estacas - Suspenso", BQ545&gt;=4),AND(X545="Cruzetas", BQ545&gt;=6.5),AND(X545="Outros - Solo", BQ545&gt;=6.5),AND(X545="Outros - Suspenso",BQ545&gt;=4),AND(X545="Deck",BQ545&gt;=4)),'Listas suspensas'!$C$21,'Listas suspensas'!$C$22)</f>
        <v>Os resultados da análise química apresentaram uma retenção do produto de acordo com o padrão mínimo exigido pela norma ABNT NBR 16143</v>
      </c>
    </row>
    <row r="546" spans="2:70" x14ac:dyDescent="0.25">
      <c r="B546" s="8" t="s">
        <v>1484</v>
      </c>
      <c r="C546" s="8" t="s">
        <v>71</v>
      </c>
      <c r="F546" s="11">
        <v>46000</v>
      </c>
      <c r="G546" s="11">
        <v>46001</v>
      </c>
      <c r="H546" s="11">
        <v>46008</v>
      </c>
      <c r="I546" s="8" t="s">
        <v>685</v>
      </c>
      <c r="J546" s="8" t="s">
        <v>686</v>
      </c>
      <c r="K546" s="8" t="s">
        <v>92</v>
      </c>
      <c r="L546" s="8" t="s">
        <v>15</v>
      </c>
      <c r="M546" s="30" t="s">
        <v>1613</v>
      </c>
      <c r="N546" s="8" t="s">
        <v>1165</v>
      </c>
      <c r="O546" s="8" t="s">
        <v>94</v>
      </c>
      <c r="P546" s="28" t="s">
        <v>77</v>
      </c>
      <c r="Q546" s="37" t="s">
        <v>1614</v>
      </c>
      <c r="X546" s="8" t="s">
        <v>79</v>
      </c>
      <c r="Y546" s="34">
        <f>IF(X546='Listas suspensas'!$A$21,'Listas suspensas'!$B$23,IF(X546='Listas suspensas'!$A$22,'Listas suspensas'!$B$23,IF(X546='Listas suspensas'!$A$23,'Listas suspensas'!$B$22,IF(X546='Listas suspensas'!$A$26,'Listas suspensas'!$B$22,IF(X546='Listas suspensas'!$A$32,'Listas suspensas'!$B$22,IF(X546='Listas suspensas'!$A$33,'Listas suspensas'!$B$21,IF(X546='Listas suspensas'!$A$24,'Listas suspensas'!$B$22,IF(X546='Listas suspensas'!$A$25,'Listas suspensas'!$B$21,IF(X546='Listas suspensas'!$A$30,'Listas suspensas'!$B$21,"")))))))))</f>
        <v>6.5</v>
      </c>
      <c r="Z546" s="8" t="s">
        <v>80</v>
      </c>
      <c r="AA546" s="8">
        <v>2</v>
      </c>
      <c r="AB546" s="8" t="str">
        <f>IF(AA546='Listas suspensas'!$A$2,'Listas suspensas'!$B$2,IF(AA546='Listas suspensas'!$A$3,'Listas suspensas'!$B$3,IF(AA546='Listas suspensas'!$A$4,'Listas suspensas'!$B$4,IF(AA546='Listas suspensas'!$A$5,'Listas suspensas'!$B$5,IF(AA546='Listas suspensas'!$A$6,'Listas suspensas'!$B$6,"")))))</f>
        <v>Profunda e irregular</v>
      </c>
      <c r="AC546" s="8" t="str">
        <f>IF(AA546='Listas suspensas'!$A$2,'Listas suspensas'!$C$2,IF(AA546='Listas suspensas'!$A$3,'Listas suspensas'!$C$3,IF(AA546='Listas suspensas'!$A$4,'Listas suspensas'!$C$4,IF(AA546='Listas suspensas'!$A$5,'Listas suspensas'!$C$5,IF(AA546='Listas suspensas'!$A$6,'Listas suspensas'!$C$6,"")))))</f>
        <v>Indica a penetração profunda, mas desuniforme em toda a extensão do alburno.</v>
      </c>
      <c r="BD546" s="13">
        <v>0.94199999999999995</v>
      </c>
      <c r="BE546" s="18">
        <f t="shared" si="92"/>
        <v>942</v>
      </c>
      <c r="BF546" s="8">
        <v>0.33500000000000002</v>
      </c>
      <c r="BG546" s="8">
        <v>0.155</v>
      </c>
      <c r="BH546" s="8">
        <v>0.316</v>
      </c>
      <c r="BI546" s="13">
        <f t="shared" si="93"/>
        <v>0.80600000000000005</v>
      </c>
      <c r="BJ546" s="14">
        <v>41.6</v>
      </c>
      <c r="BK546" s="14">
        <v>19.2</v>
      </c>
      <c r="BL546" s="14">
        <v>39.200000000000003</v>
      </c>
      <c r="BM546" s="16">
        <f t="shared" si="87"/>
        <v>100</v>
      </c>
      <c r="BN546" s="21">
        <f t="shared" si="88"/>
        <v>3.16</v>
      </c>
      <c r="BO546" s="21">
        <f t="shared" si="89"/>
        <v>1.46</v>
      </c>
      <c r="BP546" s="21">
        <f t="shared" si="90"/>
        <v>2.98</v>
      </c>
      <c r="BQ546" s="14">
        <f t="shared" si="91"/>
        <v>7.6</v>
      </c>
      <c r="BR546" s="22" t="str">
        <f>IF(OR(AND(X546="Mourões", BQ546&gt;=6.5),AND(X546="Postes", BQ546&gt;=9.6),AND(X546="Dormentes", BQ546&gt;=9.6),AND(X546="Estacas - Solo", BQ546&gt;=6.5),AND(X546="Estacas - Suspenso", BQ546&gt;=4),AND(X546="Cruzetas", BQ546&gt;=6.5),AND(X546="Outros - Solo", BQ546&gt;=6.5),AND(X546="Outros - Suspenso",BQ546&gt;=4),AND(X546="Deck",BQ546&gt;=4)),'Listas suspensas'!$C$21,'Listas suspensas'!$C$22)</f>
        <v>Os resultados da análise química apresentaram uma retenção do produto de acordo com o padrão mínimo exigido pela norma ABNT NBR 16143</v>
      </c>
    </row>
    <row r="547" spans="2:70" x14ac:dyDescent="0.25">
      <c r="B547" s="8" t="s">
        <v>1485</v>
      </c>
      <c r="C547" s="8" t="s">
        <v>71</v>
      </c>
      <c r="F547" s="11">
        <v>46000</v>
      </c>
      <c r="G547" s="11">
        <v>46001</v>
      </c>
      <c r="H547" s="11">
        <v>46008</v>
      </c>
      <c r="I547" s="8" t="s">
        <v>685</v>
      </c>
      <c r="J547" s="8" t="s">
        <v>686</v>
      </c>
      <c r="K547" s="8" t="s">
        <v>92</v>
      </c>
      <c r="L547" s="8" t="s">
        <v>15</v>
      </c>
      <c r="M547" s="30" t="s">
        <v>1613</v>
      </c>
      <c r="N547" s="8" t="s">
        <v>1165</v>
      </c>
      <c r="O547" s="8" t="s">
        <v>94</v>
      </c>
      <c r="P547" s="28" t="s">
        <v>77</v>
      </c>
      <c r="Q547" s="37" t="s">
        <v>1615</v>
      </c>
      <c r="X547" s="8" t="s">
        <v>98</v>
      </c>
      <c r="Y547" s="34">
        <f>IF(X547='Listas suspensas'!$A$21,'Listas suspensas'!$B$23,IF(X547='Listas suspensas'!$A$22,'Listas suspensas'!$B$23,IF(X547='Listas suspensas'!$A$23,'Listas suspensas'!$B$22,IF(X547='Listas suspensas'!$A$26,'Listas suspensas'!$B$22,IF(X547='Listas suspensas'!$A$32,'Listas suspensas'!$B$22,IF(X547='Listas suspensas'!$A$33,'Listas suspensas'!$B$21,IF(X547='Listas suspensas'!$A$24,'Listas suspensas'!$B$22,IF(X547='Listas suspensas'!$A$25,'Listas suspensas'!$B$21,IF(X547='Listas suspensas'!$A$30,'Listas suspensas'!$B$21,"")))))))))</f>
        <v>9.6</v>
      </c>
      <c r="Z547" s="8" t="s">
        <v>80</v>
      </c>
      <c r="AA547" s="8">
        <v>2</v>
      </c>
      <c r="AB547" s="8" t="str">
        <f>IF(AA547='Listas suspensas'!$A$2,'Listas suspensas'!$B$2,IF(AA547='Listas suspensas'!$A$3,'Listas suspensas'!$B$3,IF(AA547='Listas suspensas'!$A$4,'Listas suspensas'!$B$4,IF(AA547='Listas suspensas'!$A$5,'Listas suspensas'!$B$5,IF(AA547='Listas suspensas'!$A$6,'Listas suspensas'!$B$6,"")))))</f>
        <v>Profunda e irregular</v>
      </c>
      <c r="AC547" s="8" t="str">
        <f>IF(AA547='Listas suspensas'!$A$2,'Listas suspensas'!$C$2,IF(AA547='Listas suspensas'!$A$3,'Listas suspensas'!$C$3,IF(AA547='Listas suspensas'!$A$4,'Listas suspensas'!$C$4,IF(AA547='Listas suspensas'!$A$5,'Listas suspensas'!$C$5,IF(AA547='Listas suspensas'!$A$6,'Listas suspensas'!$C$6,"")))))</f>
        <v>Indica a penetração profunda, mas desuniforme em toda a extensão do alburno.</v>
      </c>
      <c r="BD547" s="13">
        <v>0.92500000000000004</v>
      </c>
      <c r="BE547" s="18">
        <f t="shared" si="92"/>
        <v>925</v>
      </c>
      <c r="BF547" s="8">
        <v>0.38400000000000001</v>
      </c>
      <c r="BG547" s="8">
        <v>0.189</v>
      </c>
      <c r="BH547" s="8">
        <v>0.36799999999999999</v>
      </c>
      <c r="BI547" s="13">
        <f t="shared" si="93"/>
        <v>0.94099999999999995</v>
      </c>
      <c r="BJ547" s="14">
        <v>40.799999999999997</v>
      </c>
      <c r="BK547" s="14">
        <v>20.100000000000001</v>
      </c>
      <c r="BL547" s="14">
        <v>39.1</v>
      </c>
      <c r="BM547" s="16">
        <f t="shared" si="87"/>
        <v>100</v>
      </c>
      <c r="BN547" s="21">
        <f t="shared" si="88"/>
        <v>3.55</v>
      </c>
      <c r="BO547" s="21">
        <f t="shared" si="89"/>
        <v>1.75</v>
      </c>
      <c r="BP547" s="21">
        <f t="shared" si="90"/>
        <v>3.4</v>
      </c>
      <c r="BQ547" s="14">
        <f t="shared" si="91"/>
        <v>8.6999999999999993</v>
      </c>
      <c r="BR547" s="22" t="str">
        <f>IF(OR(AND(X547="Mourões", BQ547&gt;=6.5),AND(X547="Postes", BQ547&gt;=9.6),AND(X547="Dormentes", BQ547&gt;=9.6),AND(X547="Estacas - Solo", BQ547&gt;=6.5),AND(X547="Estacas - Suspenso", BQ547&gt;=4),AND(X547="Cruzetas", BQ547&gt;=6.5),AND(X547="Outros - Solo", BQ547&gt;=6.5),AND(X547="Outros - Suspenso",BQ547&gt;=4),AND(X547="Deck",BQ547&gt;=4)),'Listas suspensas'!$C$21,'Listas suspensas'!$C$22)</f>
        <v>Os resultados da análise química apresentaram uma retenção do produto inferior ao padrão mínimo exigido pela norma ABNT NBR 16143</v>
      </c>
    </row>
    <row r="548" spans="2:70" x14ac:dyDescent="0.25">
      <c r="B548" s="8" t="s">
        <v>1486</v>
      </c>
      <c r="C548" s="8" t="s">
        <v>71</v>
      </c>
      <c r="F548" s="11">
        <v>46000</v>
      </c>
      <c r="G548" s="11">
        <v>46001</v>
      </c>
      <c r="H548" s="11">
        <v>46008</v>
      </c>
      <c r="I548" s="8" t="s">
        <v>685</v>
      </c>
      <c r="J548" s="8" t="s">
        <v>686</v>
      </c>
      <c r="K548" s="8" t="s">
        <v>92</v>
      </c>
      <c r="L548" s="8" t="s">
        <v>15</v>
      </c>
      <c r="M548" s="30" t="s">
        <v>1613</v>
      </c>
      <c r="N548" s="8" t="s">
        <v>1165</v>
      </c>
      <c r="O548" s="8" t="s">
        <v>94</v>
      </c>
      <c r="P548" s="28" t="s">
        <v>77</v>
      </c>
      <c r="Q548" s="37" t="s">
        <v>1717</v>
      </c>
      <c r="X548" s="8" t="s">
        <v>79</v>
      </c>
      <c r="Y548" s="34">
        <f>IF(X548='Listas suspensas'!$A$21,'Listas suspensas'!$B$23,IF(X548='Listas suspensas'!$A$22,'Listas suspensas'!$B$23,IF(X548='Listas suspensas'!$A$23,'Listas suspensas'!$B$22,IF(X548='Listas suspensas'!$A$26,'Listas suspensas'!$B$22,IF(X548='Listas suspensas'!$A$32,'Listas suspensas'!$B$22,IF(X548='Listas suspensas'!$A$33,'Listas suspensas'!$B$21,IF(X548='Listas suspensas'!$A$24,'Listas suspensas'!$B$22,IF(X548='Listas suspensas'!$A$25,'Listas suspensas'!$B$21,IF(X548='Listas suspensas'!$A$30,'Listas suspensas'!$B$21,"")))))))))</f>
        <v>6.5</v>
      </c>
      <c r="Z548" s="8" t="s">
        <v>80</v>
      </c>
      <c r="AA548" s="8">
        <v>3</v>
      </c>
      <c r="AB548" s="8" t="str">
        <f>IF(AA548='Listas suspensas'!$A$2,'Listas suspensas'!$B$2,IF(AA548='Listas suspensas'!$A$3,'Listas suspensas'!$B$3,IF(AA548='Listas suspensas'!$A$4,'Listas suspensas'!$B$4,IF(AA548='Listas suspensas'!$A$5,'Listas suspensas'!$B$5,IF(AA548='Listas suspensas'!$A$6,'Listas suspensas'!$B$6,"")))))</f>
        <v xml:space="preserve"> Parcial e regular</v>
      </c>
      <c r="AC548" s="8" t="str">
        <f>IF(AA548='Listas suspensas'!$A$2,'Listas suspensas'!$C$2,IF(AA548='Listas suspensas'!$A$3,'Listas suspensas'!$C$3,IF(AA548='Listas suspensas'!$A$4,'Listas suspensas'!$C$4,IF(AA548='Listas suspensas'!$A$5,'Listas suspensas'!$C$5,IF(AA548='Listas suspensas'!$A$6,'Listas suspensas'!$C$6,"")))))</f>
        <v>Indica a penetração uniforme, mas não total pela extensão do alburno.</v>
      </c>
      <c r="BD548" s="13">
        <v>0.996</v>
      </c>
      <c r="BE548" s="18">
        <f t="shared" si="92"/>
        <v>996</v>
      </c>
      <c r="BF548" s="8">
        <v>0.25700000000000001</v>
      </c>
      <c r="BG548" s="8">
        <v>0.11799999999999999</v>
      </c>
      <c r="BH548" s="8">
        <v>0.26500000000000001</v>
      </c>
      <c r="BI548" s="13">
        <f t="shared" si="93"/>
        <v>0.64</v>
      </c>
      <c r="BJ548" s="14">
        <v>40.1</v>
      </c>
      <c r="BK548" s="14">
        <v>18.5</v>
      </c>
      <c r="BL548" s="14">
        <v>41.4</v>
      </c>
      <c r="BM548" s="16">
        <f t="shared" si="87"/>
        <v>100</v>
      </c>
      <c r="BN548" s="21">
        <f t="shared" si="88"/>
        <v>2.56</v>
      </c>
      <c r="BO548" s="21">
        <f t="shared" si="89"/>
        <v>1.18</v>
      </c>
      <c r="BP548" s="21">
        <f t="shared" si="90"/>
        <v>2.64</v>
      </c>
      <c r="BQ548" s="14">
        <f t="shared" si="91"/>
        <v>6.38</v>
      </c>
      <c r="BR548" s="22" t="str">
        <f>IF(OR(AND(X548="Mourões", BQ548&gt;=6.5),AND(X548="Postes", BQ548&gt;=9.6),AND(X548="Dormentes", BQ548&gt;=9.6),AND(X548="Estacas - Solo", BQ548&gt;=6.5),AND(X548="Estacas - Suspenso", BQ548&gt;=4),AND(X548="Cruzetas", BQ548&gt;=6.5),AND(X548="Outros - Solo", BQ548&gt;=6.5),AND(X548="Outros - Suspenso",BQ548&gt;=4),AND(X548="Deck",BQ548&gt;=4)),'Listas suspensas'!$C$21,'Listas suspensas'!$C$22)</f>
        <v>Os resultados da análise química apresentaram uma retenção do produto inferior ao padrão mínimo exigido pela norma ABNT NBR 16143</v>
      </c>
    </row>
    <row r="549" spans="2:70" x14ac:dyDescent="0.25">
      <c r="B549" s="8" t="s">
        <v>1487</v>
      </c>
      <c r="C549" s="8" t="s">
        <v>71</v>
      </c>
      <c r="F549" s="11">
        <v>46000</v>
      </c>
      <c r="G549" s="11">
        <v>46001</v>
      </c>
      <c r="H549" s="11">
        <v>46008</v>
      </c>
      <c r="I549" s="8" t="s">
        <v>685</v>
      </c>
      <c r="J549" s="8" t="s">
        <v>686</v>
      </c>
      <c r="K549" s="8" t="s">
        <v>92</v>
      </c>
      <c r="L549" s="8" t="s">
        <v>15</v>
      </c>
      <c r="M549" s="30" t="s">
        <v>1613</v>
      </c>
      <c r="N549" s="8" t="s">
        <v>1165</v>
      </c>
      <c r="O549" s="8" t="s">
        <v>94</v>
      </c>
      <c r="P549" s="28" t="s">
        <v>77</v>
      </c>
      <c r="Q549" s="37" t="s">
        <v>1616</v>
      </c>
      <c r="X549" s="8" t="s">
        <v>98</v>
      </c>
      <c r="Y549" s="34">
        <f>IF(X549='Listas suspensas'!$A$21,'Listas suspensas'!$B$23,IF(X549='Listas suspensas'!$A$22,'Listas suspensas'!$B$23,IF(X549='Listas suspensas'!$A$23,'Listas suspensas'!$B$22,IF(X549='Listas suspensas'!$A$26,'Listas suspensas'!$B$22,IF(X549='Listas suspensas'!$A$32,'Listas suspensas'!$B$22,IF(X549='Listas suspensas'!$A$33,'Listas suspensas'!$B$21,IF(X549='Listas suspensas'!$A$24,'Listas suspensas'!$B$22,IF(X549='Listas suspensas'!$A$25,'Listas suspensas'!$B$21,IF(X549='Listas suspensas'!$A$30,'Listas suspensas'!$B$21,"")))))))))</f>
        <v>9.6</v>
      </c>
      <c r="Z549" s="8" t="s">
        <v>80</v>
      </c>
      <c r="AA549" s="8">
        <v>3</v>
      </c>
      <c r="AB549" s="8" t="str">
        <f>IF(AA549='Listas suspensas'!$A$2,'Listas suspensas'!$B$2,IF(AA549='Listas suspensas'!$A$3,'Listas suspensas'!$B$3,IF(AA549='Listas suspensas'!$A$4,'Listas suspensas'!$B$4,IF(AA549='Listas suspensas'!$A$5,'Listas suspensas'!$B$5,IF(AA549='Listas suspensas'!$A$6,'Listas suspensas'!$B$6,"")))))</f>
        <v xml:space="preserve"> Parcial e regular</v>
      </c>
      <c r="AC549" s="8" t="str">
        <f>IF(AA549='Listas suspensas'!$A$2,'Listas suspensas'!$C$2,IF(AA549='Listas suspensas'!$A$3,'Listas suspensas'!$C$3,IF(AA549='Listas suspensas'!$A$4,'Listas suspensas'!$C$4,IF(AA549='Listas suspensas'!$A$5,'Listas suspensas'!$C$5,IF(AA549='Listas suspensas'!$A$6,'Listas suspensas'!$C$6,"")))))</f>
        <v>Indica a penetração uniforme, mas não total pela extensão do alburno.</v>
      </c>
      <c r="BD549" s="13">
        <v>0.996</v>
      </c>
      <c r="BE549" s="18">
        <f t="shared" si="92"/>
        <v>996</v>
      </c>
      <c r="BF549" s="8">
        <v>0.22</v>
      </c>
      <c r="BG549" s="8">
        <v>0.126</v>
      </c>
      <c r="BH549" s="8">
        <v>0.27200000000000002</v>
      </c>
      <c r="BI549" s="13">
        <f t="shared" si="93"/>
        <v>0.61799999999999999</v>
      </c>
      <c r="BJ549" s="14">
        <v>35.6</v>
      </c>
      <c r="BK549" s="14">
        <v>20.399999999999999</v>
      </c>
      <c r="BL549" s="14">
        <v>44</v>
      </c>
      <c r="BM549" s="16">
        <f t="shared" si="87"/>
        <v>100</v>
      </c>
      <c r="BN549" s="21">
        <f t="shared" si="88"/>
        <v>2.19</v>
      </c>
      <c r="BO549" s="21">
        <f t="shared" si="89"/>
        <v>1.25</v>
      </c>
      <c r="BP549" s="21">
        <f t="shared" si="90"/>
        <v>2.71</v>
      </c>
      <c r="BQ549" s="14">
        <f t="shared" si="91"/>
        <v>6.15</v>
      </c>
      <c r="BR549" s="22" t="str">
        <f>IF(OR(AND(X549="Mourões", BQ549&gt;=6.5),AND(X549="Postes", BQ549&gt;=9.6),AND(X549="Dormentes", BQ549&gt;=9.6),AND(X549="Estacas - Solo", BQ549&gt;=6.5),AND(X549="Estacas - Suspenso", BQ549&gt;=4),AND(X549="Cruzetas", BQ549&gt;=6.5),AND(X549="Outros - Solo", BQ549&gt;=6.5),AND(X549="Outros - Suspenso",BQ549&gt;=4),AND(X549="Deck",BQ549&gt;=4)),'Listas suspensas'!$C$21,'Listas suspensas'!$C$22)</f>
        <v>Os resultados da análise química apresentaram uma retenção do produto inferior ao padrão mínimo exigido pela norma ABNT NBR 16143</v>
      </c>
    </row>
    <row r="550" spans="2:70" x14ac:dyDescent="0.25">
      <c r="B550" s="8" t="s">
        <v>1488</v>
      </c>
      <c r="C550" s="8" t="s">
        <v>71</v>
      </c>
      <c r="F550" s="11">
        <v>46000</v>
      </c>
      <c r="G550" s="11">
        <v>46001</v>
      </c>
      <c r="H550" s="11">
        <v>46008</v>
      </c>
      <c r="I550" s="8" t="s">
        <v>685</v>
      </c>
      <c r="J550" s="8" t="s">
        <v>686</v>
      </c>
      <c r="K550" s="8" t="s">
        <v>92</v>
      </c>
      <c r="L550" s="8" t="s">
        <v>15</v>
      </c>
      <c r="M550" s="30" t="s">
        <v>1613</v>
      </c>
      <c r="N550" s="8" t="s">
        <v>1165</v>
      </c>
      <c r="O550" s="8" t="s">
        <v>94</v>
      </c>
      <c r="P550" s="28" t="s">
        <v>77</v>
      </c>
      <c r="Q550" s="37" t="s">
        <v>1617</v>
      </c>
      <c r="X550" s="8" t="s">
        <v>98</v>
      </c>
      <c r="Y550" s="34">
        <f>IF(X550='Listas suspensas'!$A$21,'Listas suspensas'!$B$23,IF(X550='Listas suspensas'!$A$22,'Listas suspensas'!$B$23,IF(X550='Listas suspensas'!$A$23,'Listas suspensas'!$B$22,IF(X550='Listas suspensas'!$A$26,'Listas suspensas'!$B$22,IF(X550='Listas suspensas'!$A$32,'Listas suspensas'!$B$22,IF(X550='Listas suspensas'!$A$33,'Listas suspensas'!$B$21,IF(X550='Listas suspensas'!$A$24,'Listas suspensas'!$B$22,IF(X550='Listas suspensas'!$A$25,'Listas suspensas'!$B$21,IF(X550='Listas suspensas'!$A$30,'Listas suspensas'!$B$21,"")))))))))</f>
        <v>9.6</v>
      </c>
      <c r="Z550" s="8" t="s">
        <v>80</v>
      </c>
      <c r="AA550" s="8">
        <v>2</v>
      </c>
      <c r="AB550" s="8" t="str">
        <f>IF(AA550='Listas suspensas'!$A$2,'Listas suspensas'!$B$2,IF(AA550='Listas suspensas'!$A$3,'Listas suspensas'!$B$3,IF(AA550='Listas suspensas'!$A$4,'Listas suspensas'!$B$4,IF(AA550='Listas suspensas'!$A$5,'Listas suspensas'!$B$5,IF(AA550='Listas suspensas'!$A$6,'Listas suspensas'!$B$6,"")))))</f>
        <v>Profunda e irregular</v>
      </c>
      <c r="AC550" s="8" t="str">
        <f>IF(AA550='Listas suspensas'!$A$2,'Listas suspensas'!$C$2,IF(AA550='Listas suspensas'!$A$3,'Listas suspensas'!$C$3,IF(AA550='Listas suspensas'!$A$4,'Listas suspensas'!$C$4,IF(AA550='Listas suspensas'!$A$5,'Listas suspensas'!$C$5,IF(AA550='Listas suspensas'!$A$6,'Listas suspensas'!$C$6,"")))))</f>
        <v>Indica a penetração profunda, mas desuniforme em toda a extensão do alburno.</v>
      </c>
      <c r="BD550" s="13">
        <v>0.92200000000000004</v>
      </c>
      <c r="BE550" s="18">
        <f t="shared" si="92"/>
        <v>922</v>
      </c>
      <c r="BF550" s="8">
        <v>0.308</v>
      </c>
      <c r="BG550" s="8">
        <v>0.16600000000000001</v>
      </c>
      <c r="BH550" s="8">
        <v>0.34799999999999998</v>
      </c>
      <c r="BI550" s="13">
        <f t="shared" si="93"/>
        <v>0.82199999999999995</v>
      </c>
      <c r="BJ550" s="14">
        <v>37.5</v>
      </c>
      <c r="BK550" s="14">
        <v>20.100000000000001</v>
      </c>
      <c r="BL550" s="14">
        <v>42.4</v>
      </c>
      <c r="BM550" s="16">
        <f t="shared" si="87"/>
        <v>100</v>
      </c>
      <c r="BN550" s="21">
        <f t="shared" si="88"/>
        <v>2.84</v>
      </c>
      <c r="BO550" s="21">
        <f t="shared" si="89"/>
        <v>1.53</v>
      </c>
      <c r="BP550" s="21">
        <f t="shared" si="90"/>
        <v>3.21</v>
      </c>
      <c r="BQ550" s="14">
        <f t="shared" si="91"/>
        <v>7.58</v>
      </c>
      <c r="BR550" s="22" t="str">
        <f>IF(OR(AND(X550="Mourões", BQ550&gt;=6.5),AND(X550="Postes", BQ550&gt;=9.6),AND(X550="Dormentes", BQ550&gt;=9.6),AND(X550="Estacas - Solo", BQ550&gt;=6.5),AND(X550="Estacas - Suspenso", BQ550&gt;=4),AND(X550="Cruzetas", BQ550&gt;=6.5),AND(X550="Outros - Solo", BQ550&gt;=6.5),AND(X550="Outros - Suspenso",BQ550&gt;=4),AND(X550="Deck",BQ550&gt;=4)),'Listas suspensas'!$C$21,'Listas suspensas'!$C$22)</f>
        <v>Os resultados da análise química apresentaram uma retenção do produto inferior ao padrão mínimo exigido pela norma ABNT NBR 16143</v>
      </c>
    </row>
    <row r="551" spans="2:70" x14ac:dyDescent="0.25">
      <c r="B551" s="8" t="s">
        <v>1489</v>
      </c>
      <c r="C551" s="8" t="s">
        <v>71</v>
      </c>
      <c r="F551" s="11">
        <v>46002</v>
      </c>
      <c r="G551" s="11">
        <v>46003</v>
      </c>
      <c r="H551" s="11">
        <v>46009</v>
      </c>
      <c r="I551" s="8" t="s">
        <v>1618</v>
      </c>
      <c r="J551" s="8" t="s">
        <v>963</v>
      </c>
      <c r="K551" s="38" t="s">
        <v>144</v>
      </c>
      <c r="L551" s="8" t="s">
        <v>15</v>
      </c>
      <c r="M551" s="29" t="s">
        <v>1619</v>
      </c>
      <c r="N551" s="8" t="s">
        <v>1165</v>
      </c>
      <c r="O551" s="8" t="s">
        <v>94</v>
      </c>
      <c r="P551" s="28" t="s">
        <v>146</v>
      </c>
      <c r="Q551" s="16" t="s">
        <v>1620</v>
      </c>
      <c r="X551" s="8" t="s">
        <v>180</v>
      </c>
      <c r="Y551" s="34">
        <f>IF(X551='Listas suspensas'!$A$21,'Listas suspensas'!$B$23,IF(X551='Listas suspensas'!$A$22,'Listas suspensas'!$B$23,IF(X551='Listas suspensas'!$A$23,'Listas suspensas'!$B$22,IF(X551='Listas suspensas'!$A$26,'Listas suspensas'!$B$22,IF(X551='Listas suspensas'!$A$32,'Listas suspensas'!$B$22,IF(X551='Listas suspensas'!$A$33,'Listas suspensas'!$B$21,IF(X551='Listas suspensas'!$A$24,'Listas suspensas'!$B$22,IF(X551='Listas suspensas'!$A$25,'Listas suspensas'!$B$21,IF(X551='Listas suspensas'!$A$30,'Listas suspensas'!$B$21,"")))))))))</f>
        <v>6.5</v>
      </c>
      <c r="Z551" s="8" t="s">
        <v>80</v>
      </c>
      <c r="AA551" s="8">
        <v>3</v>
      </c>
      <c r="AB551" s="8" t="str">
        <f>IF(AA551='Listas suspensas'!$A$2,'Listas suspensas'!$B$2,IF(AA551='Listas suspensas'!$A$3,'Listas suspensas'!$B$3,IF(AA551='Listas suspensas'!$A$4,'Listas suspensas'!$B$4,IF(AA551='Listas suspensas'!$A$5,'Listas suspensas'!$B$5,IF(AA551='Listas suspensas'!$A$6,'Listas suspensas'!$B$6,"")))))</f>
        <v xml:space="preserve"> Parcial e regular</v>
      </c>
      <c r="AC551" s="8" t="str">
        <f>IF(AA551='Listas suspensas'!$A$2,'Listas suspensas'!$C$2,IF(AA551='Listas suspensas'!$A$3,'Listas suspensas'!$C$3,IF(AA551='Listas suspensas'!$A$4,'Listas suspensas'!$C$4,IF(AA551='Listas suspensas'!$A$5,'Listas suspensas'!$C$5,IF(AA551='Listas suspensas'!$A$6,'Listas suspensas'!$C$6,"")))))</f>
        <v>Indica a penetração uniforme, mas não total pela extensão do alburno.</v>
      </c>
      <c r="BD551" s="13">
        <v>0.71</v>
      </c>
      <c r="BE551" s="18">
        <f t="shared" si="92"/>
        <v>710</v>
      </c>
      <c r="BF551" s="8">
        <v>0.79500000000000004</v>
      </c>
      <c r="BG551" s="8">
        <v>0.32300000000000001</v>
      </c>
      <c r="BH551" s="8">
        <v>0.69299999999999995</v>
      </c>
      <c r="BI551" s="13">
        <f t="shared" si="93"/>
        <v>1.8109999999999999</v>
      </c>
      <c r="BJ551" s="14">
        <v>43.9</v>
      </c>
      <c r="BK551" s="14">
        <v>17.8</v>
      </c>
      <c r="BL551" s="14">
        <v>38.299999999999997</v>
      </c>
      <c r="BM551" s="16">
        <f t="shared" ref="BM551:BM614" si="94">ROUND(SUM(BJ551:BL551),2)</f>
        <v>100</v>
      </c>
      <c r="BN551" s="21">
        <f t="shared" ref="BN551:BN614" si="95">ROUND((BF551/100)*BE551,2)</f>
        <v>5.64</v>
      </c>
      <c r="BO551" s="21">
        <f t="shared" ref="BO551:BO614" si="96">ROUND((BG551/100)*BE551,2)</f>
        <v>2.29</v>
      </c>
      <c r="BP551" s="21">
        <f t="shared" ref="BP551:BP614" si="97">ROUND((BH551/100)*BE551,2)</f>
        <v>4.92</v>
      </c>
      <c r="BQ551" s="14">
        <f t="shared" ref="BQ551:BQ614" si="98">ROUND(SUM(BN551:BP551),2)</f>
        <v>12.85</v>
      </c>
      <c r="BR551" s="22" t="str">
        <f>IF(OR(AND(X551="Mourões", BQ551&gt;=6.5),AND(X551="Postes", BQ551&gt;=9.6),AND(X551="Dormentes", BQ551&gt;=9.6),AND(X551="Estacas - Solo", BQ551&gt;=6.5),AND(X551="Estacas - Suspenso", BQ551&gt;=4),AND(X551="Cruzetas", BQ551&gt;=6.5),AND(X551="Outros - Solo", BQ551&gt;=6.5),AND(X551="Outros - Suspenso",BQ551&gt;=4),AND(X551="Deck",BQ551&gt;=4)),'Listas suspensas'!$C$21,'Listas suspensas'!$C$22)</f>
        <v>Os resultados da análise química apresentaram uma retenção do produto de acordo com o padrão mínimo exigido pela norma ABNT NBR 16143</v>
      </c>
    </row>
    <row r="552" spans="2:70" x14ac:dyDescent="0.25">
      <c r="B552" s="8" t="s">
        <v>1490</v>
      </c>
      <c r="C552" s="8" t="s">
        <v>71</v>
      </c>
      <c r="F552" s="11">
        <v>46002</v>
      </c>
      <c r="G552" s="11">
        <v>46003</v>
      </c>
      <c r="H552" s="11">
        <v>46009</v>
      </c>
      <c r="I552" s="8" t="s">
        <v>533</v>
      </c>
      <c r="J552" s="8" t="s">
        <v>534</v>
      </c>
      <c r="K552" s="8" t="s">
        <v>189</v>
      </c>
      <c r="L552" s="8" t="s">
        <v>15</v>
      </c>
      <c r="M552" s="29" t="s">
        <v>535</v>
      </c>
      <c r="N552" s="8" t="s">
        <v>1165</v>
      </c>
      <c r="O552" s="8" t="s">
        <v>94</v>
      </c>
      <c r="P552" s="28" t="s">
        <v>77</v>
      </c>
      <c r="Q552" s="16" t="s">
        <v>1621</v>
      </c>
      <c r="X552" s="8" t="s">
        <v>180</v>
      </c>
      <c r="Y552" s="34">
        <f>IF(X552='Listas suspensas'!$A$21,'Listas suspensas'!$B$23,IF(X552='Listas suspensas'!$A$22,'Listas suspensas'!$B$23,IF(X552='Listas suspensas'!$A$23,'Listas suspensas'!$B$22,IF(X552='Listas suspensas'!$A$26,'Listas suspensas'!$B$22,IF(X552='Listas suspensas'!$A$32,'Listas suspensas'!$B$22,IF(X552='Listas suspensas'!$A$33,'Listas suspensas'!$B$21,IF(X552='Listas suspensas'!$A$24,'Listas suspensas'!$B$22,IF(X552='Listas suspensas'!$A$25,'Listas suspensas'!$B$21,IF(X552='Listas suspensas'!$A$30,'Listas suspensas'!$B$21,"")))))))))</f>
        <v>6.5</v>
      </c>
      <c r="Z552" s="8" t="s">
        <v>80</v>
      </c>
      <c r="AA552" s="8">
        <v>3</v>
      </c>
      <c r="AB552" s="8" t="str">
        <f>IF(AA552='Listas suspensas'!$A$2,'Listas suspensas'!$B$2,IF(AA552='Listas suspensas'!$A$3,'Listas suspensas'!$B$3,IF(AA552='Listas suspensas'!$A$4,'Listas suspensas'!$B$4,IF(AA552='Listas suspensas'!$A$5,'Listas suspensas'!$B$5,IF(AA552='Listas suspensas'!$A$6,'Listas suspensas'!$B$6,"")))))</f>
        <v xml:space="preserve"> Parcial e regular</v>
      </c>
      <c r="AC552" s="8" t="str">
        <f>IF(AA552='Listas suspensas'!$A$2,'Listas suspensas'!$C$2,IF(AA552='Listas suspensas'!$A$3,'Listas suspensas'!$C$3,IF(AA552='Listas suspensas'!$A$4,'Listas suspensas'!$C$4,IF(AA552='Listas suspensas'!$A$5,'Listas suspensas'!$C$5,IF(AA552='Listas suspensas'!$A$6,'Listas suspensas'!$C$6,"")))))</f>
        <v>Indica a penetração uniforme, mas não total pela extensão do alburno.</v>
      </c>
      <c r="BD552" s="13">
        <v>0.94399999999999995</v>
      </c>
      <c r="BE552" s="18">
        <f t="shared" si="92"/>
        <v>944</v>
      </c>
      <c r="BF552" s="8">
        <v>0.22600000000000001</v>
      </c>
      <c r="BG552" s="8">
        <v>8.5000000000000006E-2</v>
      </c>
      <c r="BH552" s="8">
        <v>0.20100000000000001</v>
      </c>
      <c r="BI552" s="13">
        <f t="shared" si="93"/>
        <v>0.51200000000000001</v>
      </c>
      <c r="BJ552" s="14">
        <v>44.1</v>
      </c>
      <c r="BK552" s="14">
        <v>16.600000000000001</v>
      </c>
      <c r="BL552" s="14">
        <v>39.299999999999997</v>
      </c>
      <c r="BM552" s="16">
        <f t="shared" si="94"/>
        <v>100</v>
      </c>
      <c r="BN552" s="21">
        <f t="shared" si="95"/>
        <v>2.13</v>
      </c>
      <c r="BO552" s="21">
        <f t="shared" si="96"/>
        <v>0.8</v>
      </c>
      <c r="BP552" s="21">
        <f t="shared" si="97"/>
        <v>1.9</v>
      </c>
      <c r="BQ552" s="14">
        <f t="shared" si="98"/>
        <v>4.83</v>
      </c>
      <c r="BR552" s="22" t="str">
        <f>IF(OR(AND(X552="Mourões", BQ552&gt;=6.5),AND(X552="Postes", BQ552&gt;=9.6),AND(X552="Dormentes", BQ552&gt;=9.6),AND(X552="Estacas - Solo", BQ552&gt;=6.5),AND(X552="Estacas - Suspenso", BQ552&gt;=4),AND(X552="Cruzetas", BQ552&gt;=6.5),AND(X552="Outros - Solo", BQ552&gt;=6.5),AND(X552="Outros - Suspenso",BQ552&gt;=4),AND(X552="Deck",BQ552&gt;=4)),'Listas suspensas'!$C$21,'Listas suspensas'!$C$22)</f>
        <v>Os resultados da análise química apresentaram uma retenção do produto inferior ao padrão mínimo exigido pela norma ABNT NBR 16143</v>
      </c>
    </row>
    <row r="553" spans="2:70" x14ac:dyDescent="0.25">
      <c r="B553" s="8" t="s">
        <v>1491</v>
      </c>
      <c r="C553" s="8" t="s">
        <v>71</v>
      </c>
      <c r="F553" s="11">
        <v>46002</v>
      </c>
      <c r="G553" s="11">
        <v>46003</v>
      </c>
      <c r="H553" s="11">
        <v>46009</v>
      </c>
      <c r="I553" s="8" t="s">
        <v>533</v>
      </c>
      <c r="J553" s="8" t="s">
        <v>534</v>
      </c>
      <c r="K553" s="8" t="s">
        <v>189</v>
      </c>
      <c r="L553" s="8" t="s">
        <v>15</v>
      </c>
      <c r="M553" s="29" t="s">
        <v>535</v>
      </c>
      <c r="N553" s="8" t="s">
        <v>1165</v>
      </c>
      <c r="O553" s="8" t="s">
        <v>94</v>
      </c>
      <c r="P553" s="28" t="s">
        <v>77</v>
      </c>
      <c r="Q553" s="16" t="s">
        <v>1622</v>
      </c>
      <c r="X553" s="8" t="s">
        <v>180</v>
      </c>
      <c r="Y553" s="34">
        <f>IF(X553='Listas suspensas'!$A$21,'Listas suspensas'!$B$23,IF(X553='Listas suspensas'!$A$22,'Listas suspensas'!$B$23,IF(X553='Listas suspensas'!$A$23,'Listas suspensas'!$B$22,IF(X553='Listas suspensas'!$A$26,'Listas suspensas'!$B$22,IF(X553='Listas suspensas'!$A$32,'Listas suspensas'!$B$22,IF(X553='Listas suspensas'!$A$33,'Listas suspensas'!$B$21,IF(X553='Listas suspensas'!$A$24,'Listas suspensas'!$B$22,IF(X553='Listas suspensas'!$A$25,'Listas suspensas'!$B$21,IF(X553='Listas suspensas'!$A$30,'Listas suspensas'!$B$21,"")))))))))</f>
        <v>6.5</v>
      </c>
      <c r="Z553" s="8" t="s">
        <v>80</v>
      </c>
      <c r="AA553" s="8">
        <v>4</v>
      </c>
      <c r="AB553" s="8" t="str">
        <f>IF(AA553='Listas suspensas'!$A$2,'Listas suspensas'!$B$2,IF(AA553='Listas suspensas'!$A$3,'Listas suspensas'!$B$3,IF(AA553='Listas suspensas'!$A$4,'Listas suspensas'!$B$4,IF(AA553='Listas suspensas'!$A$5,'Listas suspensas'!$B$5,IF(AA553='Listas suspensas'!$A$6,'Listas suspensas'!$B$6,"")))))</f>
        <v>Parcial e irregular</v>
      </c>
      <c r="AC553" s="8" t="str">
        <f>IF(AA553='Listas suspensas'!$A$2,'Listas suspensas'!$C$2,IF(AA553='Listas suspensas'!$A$3,'Listas suspensas'!$C$3,IF(AA553='Listas suspensas'!$A$4,'Listas suspensas'!$C$4,IF(AA553='Listas suspensas'!$A$5,'Listas suspensas'!$C$5,IF(AA553='Listas suspensas'!$A$6,'Listas suspensas'!$C$6,"")))))</f>
        <v>Indica a penetração desuniforme e não total pela extensão do alburno.</v>
      </c>
      <c r="BD553" s="13">
        <v>0.93300000000000005</v>
      </c>
      <c r="BE553" s="18">
        <f t="shared" si="92"/>
        <v>933</v>
      </c>
      <c r="BF553" s="8">
        <v>0.19800000000000001</v>
      </c>
      <c r="BG553" s="8">
        <v>6.9000000000000006E-2</v>
      </c>
      <c r="BH553" s="8">
        <v>0.13700000000000001</v>
      </c>
      <c r="BI553" s="13">
        <f t="shared" si="93"/>
        <v>0.40400000000000003</v>
      </c>
      <c r="BJ553" s="14">
        <v>49</v>
      </c>
      <c r="BK553" s="14">
        <v>17.2</v>
      </c>
      <c r="BL553" s="14">
        <v>33.799999999999997</v>
      </c>
      <c r="BM553" s="16">
        <f t="shared" si="94"/>
        <v>100</v>
      </c>
      <c r="BN553" s="21">
        <f t="shared" si="95"/>
        <v>1.85</v>
      </c>
      <c r="BO553" s="21">
        <f t="shared" si="96"/>
        <v>0.64</v>
      </c>
      <c r="BP553" s="21">
        <f t="shared" si="97"/>
        <v>1.28</v>
      </c>
      <c r="BQ553" s="14">
        <f t="shared" si="98"/>
        <v>3.77</v>
      </c>
      <c r="BR553" s="22" t="str">
        <f>IF(OR(AND(X553="Mourões", BQ553&gt;=6.5),AND(X553="Postes", BQ553&gt;=9.6),AND(X553="Dormentes", BQ553&gt;=9.6),AND(X553="Estacas - Solo", BQ553&gt;=6.5),AND(X553="Estacas - Suspenso", BQ553&gt;=4),AND(X553="Cruzetas", BQ553&gt;=6.5),AND(X553="Outros - Solo", BQ553&gt;=6.5),AND(X553="Outros - Suspenso",BQ553&gt;=4),AND(X553="Deck",BQ553&gt;=4)),'Listas suspensas'!$C$21,'Listas suspensas'!$C$22)</f>
        <v>Os resultados da análise química apresentaram uma retenção do produto inferior ao padrão mínimo exigido pela norma ABNT NBR 16143</v>
      </c>
    </row>
    <row r="554" spans="2:70" x14ac:dyDescent="0.25">
      <c r="B554" s="8" t="s">
        <v>1492</v>
      </c>
      <c r="C554" s="8" t="s">
        <v>71</v>
      </c>
      <c r="F554" s="11">
        <v>46002</v>
      </c>
      <c r="G554" s="11">
        <v>46003</v>
      </c>
      <c r="H554" s="11">
        <v>46009</v>
      </c>
      <c r="I554" s="8" t="s">
        <v>533</v>
      </c>
      <c r="J554" s="8" t="s">
        <v>534</v>
      </c>
      <c r="K554" s="8" t="s">
        <v>189</v>
      </c>
      <c r="L554" s="8" t="s">
        <v>15</v>
      </c>
      <c r="M554" s="29" t="s">
        <v>535</v>
      </c>
      <c r="N554" s="8" t="s">
        <v>1165</v>
      </c>
      <c r="O554" s="8" t="s">
        <v>94</v>
      </c>
      <c r="P554" s="28" t="s">
        <v>77</v>
      </c>
      <c r="Q554" s="16" t="s">
        <v>1623</v>
      </c>
      <c r="X554" s="8" t="s">
        <v>180</v>
      </c>
      <c r="Y554" s="34">
        <f>IF(X554='Listas suspensas'!$A$21,'Listas suspensas'!$B$23,IF(X554='Listas suspensas'!$A$22,'Listas suspensas'!$B$23,IF(X554='Listas suspensas'!$A$23,'Listas suspensas'!$B$22,IF(X554='Listas suspensas'!$A$26,'Listas suspensas'!$B$22,IF(X554='Listas suspensas'!$A$32,'Listas suspensas'!$B$22,IF(X554='Listas suspensas'!$A$33,'Listas suspensas'!$B$21,IF(X554='Listas suspensas'!$A$24,'Listas suspensas'!$B$22,IF(X554='Listas suspensas'!$A$25,'Listas suspensas'!$B$21,IF(X554='Listas suspensas'!$A$30,'Listas suspensas'!$B$21,"")))))))))</f>
        <v>6.5</v>
      </c>
      <c r="Z554" s="8" t="s">
        <v>80</v>
      </c>
      <c r="AA554" s="8">
        <v>4</v>
      </c>
      <c r="AB554" s="8" t="str">
        <f>IF(AA554='Listas suspensas'!$A$2,'Listas suspensas'!$B$2,IF(AA554='Listas suspensas'!$A$3,'Listas suspensas'!$B$3,IF(AA554='Listas suspensas'!$A$4,'Listas suspensas'!$B$4,IF(AA554='Listas suspensas'!$A$5,'Listas suspensas'!$B$5,IF(AA554='Listas suspensas'!$A$6,'Listas suspensas'!$B$6,"")))))</f>
        <v>Parcial e irregular</v>
      </c>
      <c r="AC554" s="8" t="str">
        <f>IF(AA554='Listas suspensas'!$A$2,'Listas suspensas'!$C$2,IF(AA554='Listas suspensas'!$A$3,'Listas suspensas'!$C$3,IF(AA554='Listas suspensas'!$A$4,'Listas suspensas'!$C$4,IF(AA554='Listas suspensas'!$A$5,'Listas suspensas'!$C$5,IF(AA554='Listas suspensas'!$A$6,'Listas suspensas'!$C$6,"")))))</f>
        <v>Indica a penetração desuniforme e não total pela extensão do alburno.</v>
      </c>
      <c r="BD554" s="13">
        <v>0.93200000000000005</v>
      </c>
      <c r="BE554" s="18">
        <f t="shared" si="92"/>
        <v>932</v>
      </c>
      <c r="BF554" s="8">
        <v>0.17100000000000001</v>
      </c>
      <c r="BG554" s="8">
        <v>9.2999999999999999E-2</v>
      </c>
      <c r="BH554" s="8">
        <v>0.16700000000000001</v>
      </c>
      <c r="BI554" s="13">
        <f t="shared" si="93"/>
        <v>0.43100000000000005</v>
      </c>
      <c r="BJ554" s="14">
        <v>39.700000000000003</v>
      </c>
      <c r="BK554" s="14">
        <v>21.6</v>
      </c>
      <c r="BL554" s="14">
        <v>38.700000000000003</v>
      </c>
      <c r="BM554" s="16">
        <f t="shared" si="94"/>
        <v>100</v>
      </c>
      <c r="BN554" s="21">
        <f t="shared" si="95"/>
        <v>1.59</v>
      </c>
      <c r="BO554" s="21">
        <f t="shared" si="96"/>
        <v>0.87</v>
      </c>
      <c r="BP554" s="21">
        <f t="shared" si="97"/>
        <v>1.56</v>
      </c>
      <c r="BQ554" s="14">
        <f t="shared" si="98"/>
        <v>4.0199999999999996</v>
      </c>
      <c r="BR554" s="22" t="str">
        <f>IF(OR(AND(X554="Mourões", BQ554&gt;=6.5),AND(X554="Postes", BQ554&gt;=9.6),AND(X554="Dormentes", BQ554&gt;=9.6),AND(X554="Estacas - Solo", BQ554&gt;=6.5),AND(X554="Estacas - Suspenso", BQ554&gt;=4),AND(X554="Cruzetas", BQ554&gt;=6.5),AND(X554="Outros - Solo", BQ554&gt;=6.5),AND(X554="Outros - Suspenso",BQ554&gt;=4),AND(X554="Deck",BQ554&gt;=4)),'Listas suspensas'!$C$21,'Listas suspensas'!$C$22)</f>
        <v>Os resultados da análise química apresentaram uma retenção do produto inferior ao padrão mínimo exigido pela norma ABNT NBR 16143</v>
      </c>
    </row>
    <row r="555" spans="2:70" x14ac:dyDescent="0.25">
      <c r="B555" s="8" t="s">
        <v>1493</v>
      </c>
      <c r="C555" s="8" t="s">
        <v>71</v>
      </c>
      <c r="F555" s="11">
        <v>46002</v>
      </c>
      <c r="G555" s="11">
        <v>46003</v>
      </c>
      <c r="H555" s="11">
        <v>46009</v>
      </c>
      <c r="I555" s="8" t="s">
        <v>533</v>
      </c>
      <c r="J555" s="8" t="s">
        <v>534</v>
      </c>
      <c r="K555" s="8" t="s">
        <v>189</v>
      </c>
      <c r="L555" s="8" t="s">
        <v>15</v>
      </c>
      <c r="M555" s="29" t="s">
        <v>535</v>
      </c>
      <c r="N555" s="8" t="s">
        <v>1165</v>
      </c>
      <c r="O555" s="8" t="s">
        <v>94</v>
      </c>
      <c r="P555" s="28" t="s">
        <v>77</v>
      </c>
      <c r="Q555" s="16" t="s">
        <v>1624</v>
      </c>
      <c r="X555" s="8" t="s">
        <v>79</v>
      </c>
      <c r="Y555" s="34">
        <f>IF(X555='Listas suspensas'!$A$21,'Listas suspensas'!$B$23,IF(X555='Listas suspensas'!$A$22,'Listas suspensas'!$B$23,IF(X555='Listas suspensas'!$A$23,'Listas suspensas'!$B$22,IF(X555='Listas suspensas'!$A$26,'Listas suspensas'!$B$22,IF(X555='Listas suspensas'!$A$32,'Listas suspensas'!$B$22,IF(X555='Listas suspensas'!$A$33,'Listas suspensas'!$B$21,IF(X555='Listas suspensas'!$A$24,'Listas suspensas'!$B$22,IF(X555='Listas suspensas'!$A$25,'Listas suspensas'!$B$21,IF(X555='Listas suspensas'!$A$30,'Listas suspensas'!$B$21,"")))))))))</f>
        <v>6.5</v>
      </c>
      <c r="Z555" s="8" t="s">
        <v>80</v>
      </c>
      <c r="AA555" s="8">
        <v>3</v>
      </c>
      <c r="AB555" s="8" t="str">
        <f>IF(AA555='Listas suspensas'!$A$2,'Listas suspensas'!$B$2,IF(AA555='Listas suspensas'!$A$3,'Listas suspensas'!$B$3,IF(AA555='Listas suspensas'!$A$4,'Listas suspensas'!$B$4,IF(AA555='Listas suspensas'!$A$5,'Listas suspensas'!$B$5,IF(AA555='Listas suspensas'!$A$6,'Listas suspensas'!$B$6,"")))))</f>
        <v xml:space="preserve"> Parcial e regular</v>
      </c>
      <c r="AC555" s="8" t="str">
        <f>IF(AA555='Listas suspensas'!$A$2,'Listas suspensas'!$C$2,IF(AA555='Listas suspensas'!$A$3,'Listas suspensas'!$C$3,IF(AA555='Listas suspensas'!$A$4,'Listas suspensas'!$C$4,IF(AA555='Listas suspensas'!$A$5,'Listas suspensas'!$C$5,IF(AA555='Listas suspensas'!$A$6,'Listas suspensas'!$C$6,"")))))</f>
        <v>Indica a penetração uniforme, mas não total pela extensão do alburno.</v>
      </c>
      <c r="BD555" s="13">
        <v>0.90400000000000003</v>
      </c>
      <c r="BE555" s="18">
        <f t="shared" si="92"/>
        <v>904</v>
      </c>
      <c r="BF555" s="8">
        <v>0.29599999999999999</v>
      </c>
      <c r="BG555" s="8">
        <v>0.112</v>
      </c>
      <c r="BH555" s="8">
        <v>0.26</v>
      </c>
      <c r="BI555" s="13">
        <f t="shared" si="93"/>
        <v>0.66799999999999993</v>
      </c>
      <c r="BJ555" s="14">
        <v>44.4</v>
      </c>
      <c r="BK555" s="14">
        <v>16.7</v>
      </c>
      <c r="BL555" s="14">
        <v>38.9</v>
      </c>
      <c r="BM555" s="16">
        <f t="shared" si="94"/>
        <v>100</v>
      </c>
      <c r="BN555" s="21">
        <f t="shared" si="95"/>
        <v>2.68</v>
      </c>
      <c r="BO555" s="21">
        <f t="shared" si="96"/>
        <v>1.01</v>
      </c>
      <c r="BP555" s="21">
        <f t="shared" si="97"/>
        <v>2.35</v>
      </c>
      <c r="BQ555" s="14">
        <f t="shared" si="98"/>
        <v>6.04</v>
      </c>
      <c r="BR555" s="22" t="str">
        <f>IF(OR(AND(X555="Mourões", BQ555&gt;=6.5),AND(X555="Postes", BQ555&gt;=9.6),AND(X555="Dormentes", BQ555&gt;=9.6),AND(X555="Estacas - Solo", BQ555&gt;=6.5),AND(X555="Estacas - Suspenso", BQ555&gt;=4),AND(X555="Cruzetas", BQ555&gt;=6.5),AND(X555="Outros - Solo", BQ555&gt;=6.5),AND(X555="Outros - Suspenso",BQ555&gt;=4),AND(X555="Deck",BQ555&gt;=4)),'Listas suspensas'!$C$21,'Listas suspensas'!$C$22)</f>
        <v>Os resultados da análise química apresentaram uma retenção do produto inferior ao padrão mínimo exigido pela norma ABNT NBR 16143</v>
      </c>
    </row>
    <row r="556" spans="2:70" x14ac:dyDescent="0.25">
      <c r="B556" s="8" t="s">
        <v>1494</v>
      </c>
      <c r="C556" s="8" t="s">
        <v>71</v>
      </c>
      <c r="F556" s="11">
        <v>46002</v>
      </c>
      <c r="G556" s="11">
        <v>46003</v>
      </c>
      <c r="H556" s="11">
        <v>46009</v>
      </c>
      <c r="I556" s="8" t="s">
        <v>1627</v>
      </c>
      <c r="J556" s="8" t="s">
        <v>697</v>
      </c>
      <c r="K556" s="8" t="s">
        <v>202</v>
      </c>
      <c r="L556" s="8" t="s">
        <v>15</v>
      </c>
      <c r="M556" s="30" t="s">
        <v>1626</v>
      </c>
      <c r="N556" s="8" t="s">
        <v>1165</v>
      </c>
      <c r="O556" s="8" t="s">
        <v>104</v>
      </c>
      <c r="P556" s="28" t="s">
        <v>146</v>
      </c>
      <c r="Q556" s="16" t="s">
        <v>620</v>
      </c>
      <c r="X556" s="8" t="s">
        <v>79</v>
      </c>
      <c r="Y556" s="34">
        <f>IF(X556='Listas suspensas'!$A$21,'Listas suspensas'!$B$23,IF(X556='Listas suspensas'!$A$22,'Listas suspensas'!$B$23,IF(X556='Listas suspensas'!$A$23,'Listas suspensas'!$B$22,IF(X556='Listas suspensas'!$A$26,'Listas suspensas'!$B$22,IF(X556='Listas suspensas'!$A$32,'Listas suspensas'!$B$22,IF(X556='Listas suspensas'!$A$33,'Listas suspensas'!$B$21,IF(X556='Listas suspensas'!$A$24,'Listas suspensas'!$B$22,IF(X556='Listas suspensas'!$A$25,'Listas suspensas'!$B$21,IF(X556='Listas suspensas'!$A$30,'Listas suspensas'!$B$21,"")))))))))</f>
        <v>6.5</v>
      </c>
      <c r="Z556" s="8" t="s">
        <v>80</v>
      </c>
      <c r="AA556" s="8">
        <v>1</v>
      </c>
      <c r="AB556" s="8" t="str">
        <f>IF(AA556='Listas suspensas'!$A$2,'Listas suspensas'!$B$2,IF(AA556='Listas suspensas'!$A$3,'Listas suspensas'!$B$3,IF(AA556='Listas suspensas'!$A$4,'Listas suspensas'!$B$4,IF(AA556='Listas suspensas'!$A$5,'Listas suspensas'!$B$5,IF(AA556='Listas suspensas'!$A$6,'Listas suspensas'!$B$6,"")))))</f>
        <v>Profunda e regular</v>
      </c>
      <c r="AC556" s="8" t="str">
        <f>IF(AA556='Listas suspensas'!$A$2,'Listas suspensas'!$C$2,IF(AA556='Listas suspensas'!$A$3,'Listas suspensas'!$C$3,IF(AA556='Listas suspensas'!$A$4,'Listas suspensas'!$C$4,IF(AA556='Listas suspensas'!$A$5,'Listas suspensas'!$C$5,IF(AA556='Listas suspensas'!$A$6,'Listas suspensas'!$C$6,"")))))</f>
        <v>Indica a penetração profunda e uniforme em toda a extensão do alburno.</v>
      </c>
      <c r="BD556" s="13">
        <v>0.57199999999999995</v>
      </c>
      <c r="BE556" s="18">
        <f t="shared" si="92"/>
        <v>572</v>
      </c>
      <c r="BF556" s="8">
        <v>0.68899999999999995</v>
      </c>
      <c r="BG556" s="8">
        <v>0.30499999999999999</v>
      </c>
      <c r="BH556" s="8">
        <v>0.67100000000000004</v>
      </c>
      <c r="BI556" s="13">
        <f t="shared" si="93"/>
        <v>1.665</v>
      </c>
      <c r="BJ556" s="14">
        <v>41.4</v>
      </c>
      <c r="BK556" s="14">
        <v>18.3</v>
      </c>
      <c r="BL556" s="14">
        <v>40.299999999999997</v>
      </c>
      <c r="BM556" s="16">
        <f t="shared" si="94"/>
        <v>100</v>
      </c>
      <c r="BN556" s="21">
        <f t="shared" si="95"/>
        <v>3.94</v>
      </c>
      <c r="BO556" s="21">
        <f t="shared" si="96"/>
        <v>1.74</v>
      </c>
      <c r="BP556" s="21">
        <f t="shared" si="97"/>
        <v>3.84</v>
      </c>
      <c r="BQ556" s="14">
        <f t="shared" si="98"/>
        <v>9.52</v>
      </c>
      <c r="BR556" s="22" t="str">
        <f>IF(OR(AND(X556="Mourões", BQ556&gt;=6.5),AND(X556="Postes", BQ556&gt;=9.6),AND(X556="Dormentes", BQ556&gt;=9.6),AND(X556="Estacas - Solo", BQ556&gt;=6.5),AND(X556="Estacas - Suspenso", BQ556&gt;=4),AND(X556="Cruzetas", BQ556&gt;=6.5),AND(X556="Outros - Solo", BQ556&gt;=6.5),AND(X556="Outros - Suspenso",BQ556&gt;=4),AND(X556="Deck",BQ556&gt;=4)),'Listas suspensas'!$C$21,'Listas suspensas'!$C$22)</f>
        <v>Os resultados da análise química apresentaram uma retenção do produto de acordo com o padrão mínimo exigido pela norma ABNT NBR 16143</v>
      </c>
    </row>
    <row r="557" spans="2:70" x14ac:dyDescent="0.25">
      <c r="B557" s="8" t="s">
        <v>1495</v>
      </c>
      <c r="C557" s="8" t="s">
        <v>71</v>
      </c>
      <c r="F557" s="11">
        <v>46002</v>
      </c>
      <c r="G557" s="11">
        <v>46003</v>
      </c>
      <c r="H557" s="11">
        <v>46009</v>
      </c>
      <c r="I557" s="8" t="s">
        <v>1627</v>
      </c>
      <c r="J557" s="8" t="s">
        <v>697</v>
      </c>
      <c r="K557" s="8" t="s">
        <v>202</v>
      </c>
      <c r="L557" s="8" t="s">
        <v>15</v>
      </c>
      <c r="M557" s="30" t="s">
        <v>1626</v>
      </c>
      <c r="N557" s="8" t="s">
        <v>1165</v>
      </c>
      <c r="O557" s="8" t="s">
        <v>104</v>
      </c>
      <c r="P557" s="28" t="s">
        <v>146</v>
      </c>
      <c r="Q557" s="16" t="s">
        <v>622</v>
      </c>
      <c r="X557" s="8" t="s">
        <v>79</v>
      </c>
      <c r="Y557" s="34">
        <f>IF(X557='Listas suspensas'!$A$21,'Listas suspensas'!$B$23,IF(X557='Listas suspensas'!$A$22,'Listas suspensas'!$B$23,IF(X557='Listas suspensas'!$A$23,'Listas suspensas'!$B$22,IF(X557='Listas suspensas'!$A$26,'Listas suspensas'!$B$22,IF(X557='Listas suspensas'!$A$32,'Listas suspensas'!$B$22,IF(X557='Listas suspensas'!$A$33,'Listas suspensas'!$B$21,IF(X557='Listas suspensas'!$A$24,'Listas suspensas'!$B$22,IF(X557='Listas suspensas'!$A$25,'Listas suspensas'!$B$21,IF(X557='Listas suspensas'!$A$30,'Listas suspensas'!$B$21,"")))))))))</f>
        <v>6.5</v>
      </c>
      <c r="Z557" s="8" t="s">
        <v>80</v>
      </c>
      <c r="AA557" s="8">
        <v>1</v>
      </c>
      <c r="AB557" s="8" t="str">
        <f>IF(AA557='Listas suspensas'!$A$2,'Listas suspensas'!$B$2,IF(AA557='Listas suspensas'!$A$3,'Listas suspensas'!$B$3,IF(AA557='Listas suspensas'!$A$4,'Listas suspensas'!$B$4,IF(AA557='Listas suspensas'!$A$5,'Listas suspensas'!$B$5,IF(AA557='Listas suspensas'!$A$6,'Listas suspensas'!$B$6,"")))))</f>
        <v>Profunda e regular</v>
      </c>
      <c r="AC557" s="8" t="str">
        <f>IF(AA557='Listas suspensas'!$A$2,'Listas suspensas'!$C$2,IF(AA557='Listas suspensas'!$A$3,'Listas suspensas'!$C$3,IF(AA557='Listas suspensas'!$A$4,'Listas suspensas'!$C$4,IF(AA557='Listas suspensas'!$A$5,'Listas suspensas'!$C$5,IF(AA557='Listas suspensas'!$A$6,'Listas suspensas'!$C$6,"")))))</f>
        <v>Indica a penetração profunda e uniforme em toda a extensão do alburno.</v>
      </c>
      <c r="BD557" s="13">
        <v>0.55400000000000005</v>
      </c>
      <c r="BE557" s="18">
        <f t="shared" si="92"/>
        <v>554</v>
      </c>
      <c r="BF557" s="8">
        <v>0.755</v>
      </c>
      <c r="BG557" s="8">
        <v>0.307</v>
      </c>
      <c r="BH557" s="8">
        <v>0.69799999999999995</v>
      </c>
      <c r="BI557" s="13">
        <f t="shared" si="93"/>
        <v>1.76</v>
      </c>
      <c r="BJ557" s="14">
        <v>42.9</v>
      </c>
      <c r="BK557" s="14">
        <v>17.399999999999999</v>
      </c>
      <c r="BL557" s="14">
        <v>39.700000000000003</v>
      </c>
      <c r="BM557" s="16">
        <f t="shared" si="94"/>
        <v>100</v>
      </c>
      <c r="BN557" s="21">
        <f t="shared" si="95"/>
        <v>4.18</v>
      </c>
      <c r="BO557" s="21">
        <f t="shared" si="96"/>
        <v>1.7</v>
      </c>
      <c r="BP557" s="21">
        <f t="shared" si="97"/>
        <v>3.87</v>
      </c>
      <c r="BQ557" s="14">
        <f t="shared" si="98"/>
        <v>9.75</v>
      </c>
      <c r="BR557" s="22" t="str">
        <f>IF(OR(AND(X557="Mourões", BQ557&gt;=6.5),AND(X557="Postes", BQ557&gt;=9.6),AND(X557="Dormentes", BQ557&gt;=9.6),AND(X557="Estacas - Solo", BQ557&gt;=6.5),AND(X557="Estacas - Suspenso", BQ557&gt;=4),AND(X557="Cruzetas", BQ557&gt;=6.5),AND(X557="Outros - Solo", BQ557&gt;=6.5),AND(X557="Outros - Suspenso",BQ557&gt;=4),AND(X557="Deck",BQ557&gt;=4)),'Listas suspensas'!$C$21,'Listas suspensas'!$C$22)</f>
        <v>Os resultados da análise química apresentaram uma retenção do produto de acordo com o padrão mínimo exigido pela norma ABNT NBR 16143</v>
      </c>
    </row>
    <row r="558" spans="2:70" x14ac:dyDescent="0.25">
      <c r="B558" s="8" t="s">
        <v>1496</v>
      </c>
      <c r="C558" s="8" t="s">
        <v>71</v>
      </c>
      <c r="F558" s="11">
        <v>46002</v>
      </c>
      <c r="G558" s="11">
        <v>46003</v>
      </c>
      <c r="H558" s="11">
        <v>46009</v>
      </c>
      <c r="I558" s="8" t="s">
        <v>1627</v>
      </c>
      <c r="J558" s="8" t="s">
        <v>697</v>
      </c>
      <c r="K558" s="8" t="s">
        <v>202</v>
      </c>
      <c r="L558" s="8" t="s">
        <v>15</v>
      </c>
      <c r="M558" s="30" t="s">
        <v>1626</v>
      </c>
      <c r="N558" s="8" t="s">
        <v>1165</v>
      </c>
      <c r="O558" s="8" t="s">
        <v>104</v>
      </c>
      <c r="P558" s="28" t="s">
        <v>146</v>
      </c>
      <c r="Q558" s="16" t="s">
        <v>624</v>
      </c>
      <c r="X558" s="8" t="s">
        <v>79</v>
      </c>
      <c r="Y558" s="34">
        <f>IF(X558='Listas suspensas'!$A$21,'Listas suspensas'!$B$23,IF(X558='Listas suspensas'!$A$22,'Listas suspensas'!$B$23,IF(X558='Listas suspensas'!$A$23,'Listas suspensas'!$B$22,IF(X558='Listas suspensas'!$A$26,'Listas suspensas'!$B$22,IF(X558='Listas suspensas'!$A$32,'Listas suspensas'!$B$22,IF(X558='Listas suspensas'!$A$33,'Listas suspensas'!$B$21,IF(X558='Listas suspensas'!$A$24,'Listas suspensas'!$B$22,IF(X558='Listas suspensas'!$A$25,'Listas suspensas'!$B$21,IF(X558='Listas suspensas'!$A$30,'Listas suspensas'!$B$21,"")))))))))</f>
        <v>6.5</v>
      </c>
      <c r="Z558" s="8" t="s">
        <v>80</v>
      </c>
      <c r="AA558" s="8">
        <v>1</v>
      </c>
      <c r="AB558" s="8" t="str">
        <f>IF(AA558='Listas suspensas'!$A$2,'Listas suspensas'!$B$2,IF(AA558='Listas suspensas'!$A$3,'Listas suspensas'!$B$3,IF(AA558='Listas suspensas'!$A$4,'Listas suspensas'!$B$4,IF(AA558='Listas suspensas'!$A$5,'Listas suspensas'!$B$5,IF(AA558='Listas suspensas'!$A$6,'Listas suspensas'!$B$6,"")))))</f>
        <v>Profunda e regular</v>
      </c>
      <c r="AC558" s="8" t="str">
        <f>IF(AA558='Listas suspensas'!$A$2,'Listas suspensas'!$C$2,IF(AA558='Listas suspensas'!$A$3,'Listas suspensas'!$C$3,IF(AA558='Listas suspensas'!$A$4,'Listas suspensas'!$C$4,IF(AA558='Listas suspensas'!$A$5,'Listas suspensas'!$C$5,IF(AA558='Listas suspensas'!$A$6,'Listas suspensas'!$C$6,"")))))</f>
        <v>Indica a penetração profunda e uniforme em toda a extensão do alburno.</v>
      </c>
      <c r="BD558" s="13">
        <v>0.55500000000000005</v>
      </c>
      <c r="BE558" s="18">
        <f t="shared" si="92"/>
        <v>555</v>
      </c>
      <c r="BF558" s="8">
        <v>0.874</v>
      </c>
      <c r="BG558" s="8">
        <v>0.33400000000000002</v>
      </c>
      <c r="BH558" s="8">
        <v>0.77700000000000002</v>
      </c>
      <c r="BI558" s="13">
        <f t="shared" si="93"/>
        <v>1.9849999999999999</v>
      </c>
      <c r="BJ558" s="14">
        <v>44</v>
      </c>
      <c r="BK558" s="14">
        <v>16.899999999999999</v>
      </c>
      <c r="BL558" s="14">
        <v>39.1</v>
      </c>
      <c r="BM558" s="16">
        <f t="shared" si="94"/>
        <v>100</v>
      </c>
      <c r="BN558" s="21">
        <f t="shared" si="95"/>
        <v>4.8499999999999996</v>
      </c>
      <c r="BO558" s="21">
        <f t="shared" si="96"/>
        <v>1.85</v>
      </c>
      <c r="BP558" s="21">
        <f t="shared" si="97"/>
        <v>4.3099999999999996</v>
      </c>
      <c r="BQ558" s="14">
        <f t="shared" si="98"/>
        <v>11.01</v>
      </c>
      <c r="BR558" s="22" t="str">
        <f>IF(OR(AND(X558="Mourões", BQ558&gt;=6.5),AND(X558="Postes", BQ558&gt;=9.6),AND(X558="Dormentes", BQ558&gt;=9.6),AND(X558="Estacas - Solo", BQ558&gt;=6.5),AND(X558="Estacas - Suspenso", BQ558&gt;=4),AND(X558="Cruzetas", BQ558&gt;=6.5),AND(X558="Outros - Solo", BQ558&gt;=6.5),AND(X558="Outros - Suspenso",BQ558&gt;=4),AND(X558="Deck",BQ558&gt;=4)),'Listas suspensas'!$C$21,'Listas suspensas'!$C$22)</f>
        <v>Os resultados da análise química apresentaram uma retenção do produto de acordo com o padrão mínimo exigido pela norma ABNT NBR 16143</v>
      </c>
    </row>
    <row r="559" spans="2:70" x14ac:dyDescent="0.25">
      <c r="B559" s="8" t="s">
        <v>1497</v>
      </c>
      <c r="C559" s="8" t="s">
        <v>71</v>
      </c>
      <c r="F559" s="11">
        <v>46002</v>
      </c>
      <c r="G559" s="11">
        <v>46003</v>
      </c>
      <c r="H559" s="11">
        <v>46009</v>
      </c>
      <c r="I559" s="8" t="s">
        <v>1627</v>
      </c>
      <c r="J559" s="8" t="s">
        <v>697</v>
      </c>
      <c r="K559" s="8" t="s">
        <v>202</v>
      </c>
      <c r="L559" s="8" t="s">
        <v>15</v>
      </c>
      <c r="M559" s="30" t="s">
        <v>1626</v>
      </c>
      <c r="N559" s="8" t="s">
        <v>1165</v>
      </c>
      <c r="O559" s="8" t="s">
        <v>104</v>
      </c>
      <c r="P559" s="28" t="s">
        <v>146</v>
      </c>
      <c r="Q559" s="16" t="s">
        <v>626</v>
      </c>
      <c r="X559" s="8" t="s">
        <v>79</v>
      </c>
      <c r="Y559" s="34">
        <f>IF(X559='Listas suspensas'!$A$21,'Listas suspensas'!$B$23,IF(X559='Listas suspensas'!$A$22,'Listas suspensas'!$B$23,IF(X559='Listas suspensas'!$A$23,'Listas suspensas'!$B$22,IF(X559='Listas suspensas'!$A$26,'Listas suspensas'!$B$22,IF(X559='Listas suspensas'!$A$32,'Listas suspensas'!$B$22,IF(X559='Listas suspensas'!$A$33,'Listas suspensas'!$B$21,IF(X559='Listas suspensas'!$A$24,'Listas suspensas'!$B$22,IF(X559='Listas suspensas'!$A$25,'Listas suspensas'!$B$21,IF(X559='Listas suspensas'!$A$30,'Listas suspensas'!$B$21,"")))))))))</f>
        <v>6.5</v>
      </c>
      <c r="Z559" s="8" t="s">
        <v>80</v>
      </c>
      <c r="AA559" s="8">
        <v>1</v>
      </c>
      <c r="AB559" s="8" t="str">
        <f>IF(AA559='Listas suspensas'!$A$2,'Listas suspensas'!$B$2,IF(AA559='Listas suspensas'!$A$3,'Listas suspensas'!$B$3,IF(AA559='Listas suspensas'!$A$4,'Listas suspensas'!$B$4,IF(AA559='Listas suspensas'!$A$5,'Listas suspensas'!$B$5,IF(AA559='Listas suspensas'!$A$6,'Listas suspensas'!$B$6,"")))))</f>
        <v>Profunda e regular</v>
      </c>
      <c r="AC559" s="8" t="str">
        <f>IF(AA559='Listas suspensas'!$A$2,'Listas suspensas'!$C$2,IF(AA559='Listas suspensas'!$A$3,'Listas suspensas'!$C$3,IF(AA559='Listas suspensas'!$A$4,'Listas suspensas'!$C$4,IF(AA559='Listas suspensas'!$A$5,'Listas suspensas'!$C$5,IF(AA559='Listas suspensas'!$A$6,'Listas suspensas'!$C$6,"")))))</f>
        <v>Indica a penetração profunda e uniforme em toda a extensão do alburno.</v>
      </c>
      <c r="BD559" s="13">
        <v>0.55300000000000005</v>
      </c>
      <c r="BE559" s="18">
        <f t="shared" si="92"/>
        <v>553</v>
      </c>
      <c r="BF559" s="8">
        <v>0.86799999999999999</v>
      </c>
      <c r="BG559" s="8">
        <v>0.29499999999999998</v>
      </c>
      <c r="BH559" s="8">
        <v>0.57999999999999996</v>
      </c>
      <c r="BI559" s="13">
        <f t="shared" si="93"/>
        <v>1.7429999999999999</v>
      </c>
      <c r="BJ559" s="14">
        <v>49.8</v>
      </c>
      <c r="BK559" s="14">
        <v>16.899999999999999</v>
      </c>
      <c r="BL559" s="14">
        <v>33.299999999999997</v>
      </c>
      <c r="BM559" s="16">
        <f t="shared" si="94"/>
        <v>100</v>
      </c>
      <c r="BN559" s="21">
        <f t="shared" si="95"/>
        <v>4.8</v>
      </c>
      <c r="BO559" s="21">
        <f t="shared" si="96"/>
        <v>1.63</v>
      </c>
      <c r="BP559" s="21">
        <f t="shared" si="97"/>
        <v>3.21</v>
      </c>
      <c r="BQ559" s="14">
        <f t="shared" si="98"/>
        <v>9.64</v>
      </c>
      <c r="BR559" s="22" t="str">
        <f>IF(OR(AND(X559="Mourões", BQ559&gt;=6.5),AND(X559="Postes", BQ559&gt;=9.6),AND(X559="Dormentes", BQ559&gt;=9.6),AND(X559="Estacas - Solo", BQ559&gt;=6.5),AND(X559="Estacas - Suspenso", BQ559&gt;=4),AND(X559="Cruzetas", BQ559&gt;=6.5),AND(X559="Outros - Solo", BQ559&gt;=6.5),AND(X559="Outros - Suspenso",BQ559&gt;=4),AND(X559="Deck",BQ559&gt;=4)),'Listas suspensas'!$C$21,'Listas suspensas'!$C$22)</f>
        <v>Os resultados da análise química apresentaram uma retenção do produto de acordo com o padrão mínimo exigido pela norma ABNT NBR 16143</v>
      </c>
    </row>
    <row r="560" spans="2:70" x14ac:dyDescent="0.25">
      <c r="B560" s="8" t="s">
        <v>1498</v>
      </c>
      <c r="C560" s="8" t="s">
        <v>71</v>
      </c>
      <c r="F560" s="11">
        <v>46002</v>
      </c>
      <c r="G560" s="11">
        <v>46003</v>
      </c>
      <c r="H560" s="11">
        <v>46009</v>
      </c>
      <c r="I560" s="8" t="s">
        <v>1627</v>
      </c>
      <c r="J560" s="8" t="s">
        <v>697</v>
      </c>
      <c r="K560" s="8" t="s">
        <v>202</v>
      </c>
      <c r="L560" s="8" t="s">
        <v>15</v>
      </c>
      <c r="M560" s="30" t="s">
        <v>1626</v>
      </c>
      <c r="N560" s="8" t="s">
        <v>1165</v>
      </c>
      <c r="O560" s="8" t="s">
        <v>104</v>
      </c>
      <c r="P560" s="28" t="s">
        <v>146</v>
      </c>
      <c r="Q560" s="16" t="s">
        <v>628</v>
      </c>
      <c r="X560" s="8" t="s">
        <v>79</v>
      </c>
      <c r="Y560" s="34">
        <f>IF(X560='Listas suspensas'!$A$21,'Listas suspensas'!$B$23,IF(X560='Listas suspensas'!$A$22,'Listas suspensas'!$B$23,IF(X560='Listas suspensas'!$A$23,'Listas suspensas'!$B$22,IF(X560='Listas suspensas'!$A$26,'Listas suspensas'!$B$22,IF(X560='Listas suspensas'!$A$32,'Listas suspensas'!$B$22,IF(X560='Listas suspensas'!$A$33,'Listas suspensas'!$B$21,IF(X560='Listas suspensas'!$A$24,'Listas suspensas'!$B$22,IF(X560='Listas suspensas'!$A$25,'Listas suspensas'!$B$21,IF(X560='Listas suspensas'!$A$30,'Listas suspensas'!$B$21,"")))))))))</f>
        <v>6.5</v>
      </c>
      <c r="Z560" s="8" t="s">
        <v>80</v>
      </c>
      <c r="AA560" s="8">
        <v>1</v>
      </c>
      <c r="AB560" s="8" t="str">
        <f>IF(AA560='Listas suspensas'!$A$2,'Listas suspensas'!$B$2,IF(AA560='Listas suspensas'!$A$3,'Listas suspensas'!$B$3,IF(AA560='Listas suspensas'!$A$4,'Listas suspensas'!$B$4,IF(AA560='Listas suspensas'!$A$5,'Listas suspensas'!$B$5,IF(AA560='Listas suspensas'!$A$6,'Listas suspensas'!$B$6,"")))))</f>
        <v>Profunda e regular</v>
      </c>
      <c r="AC560" s="8" t="str">
        <f>IF(AA560='Listas suspensas'!$A$2,'Listas suspensas'!$C$2,IF(AA560='Listas suspensas'!$A$3,'Listas suspensas'!$C$3,IF(AA560='Listas suspensas'!$A$4,'Listas suspensas'!$C$4,IF(AA560='Listas suspensas'!$A$5,'Listas suspensas'!$C$5,IF(AA560='Listas suspensas'!$A$6,'Listas suspensas'!$C$6,"")))))</f>
        <v>Indica a penetração profunda e uniforme em toda a extensão do alburno.</v>
      </c>
      <c r="BD560" s="13">
        <v>0.60899999999999999</v>
      </c>
      <c r="BE560" s="18">
        <f t="shared" si="92"/>
        <v>609</v>
      </c>
      <c r="BF560" s="8">
        <v>0.90900000000000003</v>
      </c>
      <c r="BG560" s="8">
        <v>0.34599999999999997</v>
      </c>
      <c r="BH560" s="8">
        <v>0.77500000000000002</v>
      </c>
      <c r="BI560" s="13">
        <f t="shared" si="93"/>
        <v>2.0299999999999998</v>
      </c>
      <c r="BJ560" s="14">
        <v>44.8</v>
      </c>
      <c r="BK560" s="14">
        <v>17.100000000000001</v>
      </c>
      <c r="BL560" s="14">
        <v>38.1</v>
      </c>
      <c r="BM560" s="16">
        <f t="shared" si="94"/>
        <v>100</v>
      </c>
      <c r="BN560" s="21">
        <f t="shared" si="95"/>
        <v>5.54</v>
      </c>
      <c r="BO560" s="21">
        <f t="shared" si="96"/>
        <v>2.11</v>
      </c>
      <c r="BP560" s="21">
        <f t="shared" si="97"/>
        <v>4.72</v>
      </c>
      <c r="BQ560" s="14">
        <f t="shared" si="98"/>
        <v>12.37</v>
      </c>
      <c r="BR560" s="22" t="str">
        <f>IF(OR(AND(X560="Mourões", BQ560&gt;=6.5),AND(X560="Postes", BQ560&gt;=9.6),AND(X560="Dormentes", BQ560&gt;=9.6),AND(X560="Estacas - Solo", BQ560&gt;=6.5),AND(X560="Estacas - Suspenso", BQ560&gt;=4),AND(X560="Cruzetas", BQ560&gt;=6.5),AND(X560="Outros - Solo", BQ560&gt;=6.5),AND(X560="Outros - Suspenso",BQ560&gt;=4),AND(X560="Deck",BQ560&gt;=4)),'Listas suspensas'!$C$21,'Listas suspensas'!$C$22)</f>
        <v>Os resultados da análise química apresentaram uma retenção do produto de acordo com o padrão mínimo exigido pela norma ABNT NBR 16143</v>
      </c>
    </row>
    <row r="561" spans="2:70" x14ac:dyDescent="0.25">
      <c r="B561" s="8" t="s">
        <v>1499</v>
      </c>
      <c r="C561" s="8" t="s">
        <v>71</v>
      </c>
      <c r="F561" s="11">
        <v>46002</v>
      </c>
      <c r="G561" s="11">
        <v>46003</v>
      </c>
      <c r="H561" s="11">
        <v>46009</v>
      </c>
      <c r="I561" s="8" t="s">
        <v>1627</v>
      </c>
      <c r="J561" s="8" t="s">
        <v>697</v>
      </c>
      <c r="K561" s="8" t="s">
        <v>202</v>
      </c>
      <c r="L561" s="8" t="s">
        <v>15</v>
      </c>
      <c r="M561" s="30" t="s">
        <v>1626</v>
      </c>
      <c r="N561" s="8" t="s">
        <v>1165</v>
      </c>
      <c r="O561" s="8" t="s">
        <v>104</v>
      </c>
      <c r="P561" s="28" t="s">
        <v>146</v>
      </c>
      <c r="Q561" s="16" t="s">
        <v>1039</v>
      </c>
      <c r="X561" s="8" t="s">
        <v>79</v>
      </c>
      <c r="Y561" s="34">
        <f>IF(X561='Listas suspensas'!$A$21,'Listas suspensas'!$B$23,IF(X561='Listas suspensas'!$A$22,'Listas suspensas'!$B$23,IF(X561='Listas suspensas'!$A$23,'Listas suspensas'!$B$22,IF(X561='Listas suspensas'!$A$26,'Listas suspensas'!$B$22,IF(X561='Listas suspensas'!$A$32,'Listas suspensas'!$B$22,IF(X561='Listas suspensas'!$A$33,'Listas suspensas'!$B$21,IF(X561='Listas suspensas'!$A$24,'Listas suspensas'!$B$22,IF(X561='Listas suspensas'!$A$25,'Listas suspensas'!$B$21,IF(X561='Listas suspensas'!$A$30,'Listas suspensas'!$B$21,"")))))))))</f>
        <v>6.5</v>
      </c>
      <c r="Z561" s="8" t="s">
        <v>80</v>
      </c>
      <c r="AA561" s="8">
        <v>1</v>
      </c>
      <c r="AB561" s="8" t="str">
        <f>IF(AA561='Listas suspensas'!$A$2,'Listas suspensas'!$B$2,IF(AA561='Listas suspensas'!$A$3,'Listas suspensas'!$B$3,IF(AA561='Listas suspensas'!$A$4,'Listas suspensas'!$B$4,IF(AA561='Listas suspensas'!$A$5,'Listas suspensas'!$B$5,IF(AA561='Listas suspensas'!$A$6,'Listas suspensas'!$B$6,"")))))</f>
        <v>Profunda e regular</v>
      </c>
      <c r="AC561" s="8" t="str">
        <f>IF(AA561='Listas suspensas'!$A$2,'Listas suspensas'!$C$2,IF(AA561='Listas suspensas'!$A$3,'Listas suspensas'!$C$3,IF(AA561='Listas suspensas'!$A$4,'Listas suspensas'!$C$4,IF(AA561='Listas suspensas'!$A$5,'Listas suspensas'!$C$5,IF(AA561='Listas suspensas'!$A$6,'Listas suspensas'!$C$6,"")))))</f>
        <v>Indica a penetração profunda e uniforme em toda a extensão do alburno.</v>
      </c>
      <c r="BD561" s="13">
        <v>0.56299999999999994</v>
      </c>
      <c r="BE561" s="18">
        <f t="shared" si="92"/>
        <v>563</v>
      </c>
      <c r="BF561" s="8">
        <v>0.95599999999999996</v>
      </c>
      <c r="BG561" s="8">
        <v>0.36299999999999999</v>
      </c>
      <c r="BH561" s="8">
        <v>0.80500000000000005</v>
      </c>
      <c r="BI561" s="13">
        <f t="shared" si="93"/>
        <v>2.1240000000000001</v>
      </c>
      <c r="BJ561" s="14">
        <v>45</v>
      </c>
      <c r="BK561" s="14">
        <v>17.100000000000001</v>
      </c>
      <c r="BL561" s="14">
        <v>37.9</v>
      </c>
      <c r="BM561" s="16">
        <f t="shared" si="94"/>
        <v>100</v>
      </c>
      <c r="BN561" s="21">
        <f t="shared" si="95"/>
        <v>5.38</v>
      </c>
      <c r="BO561" s="21">
        <f t="shared" si="96"/>
        <v>2.04</v>
      </c>
      <c r="BP561" s="21">
        <f t="shared" si="97"/>
        <v>4.53</v>
      </c>
      <c r="BQ561" s="14">
        <f t="shared" si="98"/>
        <v>11.95</v>
      </c>
      <c r="BR561" s="22" t="str">
        <f>IF(OR(AND(X561="Mourões", BQ561&gt;=6.5),AND(X561="Postes", BQ561&gt;=9.6),AND(X561="Dormentes", BQ561&gt;=9.6),AND(X561="Estacas - Solo", BQ561&gt;=6.5),AND(X561="Estacas - Suspenso", BQ561&gt;=4),AND(X561="Cruzetas", BQ561&gt;=6.5),AND(X561="Outros - Solo", BQ561&gt;=6.5),AND(X561="Outros - Suspenso",BQ561&gt;=4),AND(X561="Deck",BQ561&gt;=4)),'Listas suspensas'!$C$21,'Listas suspensas'!$C$22)</f>
        <v>Os resultados da análise química apresentaram uma retenção do produto de acordo com o padrão mínimo exigido pela norma ABNT NBR 16143</v>
      </c>
    </row>
    <row r="562" spans="2:70" x14ac:dyDescent="0.25">
      <c r="B562" s="8" t="s">
        <v>1500</v>
      </c>
      <c r="C562" s="8" t="s">
        <v>71</v>
      </c>
      <c r="F562" s="11">
        <v>46002</v>
      </c>
      <c r="G562" s="11">
        <v>46003</v>
      </c>
      <c r="H562" s="11">
        <v>46009</v>
      </c>
      <c r="I562" s="8" t="s">
        <v>1627</v>
      </c>
      <c r="J562" s="8" t="s">
        <v>697</v>
      </c>
      <c r="K562" s="8" t="s">
        <v>202</v>
      </c>
      <c r="L562" s="8" t="s">
        <v>15</v>
      </c>
      <c r="M562" s="30" t="s">
        <v>1626</v>
      </c>
      <c r="N562" s="8" t="s">
        <v>1165</v>
      </c>
      <c r="O562" s="8" t="s">
        <v>104</v>
      </c>
      <c r="P562" s="28" t="s">
        <v>146</v>
      </c>
      <c r="Q562" s="16" t="s">
        <v>1041</v>
      </c>
      <c r="X562" s="8" t="s">
        <v>79</v>
      </c>
      <c r="Y562" s="34">
        <f>IF(X562='Listas suspensas'!$A$21,'Listas suspensas'!$B$23,IF(X562='Listas suspensas'!$A$22,'Listas suspensas'!$B$23,IF(X562='Listas suspensas'!$A$23,'Listas suspensas'!$B$22,IF(X562='Listas suspensas'!$A$26,'Listas suspensas'!$B$22,IF(X562='Listas suspensas'!$A$32,'Listas suspensas'!$B$22,IF(X562='Listas suspensas'!$A$33,'Listas suspensas'!$B$21,IF(X562='Listas suspensas'!$A$24,'Listas suspensas'!$B$22,IF(X562='Listas suspensas'!$A$25,'Listas suspensas'!$B$21,IF(X562='Listas suspensas'!$A$30,'Listas suspensas'!$B$21,"")))))))))</f>
        <v>6.5</v>
      </c>
      <c r="Z562" s="8" t="s">
        <v>80</v>
      </c>
      <c r="AA562" s="8">
        <v>1</v>
      </c>
      <c r="AB562" s="8" t="str">
        <f>IF(AA562='Listas suspensas'!$A$2,'Listas suspensas'!$B$2,IF(AA562='Listas suspensas'!$A$3,'Listas suspensas'!$B$3,IF(AA562='Listas suspensas'!$A$4,'Listas suspensas'!$B$4,IF(AA562='Listas suspensas'!$A$5,'Listas suspensas'!$B$5,IF(AA562='Listas suspensas'!$A$6,'Listas suspensas'!$B$6,"")))))</f>
        <v>Profunda e regular</v>
      </c>
      <c r="AC562" s="8" t="str">
        <f>IF(AA562='Listas suspensas'!$A$2,'Listas suspensas'!$C$2,IF(AA562='Listas suspensas'!$A$3,'Listas suspensas'!$C$3,IF(AA562='Listas suspensas'!$A$4,'Listas suspensas'!$C$4,IF(AA562='Listas suspensas'!$A$5,'Listas suspensas'!$C$5,IF(AA562='Listas suspensas'!$A$6,'Listas suspensas'!$C$6,"")))))</f>
        <v>Indica a penetração profunda e uniforme em toda a extensão do alburno.</v>
      </c>
      <c r="BD562" s="13">
        <v>0.52100000000000002</v>
      </c>
      <c r="BE562" s="18">
        <f t="shared" si="92"/>
        <v>521</v>
      </c>
      <c r="BF562" s="8">
        <v>0.93300000000000005</v>
      </c>
      <c r="BG562" s="8">
        <v>0.35699999999999998</v>
      </c>
      <c r="BH562" s="8">
        <v>0.80600000000000005</v>
      </c>
      <c r="BI562" s="13">
        <f t="shared" si="93"/>
        <v>2.0960000000000001</v>
      </c>
      <c r="BJ562" s="14">
        <v>44.5</v>
      </c>
      <c r="BK562" s="14">
        <v>17</v>
      </c>
      <c r="BL562" s="14">
        <v>38.5</v>
      </c>
      <c r="BM562" s="16">
        <f t="shared" si="94"/>
        <v>100</v>
      </c>
      <c r="BN562" s="21">
        <f t="shared" si="95"/>
        <v>4.8600000000000003</v>
      </c>
      <c r="BO562" s="21">
        <f t="shared" si="96"/>
        <v>1.86</v>
      </c>
      <c r="BP562" s="21">
        <f t="shared" si="97"/>
        <v>4.2</v>
      </c>
      <c r="BQ562" s="14">
        <f t="shared" si="98"/>
        <v>10.92</v>
      </c>
      <c r="BR562" s="22" t="str">
        <f>IF(OR(AND(X562="Mourões", BQ562&gt;=6.5),AND(X562="Postes", BQ562&gt;=9.6),AND(X562="Dormentes", BQ562&gt;=9.6),AND(X562="Estacas - Solo", BQ562&gt;=6.5),AND(X562="Estacas - Suspenso", BQ562&gt;=4),AND(X562="Cruzetas", BQ562&gt;=6.5),AND(X562="Outros - Solo", BQ562&gt;=6.5),AND(X562="Outros - Suspenso",BQ562&gt;=4),AND(X562="Deck",BQ562&gt;=4)),'Listas suspensas'!$C$21,'Listas suspensas'!$C$22)</f>
        <v>Os resultados da análise química apresentaram uma retenção do produto de acordo com o padrão mínimo exigido pela norma ABNT NBR 16143</v>
      </c>
    </row>
    <row r="563" spans="2:70" x14ac:dyDescent="0.25">
      <c r="B563" s="8" t="s">
        <v>1501</v>
      </c>
      <c r="C563" s="8" t="s">
        <v>71</v>
      </c>
      <c r="F563" s="11">
        <v>46002</v>
      </c>
      <c r="G563" s="11">
        <v>46003</v>
      </c>
      <c r="H563" s="11">
        <v>46009</v>
      </c>
      <c r="I563" s="8" t="s">
        <v>1627</v>
      </c>
      <c r="J563" s="8" t="s">
        <v>697</v>
      </c>
      <c r="K563" s="8" t="s">
        <v>202</v>
      </c>
      <c r="L563" s="8" t="s">
        <v>15</v>
      </c>
      <c r="M563" s="30" t="s">
        <v>1626</v>
      </c>
      <c r="N563" s="8" t="s">
        <v>1165</v>
      </c>
      <c r="O563" s="8" t="s">
        <v>104</v>
      </c>
      <c r="P563" s="28" t="s">
        <v>146</v>
      </c>
      <c r="Q563" s="16" t="s">
        <v>1043</v>
      </c>
      <c r="X563" s="8" t="s">
        <v>79</v>
      </c>
      <c r="Y563" s="34">
        <f>IF(X563='Listas suspensas'!$A$21,'Listas suspensas'!$B$23,IF(X563='Listas suspensas'!$A$22,'Listas suspensas'!$B$23,IF(X563='Listas suspensas'!$A$23,'Listas suspensas'!$B$22,IF(X563='Listas suspensas'!$A$26,'Listas suspensas'!$B$22,IF(X563='Listas suspensas'!$A$32,'Listas suspensas'!$B$22,IF(X563='Listas suspensas'!$A$33,'Listas suspensas'!$B$21,IF(X563='Listas suspensas'!$A$24,'Listas suspensas'!$B$22,IF(X563='Listas suspensas'!$A$25,'Listas suspensas'!$B$21,IF(X563='Listas suspensas'!$A$30,'Listas suspensas'!$B$21,"")))))))))</f>
        <v>6.5</v>
      </c>
      <c r="Z563" s="8" t="s">
        <v>80</v>
      </c>
      <c r="AA563" s="8">
        <v>1</v>
      </c>
      <c r="AB563" s="8" t="str">
        <f>IF(AA563='Listas suspensas'!$A$2,'Listas suspensas'!$B$2,IF(AA563='Listas suspensas'!$A$3,'Listas suspensas'!$B$3,IF(AA563='Listas suspensas'!$A$4,'Listas suspensas'!$B$4,IF(AA563='Listas suspensas'!$A$5,'Listas suspensas'!$B$5,IF(AA563='Listas suspensas'!$A$6,'Listas suspensas'!$B$6,"")))))</f>
        <v>Profunda e regular</v>
      </c>
      <c r="AC563" s="8" t="str">
        <f>IF(AA563='Listas suspensas'!$A$2,'Listas suspensas'!$C$2,IF(AA563='Listas suspensas'!$A$3,'Listas suspensas'!$C$3,IF(AA563='Listas suspensas'!$A$4,'Listas suspensas'!$C$4,IF(AA563='Listas suspensas'!$A$5,'Listas suspensas'!$C$5,IF(AA563='Listas suspensas'!$A$6,'Listas suspensas'!$C$6,"")))))</f>
        <v>Indica a penetração profunda e uniforme em toda a extensão do alburno.</v>
      </c>
      <c r="BD563" s="13">
        <v>0.61199999999999999</v>
      </c>
      <c r="BE563" s="18">
        <f t="shared" si="92"/>
        <v>612</v>
      </c>
      <c r="BF563" s="8">
        <v>0.81799999999999995</v>
      </c>
      <c r="BG563" s="8">
        <v>0.28199999999999997</v>
      </c>
      <c r="BH563" s="8">
        <v>0.55100000000000005</v>
      </c>
      <c r="BI563" s="13">
        <f t="shared" si="93"/>
        <v>1.6509999999999998</v>
      </c>
      <c r="BJ563" s="14">
        <v>49.5</v>
      </c>
      <c r="BK563" s="14">
        <v>17.100000000000001</v>
      </c>
      <c r="BL563" s="14">
        <v>33.4</v>
      </c>
      <c r="BM563" s="16">
        <f t="shared" si="94"/>
        <v>100</v>
      </c>
      <c r="BN563" s="21">
        <f t="shared" si="95"/>
        <v>5.01</v>
      </c>
      <c r="BO563" s="21">
        <f t="shared" si="96"/>
        <v>1.73</v>
      </c>
      <c r="BP563" s="21">
        <f t="shared" si="97"/>
        <v>3.37</v>
      </c>
      <c r="BQ563" s="14">
        <f t="shared" si="98"/>
        <v>10.11</v>
      </c>
      <c r="BR563" s="22" t="str">
        <f>IF(OR(AND(X563="Mourões", BQ563&gt;=6.5),AND(X563="Postes", BQ563&gt;=9.6),AND(X563="Dormentes", BQ563&gt;=9.6),AND(X563="Estacas - Solo", BQ563&gt;=6.5),AND(X563="Estacas - Suspenso", BQ563&gt;=4),AND(X563="Cruzetas", BQ563&gt;=6.5),AND(X563="Outros - Solo", BQ563&gt;=6.5),AND(X563="Outros - Suspenso",BQ563&gt;=4),AND(X563="Deck",BQ563&gt;=4)),'Listas suspensas'!$C$21,'Listas suspensas'!$C$22)</f>
        <v>Os resultados da análise química apresentaram uma retenção do produto de acordo com o padrão mínimo exigido pela norma ABNT NBR 16143</v>
      </c>
    </row>
    <row r="564" spans="2:70" x14ac:dyDescent="0.25">
      <c r="B564" s="8" t="s">
        <v>1502</v>
      </c>
      <c r="C564" s="8" t="s">
        <v>71</v>
      </c>
      <c r="F564" s="11">
        <v>46002</v>
      </c>
      <c r="G564" s="11">
        <v>46003</v>
      </c>
      <c r="H564" s="11">
        <v>46009</v>
      </c>
      <c r="I564" s="8" t="s">
        <v>1627</v>
      </c>
      <c r="J564" s="8" t="s">
        <v>697</v>
      </c>
      <c r="K564" s="8" t="s">
        <v>202</v>
      </c>
      <c r="L564" s="8" t="s">
        <v>15</v>
      </c>
      <c r="M564" s="30" t="s">
        <v>1626</v>
      </c>
      <c r="N564" s="8" t="s">
        <v>1165</v>
      </c>
      <c r="O564" s="8" t="s">
        <v>104</v>
      </c>
      <c r="P564" s="28" t="s">
        <v>146</v>
      </c>
      <c r="Q564" s="16" t="s">
        <v>1628</v>
      </c>
      <c r="X564" s="8" t="s">
        <v>79</v>
      </c>
      <c r="Y564" s="34">
        <f>IF(X564='Listas suspensas'!$A$21,'Listas suspensas'!$B$23,IF(X564='Listas suspensas'!$A$22,'Listas suspensas'!$B$23,IF(X564='Listas suspensas'!$A$23,'Listas suspensas'!$B$22,IF(X564='Listas suspensas'!$A$26,'Listas suspensas'!$B$22,IF(X564='Listas suspensas'!$A$32,'Listas suspensas'!$B$22,IF(X564='Listas suspensas'!$A$33,'Listas suspensas'!$B$21,IF(X564='Listas suspensas'!$A$24,'Listas suspensas'!$B$22,IF(X564='Listas suspensas'!$A$25,'Listas suspensas'!$B$21,IF(X564='Listas suspensas'!$A$30,'Listas suspensas'!$B$21,"")))))))))</f>
        <v>6.5</v>
      </c>
      <c r="Z564" s="8" t="s">
        <v>80</v>
      </c>
      <c r="AA564" s="8">
        <v>1</v>
      </c>
      <c r="AB564" s="8" t="str">
        <f>IF(AA564='Listas suspensas'!$A$2,'Listas suspensas'!$B$2,IF(AA564='Listas suspensas'!$A$3,'Listas suspensas'!$B$3,IF(AA564='Listas suspensas'!$A$4,'Listas suspensas'!$B$4,IF(AA564='Listas suspensas'!$A$5,'Listas suspensas'!$B$5,IF(AA564='Listas suspensas'!$A$6,'Listas suspensas'!$B$6,"")))))</f>
        <v>Profunda e regular</v>
      </c>
      <c r="AC564" s="8" t="str">
        <f>IF(AA564='Listas suspensas'!$A$2,'Listas suspensas'!$C$2,IF(AA564='Listas suspensas'!$A$3,'Listas suspensas'!$C$3,IF(AA564='Listas suspensas'!$A$4,'Listas suspensas'!$C$4,IF(AA564='Listas suspensas'!$A$5,'Listas suspensas'!$C$5,IF(AA564='Listas suspensas'!$A$6,'Listas suspensas'!$C$6,"")))))</f>
        <v>Indica a penetração profunda e uniforme em toda a extensão do alburno.</v>
      </c>
      <c r="BD564" s="13">
        <v>0.55300000000000005</v>
      </c>
      <c r="BE564" s="18">
        <f t="shared" si="92"/>
        <v>553</v>
      </c>
      <c r="BF564" s="8">
        <v>0.81</v>
      </c>
      <c r="BG564" s="8">
        <v>0.34499999999999997</v>
      </c>
      <c r="BH564" s="8">
        <v>0.75700000000000001</v>
      </c>
      <c r="BI564" s="13">
        <f t="shared" si="93"/>
        <v>1.9119999999999999</v>
      </c>
      <c r="BJ564" s="14">
        <v>42.4</v>
      </c>
      <c r="BK564" s="14">
        <v>18</v>
      </c>
      <c r="BL564" s="14">
        <v>39.6</v>
      </c>
      <c r="BM564" s="16">
        <f t="shared" si="94"/>
        <v>100</v>
      </c>
      <c r="BN564" s="21">
        <f t="shared" si="95"/>
        <v>4.4800000000000004</v>
      </c>
      <c r="BO564" s="21">
        <f t="shared" si="96"/>
        <v>1.91</v>
      </c>
      <c r="BP564" s="21">
        <f t="shared" si="97"/>
        <v>4.1900000000000004</v>
      </c>
      <c r="BQ564" s="14">
        <f t="shared" si="98"/>
        <v>10.58</v>
      </c>
      <c r="BR564" s="22" t="str">
        <f>IF(OR(AND(X564="Mourões", BQ564&gt;=6.5),AND(X564="Postes", BQ564&gt;=9.6),AND(X564="Dormentes", BQ564&gt;=9.6),AND(X564="Estacas - Solo", BQ564&gt;=6.5),AND(X564="Estacas - Suspenso", BQ564&gt;=4),AND(X564="Cruzetas", BQ564&gt;=6.5),AND(X564="Outros - Solo", BQ564&gt;=6.5),AND(X564="Outros - Suspenso",BQ564&gt;=4),AND(X564="Deck",BQ564&gt;=4)),'Listas suspensas'!$C$21,'Listas suspensas'!$C$22)</f>
        <v>Os resultados da análise química apresentaram uma retenção do produto de acordo com o padrão mínimo exigido pela norma ABNT NBR 16143</v>
      </c>
    </row>
    <row r="565" spans="2:70" x14ac:dyDescent="0.25">
      <c r="B565" s="8" t="s">
        <v>1503</v>
      </c>
      <c r="C565" s="8" t="s">
        <v>71</v>
      </c>
      <c r="F565" s="11">
        <v>46002</v>
      </c>
      <c r="G565" s="11">
        <v>46003</v>
      </c>
      <c r="H565" s="11">
        <v>46009</v>
      </c>
      <c r="I565" s="8" t="s">
        <v>1627</v>
      </c>
      <c r="J565" s="8" t="s">
        <v>697</v>
      </c>
      <c r="K565" s="8" t="s">
        <v>202</v>
      </c>
      <c r="L565" s="8" t="s">
        <v>15</v>
      </c>
      <c r="M565" s="30" t="s">
        <v>1626</v>
      </c>
      <c r="N565" s="8" t="s">
        <v>1165</v>
      </c>
      <c r="O565" s="8" t="s">
        <v>104</v>
      </c>
      <c r="P565" s="28" t="s">
        <v>146</v>
      </c>
      <c r="Q565" s="16" t="s">
        <v>1629</v>
      </c>
      <c r="X565" s="8" t="s">
        <v>79</v>
      </c>
      <c r="Y565" s="34">
        <f>IF(X565='Listas suspensas'!$A$21,'Listas suspensas'!$B$23,IF(X565='Listas suspensas'!$A$22,'Listas suspensas'!$B$23,IF(X565='Listas suspensas'!$A$23,'Listas suspensas'!$B$22,IF(X565='Listas suspensas'!$A$26,'Listas suspensas'!$B$22,IF(X565='Listas suspensas'!$A$32,'Listas suspensas'!$B$22,IF(X565='Listas suspensas'!$A$33,'Listas suspensas'!$B$21,IF(X565='Listas suspensas'!$A$24,'Listas suspensas'!$B$22,IF(X565='Listas suspensas'!$A$25,'Listas suspensas'!$B$21,IF(X565='Listas suspensas'!$A$30,'Listas suspensas'!$B$21,"")))))))))</f>
        <v>6.5</v>
      </c>
      <c r="Z565" s="8" t="s">
        <v>80</v>
      </c>
      <c r="AA565" s="8">
        <v>1</v>
      </c>
      <c r="AB565" s="8" t="str">
        <f>IF(AA565='Listas suspensas'!$A$2,'Listas suspensas'!$B$2,IF(AA565='Listas suspensas'!$A$3,'Listas suspensas'!$B$3,IF(AA565='Listas suspensas'!$A$4,'Listas suspensas'!$B$4,IF(AA565='Listas suspensas'!$A$5,'Listas suspensas'!$B$5,IF(AA565='Listas suspensas'!$A$6,'Listas suspensas'!$B$6,"")))))</f>
        <v>Profunda e regular</v>
      </c>
      <c r="AC565" s="8" t="str">
        <f>IF(AA565='Listas suspensas'!$A$2,'Listas suspensas'!$C$2,IF(AA565='Listas suspensas'!$A$3,'Listas suspensas'!$C$3,IF(AA565='Listas suspensas'!$A$4,'Listas suspensas'!$C$4,IF(AA565='Listas suspensas'!$A$5,'Listas suspensas'!$C$5,IF(AA565='Listas suspensas'!$A$6,'Listas suspensas'!$C$6,"")))))</f>
        <v>Indica a penetração profunda e uniforme em toda a extensão do alburno.</v>
      </c>
      <c r="BD565" s="13">
        <v>0.54900000000000004</v>
      </c>
      <c r="BE565" s="18">
        <f t="shared" si="92"/>
        <v>549</v>
      </c>
      <c r="BF565" s="8">
        <v>0.81200000000000006</v>
      </c>
      <c r="BG565" s="8">
        <v>0.32200000000000001</v>
      </c>
      <c r="BH565" s="8">
        <v>0.72099999999999997</v>
      </c>
      <c r="BI565" s="13">
        <f t="shared" si="93"/>
        <v>1.855</v>
      </c>
      <c r="BJ565" s="14">
        <v>43.8</v>
      </c>
      <c r="BK565" s="14">
        <v>17.3</v>
      </c>
      <c r="BL565" s="14">
        <v>38.9</v>
      </c>
      <c r="BM565" s="16">
        <f t="shared" si="94"/>
        <v>100</v>
      </c>
      <c r="BN565" s="21">
        <f t="shared" si="95"/>
        <v>4.46</v>
      </c>
      <c r="BO565" s="21">
        <f t="shared" si="96"/>
        <v>1.77</v>
      </c>
      <c r="BP565" s="21">
        <f t="shared" si="97"/>
        <v>3.96</v>
      </c>
      <c r="BQ565" s="14">
        <f t="shared" si="98"/>
        <v>10.19</v>
      </c>
      <c r="BR565" s="22" t="str">
        <f>IF(OR(AND(X565="Mourões", BQ565&gt;=6.5),AND(X565="Postes", BQ565&gt;=9.6),AND(X565="Dormentes", BQ565&gt;=9.6),AND(X565="Estacas - Solo", BQ565&gt;=6.5),AND(X565="Estacas - Suspenso", BQ565&gt;=4),AND(X565="Cruzetas", BQ565&gt;=6.5),AND(X565="Outros - Solo", BQ565&gt;=6.5),AND(X565="Outros - Suspenso",BQ565&gt;=4),AND(X565="Deck",BQ565&gt;=4)),'Listas suspensas'!$C$21,'Listas suspensas'!$C$22)</f>
        <v>Os resultados da análise química apresentaram uma retenção do produto de acordo com o padrão mínimo exigido pela norma ABNT NBR 16143</v>
      </c>
    </row>
    <row r="566" spans="2:70" x14ac:dyDescent="0.25">
      <c r="B566" s="8" t="s">
        <v>1504</v>
      </c>
      <c r="C566" s="8" t="s">
        <v>71</v>
      </c>
      <c r="F566" s="11">
        <v>46002</v>
      </c>
      <c r="G566" s="11">
        <v>46003</v>
      </c>
      <c r="H566" s="11">
        <v>46009</v>
      </c>
      <c r="I566" s="8" t="s">
        <v>1059</v>
      </c>
      <c r="J566" s="8" t="s">
        <v>1060</v>
      </c>
      <c r="K566" s="8" t="s">
        <v>619</v>
      </c>
      <c r="L566" s="8" t="s">
        <v>15</v>
      </c>
      <c r="M566" s="30" t="s">
        <v>1061</v>
      </c>
      <c r="N566" s="8" t="s">
        <v>1165</v>
      </c>
      <c r="O566" s="8" t="s">
        <v>94</v>
      </c>
      <c r="P566" s="28" t="s">
        <v>77</v>
      </c>
      <c r="Q566" s="16" t="s">
        <v>1630</v>
      </c>
      <c r="X566" s="8" t="s">
        <v>79</v>
      </c>
      <c r="Y566" s="34">
        <f>IF(X566='Listas suspensas'!$A$21,'Listas suspensas'!$B$23,IF(X566='Listas suspensas'!$A$22,'Listas suspensas'!$B$23,IF(X566='Listas suspensas'!$A$23,'Listas suspensas'!$B$22,IF(X566='Listas suspensas'!$A$26,'Listas suspensas'!$B$22,IF(X566='Listas suspensas'!$A$32,'Listas suspensas'!$B$22,IF(X566='Listas suspensas'!$A$33,'Listas suspensas'!$B$21,IF(X566='Listas suspensas'!$A$24,'Listas suspensas'!$B$22,IF(X566='Listas suspensas'!$A$25,'Listas suspensas'!$B$21,IF(X566='Listas suspensas'!$A$30,'Listas suspensas'!$B$21,"")))))))))</f>
        <v>6.5</v>
      </c>
      <c r="Z566" s="8" t="s">
        <v>80</v>
      </c>
      <c r="AA566" s="8">
        <v>3</v>
      </c>
      <c r="AB566" s="8" t="str">
        <f>IF(AA566='Listas suspensas'!$A$2,'Listas suspensas'!$B$2,IF(AA566='Listas suspensas'!$A$3,'Listas suspensas'!$B$3,IF(AA566='Listas suspensas'!$A$4,'Listas suspensas'!$B$4,IF(AA566='Listas suspensas'!$A$5,'Listas suspensas'!$B$5,IF(AA566='Listas suspensas'!$A$6,'Listas suspensas'!$B$6,"")))))</f>
        <v xml:space="preserve"> Parcial e regular</v>
      </c>
      <c r="AC566" s="8" t="str">
        <f>IF(AA566='Listas suspensas'!$A$2,'Listas suspensas'!$C$2,IF(AA566='Listas suspensas'!$A$3,'Listas suspensas'!$C$3,IF(AA566='Listas suspensas'!$A$4,'Listas suspensas'!$C$4,IF(AA566='Listas suspensas'!$A$5,'Listas suspensas'!$C$5,IF(AA566='Listas suspensas'!$A$6,'Listas suspensas'!$C$6,"")))))</f>
        <v>Indica a penetração uniforme, mas não total pela extensão do alburno.</v>
      </c>
      <c r="BD566" s="13">
        <v>0.65500000000000003</v>
      </c>
      <c r="BE566" s="18">
        <f t="shared" si="92"/>
        <v>655</v>
      </c>
      <c r="BF566" s="8">
        <v>0.54300000000000004</v>
      </c>
      <c r="BG566" s="8">
        <v>0.25800000000000001</v>
      </c>
      <c r="BH566" s="8">
        <v>0.501</v>
      </c>
      <c r="BI566" s="13">
        <f t="shared" si="93"/>
        <v>1.302</v>
      </c>
      <c r="BJ566" s="14">
        <v>41.7</v>
      </c>
      <c r="BK566" s="14">
        <v>19.8</v>
      </c>
      <c r="BL566" s="14">
        <v>38.5</v>
      </c>
      <c r="BM566" s="16">
        <f t="shared" si="94"/>
        <v>100</v>
      </c>
      <c r="BN566" s="21">
        <f t="shared" si="95"/>
        <v>3.56</v>
      </c>
      <c r="BO566" s="21">
        <f t="shared" si="96"/>
        <v>1.69</v>
      </c>
      <c r="BP566" s="21">
        <f t="shared" si="97"/>
        <v>3.28</v>
      </c>
      <c r="BQ566" s="14">
        <f t="shared" si="98"/>
        <v>8.5299999999999994</v>
      </c>
      <c r="BR566" s="22" t="str">
        <f>IF(OR(AND(X566="Mourões", BQ566&gt;=6.5),AND(X566="Postes", BQ566&gt;=9.6),AND(X566="Dormentes", BQ566&gt;=9.6),AND(X566="Estacas - Solo", BQ566&gt;=6.5),AND(X566="Estacas - Suspenso", BQ566&gt;=4),AND(X566="Cruzetas", BQ566&gt;=6.5),AND(X566="Outros - Solo", BQ566&gt;=6.5),AND(X566="Outros - Suspenso",BQ566&gt;=4),AND(X566="Deck",BQ566&gt;=4)),'Listas suspensas'!$C$21,'Listas suspensas'!$C$22)</f>
        <v>Os resultados da análise química apresentaram uma retenção do produto de acordo com o padrão mínimo exigido pela norma ABNT NBR 16143</v>
      </c>
    </row>
    <row r="567" spans="2:70" x14ac:dyDescent="0.25">
      <c r="B567" s="8" t="s">
        <v>1505</v>
      </c>
      <c r="C567" s="8" t="s">
        <v>71</v>
      </c>
      <c r="F567" s="11">
        <v>46002</v>
      </c>
      <c r="G567" s="11">
        <v>46003</v>
      </c>
      <c r="H567" s="11">
        <v>46009</v>
      </c>
      <c r="I567" s="8" t="s">
        <v>1059</v>
      </c>
      <c r="J567" s="8" t="s">
        <v>1060</v>
      </c>
      <c r="K567" s="8" t="s">
        <v>619</v>
      </c>
      <c r="L567" s="8" t="s">
        <v>15</v>
      </c>
      <c r="M567" s="30" t="s">
        <v>1061</v>
      </c>
      <c r="N567" s="8" t="s">
        <v>1165</v>
      </c>
      <c r="O567" s="8" t="s">
        <v>94</v>
      </c>
      <c r="P567" s="28" t="s">
        <v>77</v>
      </c>
      <c r="Q567" s="16" t="s">
        <v>1631</v>
      </c>
      <c r="X567" s="8" t="s">
        <v>79</v>
      </c>
      <c r="Y567" s="34">
        <f>IF(X567='Listas suspensas'!$A$21,'Listas suspensas'!$B$23,IF(X567='Listas suspensas'!$A$22,'Listas suspensas'!$B$23,IF(X567='Listas suspensas'!$A$23,'Listas suspensas'!$B$22,IF(X567='Listas suspensas'!$A$26,'Listas suspensas'!$B$22,IF(X567='Listas suspensas'!$A$32,'Listas suspensas'!$B$22,IF(X567='Listas suspensas'!$A$33,'Listas suspensas'!$B$21,IF(X567='Listas suspensas'!$A$24,'Listas suspensas'!$B$22,IF(X567='Listas suspensas'!$A$25,'Listas suspensas'!$B$21,IF(X567='Listas suspensas'!$A$30,'Listas suspensas'!$B$21,"")))))))))</f>
        <v>6.5</v>
      </c>
      <c r="Z567" s="8" t="s">
        <v>80</v>
      </c>
      <c r="AA567" s="8">
        <v>3</v>
      </c>
      <c r="AB567" s="8" t="str">
        <f>IF(AA567='Listas suspensas'!$A$2,'Listas suspensas'!$B$2,IF(AA567='Listas suspensas'!$A$3,'Listas suspensas'!$B$3,IF(AA567='Listas suspensas'!$A$4,'Listas suspensas'!$B$4,IF(AA567='Listas suspensas'!$A$5,'Listas suspensas'!$B$5,IF(AA567='Listas suspensas'!$A$6,'Listas suspensas'!$B$6,"")))))</f>
        <v xml:space="preserve"> Parcial e regular</v>
      </c>
      <c r="AC567" s="8" t="str">
        <f>IF(AA567='Listas suspensas'!$A$2,'Listas suspensas'!$C$2,IF(AA567='Listas suspensas'!$A$3,'Listas suspensas'!$C$3,IF(AA567='Listas suspensas'!$A$4,'Listas suspensas'!$C$4,IF(AA567='Listas suspensas'!$A$5,'Listas suspensas'!$C$5,IF(AA567='Listas suspensas'!$A$6,'Listas suspensas'!$C$6,"")))))</f>
        <v>Indica a penetração uniforme, mas não total pela extensão do alburno.</v>
      </c>
      <c r="BD567" s="13">
        <v>0.61</v>
      </c>
      <c r="BE567" s="18">
        <f t="shared" si="92"/>
        <v>610</v>
      </c>
      <c r="BF567" s="8">
        <v>0.42499999999999999</v>
      </c>
      <c r="BG567" s="8">
        <v>0.158</v>
      </c>
      <c r="BH567" s="8">
        <v>0.28000000000000003</v>
      </c>
      <c r="BI567" s="13">
        <f t="shared" si="93"/>
        <v>0.86299999999999999</v>
      </c>
      <c r="BJ567" s="14">
        <v>49.3</v>
      </c>
      <c r="BK567" s="14">
        <v>18.3</v>
      </c>
      <c r="BL567" s="14">
        <v>32.4</v>
      </c>
      <c r="BM567" s="16">
        <f t="shared" si="94"/>
        <v>100</v>
      </c>
      <c r="BN567" s="21">
        <f t="shared" si="95"/>
        <v>2.59</v>
      </c>
      <c r="BO567" s="21">
        <f t="shared" si="96"/>
        <v>0.96</v>
      </c>
      <c r="BP567" s="21">
        <f t="shared" si="97"/>
        <v>1.71</v>
      </c>
      <c r="BQ567" s="14">
        <f t="shared" si="98"/>
        <v>5.26</v>
      </c>
      <c r="BR567" s="22" t="str">
        <f>IF(OR(AND(X567="Mourões", BQ567&gt;=6.5),AND(X567="Postes", BQ567&gt;=9.6),AND(X567="Dormentes", BQ567&gt;=9.6),AND(X567="Estacas - Solo", BQ567&gt;=6.5),AND(X567="Estacas - Suspenso", BQ567&gt;=4),AND(X567="Cruzetas", BQ567&gt;=6.5),AND(X567="Outros - Solo", BQ567&gt;=6.5),AND(X567="Outros - Suspenso",BQ567&gt;=4),AND(X567="Deck",BQ567&gt;=4)),'Listas suspensas'!$C$21,'Listas suspensas'!$C$22)</f>
        <v>Os resultados da análise química apresentaram uma retenção do produto inferior ao padrão mínimo exigido pela norma ABNT NBR 16143</v>
      </c>
    </row>
    <row r="568" spans="2:70" x14ac:dyDescent="0.25">
      <c r="B568" s="8" t="s">
        <v>1506</v>
      </c>
      <c r="C568" s="8" t="s">
        <v>71</v>
      </c>
      <c r="F568" s="11">
        <v>46002</v>
      </c>
      <c r="G568" s="11">
        <v>46003</v>
      </c>
      <c r="H568" s="11">
        <v>46009</v>
      </c>
      <c r="I568" s="8" t="s">
        <v>1633</v>
      </c>
      <c r="J568" s="8" t="s">
        <v>1718</v>
      </c>
      <c r="K568" s="8" t="s">
        <v>92</v>
      </c>
      <c r="L568" s="8" t="s">
        <v>15</v>
      </c>
      <c r="M568" s="30" t="s">
        <v>1634</v>
      </c>
      <c r="N568" s="8" t="s">
        <v>1165</v>
      </c>
      <c r="O568" s="39" t="s">
        <v>76</v>
      </c>
      <c r="P568" s="28" t="s">
        <v>146</v>
      </c>
      <c r="Q568" s="16" t="s">
        <v>1635</v>
      </c>
      <c r="X568" s="8" t="s">
        <v>79</v>
      </c>
      <c r="Y568" s="34">
        <f>IF(X568='Listas suspensas'!$A$21,'Listas suspensas'!$B$23,IF(X568='Listas suspensas'!$A$22,'Listas suspensas'!$B$23,IF(X568='Listas suspensas'!$A$23,'Listas suspensas'!$B$22,IF(X568='Listas suspensas'!$A$26,'Listas suspensas'!$B$22,IF(X568='Listas suspensas'!$A$32,'Listas suspensas'!$B$22,IF(X568='Listas suspensas'!$A$33,'Listas suspensas'!$B$21,IF(X568='Listas suspensas'!$A$24,'Listas suspensas'!$B$22,IF(X568='Listas suspensas'!$A$25,'Listas suspensas'!$B$21,IF(X568='Listas suspensas'!$A$30,'Listas suspensas'!$B$21,"")))))))))</f>
        <v>6.5</v>
      </c>
      <c r="Z568" s="8" t="s">
        <v>80</v>
      </c>
      <c r="AA568" s="8">
        <v>2</v>
      </c>
      <c r="AB568" s="8" t="str">
        <f>IF(AA568='Listas suspensas'!$A$2,'Listas suspensas'!$B$2,IF(AA568='Listas suspensas'!$A$3,'Listas suspensas'!$B$3,IF(AA568='Listas suspensas'!$A$4,'Listas suspensas'!$B$4,IF(AA568='Listas suspensas'!$A$5,'Listas suspensas'!$B$5,IF(AA568='Listas suspensas'!$A$6,'Listas suspensas'!$B$6,"")))))</f>
        <v>Profunda e irregular</v>
      </c>
      <c r="AC568" s="8" t="str">
        <f>IF(AA568='Listas suspensas'!$A$2,'Listas suspensas'!$C$2,IF(AA568='Listas suspensas'!$A$3,'Listas suspensas'!$C$3,IF(AA568='Listas suspensas'!$A$4,'Listas suspensas'!$C$4,IF(AA568='Listas suspensas'!$A$5,'Listas suspensas'!$C$5,IF(AA568='Listas suspensas'!$A$6,'Listas suspensas'!$C$6,"")))))</f>
        <v>Indica a penetração profunda, mas desuniforme em toda a extensão do alburno.</v>
      </c>
      <c r="BD568" s="13">
        <v>0.6</v>
      </c>
      <c r="BE568" s="18">
        <f t="shared" ref="BE568:BE631" si="99">BD568*1000</f>
        <v>600</v>
      </c>
      <c r="BF568" s="8">
        <v>0.90100000000000002</v>
      </c>
      <c r="BG568" s="8">
        <v>0.374</v>
      </c>
      <c r="BH568" s="8">
        <v>0.67400000000000004</v>
      </c>
      <c r="BI568" s="13">
        <f t="shared" si="93"/>
        <v>1.9489999999999998</v>
      </c>
      <c r="BJ568" s="14">
        <v>46.2</v>
      </c>
      <c r="BK568" s="14">
        <v>19.2</v>
      </c>
      <c r="BL568" s="14">
        <v>34.6</v>
      </c>
      <c r="BM568" s="16">
        <f t="shared" si="94"/>
        <v>100</v>
      </c>
      <c r="BN568" s="21">
        <f t="shared" si="95"/>
        <v>5.41</v>
      </c>
      <c r="BO568" s="21">
        <f t="shared" si="96"/>
        <v>2.2400000000000002</v>
      </c>
      <c r="BP568" s="21">
        <f t="shared" si="97"/>
        <v>4.04</v>
      </c>
      <c r="BQ568" s="14">
        <f t="shared" si="98"/>
        <v>11.69</v>
      </c>
      <c r="BR568" s="22" t="str">
        <f>IF(OR(AND(X568="Mourões", BQ568&gt;=6.5),AND(X568="Postes", BQ568&gt;=9.6),AND(X568="Dormentes", BQ568&gt;=9.6),AND(X568="Estacas - Solo", BQ568&gt;=6.5),AND(X568="Estacas - Suspenso", BQ568&gt;=4),AND(X568="Cruzetas", BQ568&gt;=6.5),AND(X568="Outros - Solo", BQ568&gt;=6.5),AND(X568="Outros - Suspenso",BQ568&gt;=4),AND(X568="Deck",BQ568&gt;=4)),'Listas suspensas'!$C$21,'Listas suspensas'!$C$22)</f>
        <v>Os resultados da análise química apresentaram uma retenção do produto de acordo com o padrão mínimo exigido pela norma ABNT NBR 16143</v>
      </c>
    </row>
    <row r="569" spans="2:70" x14ac:dyDescent="0.25">
      <c r="B569" s="8" t="s">
        <v>1507</v>
      </c>
      <c r="C569" s="8" t="s">
        <v>71</v>
      </c>
      <c r="F569" s="11">
        <v>46002</v>
      </c>
      <c r="G569" s="11">
        <v>46003</v>
      </c>
      <c r="H569" s="11">
        <v>46009</v>
      </c>
      <c r="I569" s="8" t="s">
        <v>1633</v>
      </c>
      <c r="J569" s="8" t="s">
        <v>1718</v>
      </c>
      <c r="K569" s="8" t="s">
        <v>92</v>
      </c>
      <c r="L569" s="8" t="s">
        <v>15</v>
      </c>
      <c r="M569" s="32" t="s">
        <v>1634</v>
      </c>
      <c r="N569" s="8" t="s">
        <v>1165</v>
      </c>
      <c r="O569" s="8" t="s">
        <v>76</v>
      </c>
      <c r="P569" s="28" t="s">
        <v>146</v>
      </c>
      <c r="Q569" s="16" t="s">
        <v>1735</v>
      </c>
      <c r="X569" s="8" t="s">
        <v>79</v>
      </c>
      <c r="Y569" s="34">
        <f>IF(X569='Listas suspensas'!$A$21,'Listas suspensas'!$B$23,IF(X569='Listas suspensas'!$A$22,'Listas suspensas'!$B$23,IF(X569='Listas suspensas'!$A$23,'Listas suspensas'!$B$22,IF(X569='Listas suspensas'!$A$26,'Listas suspensas'!$B$22,IF(X569='Listas suspensas'!$A$32,'Listas suspensas'!$B$22,IF(X569='Listas suspensas'!$A$33,'Listas suspensas'!$B$21,IF(X569='Listas suspensas'!$A$24,'Listas suspensas'!$B$22,IF(X569='Listas suspensas'!$A$25,'Listas suspensas'!$B$21,IF(X569='Listas suspensas'!$A$30,'Listas suspensas'!$B$21,"")))))))))</f>
        <v>6.5</v>
      </c>
      <c r="Z569" s="8" t="s">
        <v>80</v>
      </c>
      <c r="AA569" s="8">
        <v>3</v>
      </c>
      <c r="AB569" s="8" t="str">
        <f>IF(AA569='Listas suspensas'!$A$2,'Listas suspensas'!$B$2,IF(AA569='Listas suspensas'!$A$3,'Listas suspensas'!$B$3,IF(AA569='Listas suspensas'!$A$4,'Listas suspensas'!$B$4,IF(AA569='Listas suspensas'!$A$5,'Listas suspensas'!$B$5,IF(AA569='Listas suspensas'!$A$6,'Listas suspensas'!$B$6,"")))))</f>
        <v xml:space="preserve"> Parcial e regular</v>
      </c>
      <c r="AC569" s="8" t="str">
        <f>IF(AA569='Listas suspensas'!$A$2,'Listas suspensas'!$C$2,IF(AA569='Listas suspensas'!$A$3,'Listas suspensas'!$C$3,IF(AA569='Listas suspensas'!$A$4,'Listas suspensas'!$C$4,IF(AA569='Listas suspensas'!$A$5,'Listas suspensas'!$C$5,IF(AA569='Listas suspensas'!$A$6,'Listas suspensas'!$C$6,"")))))</f>
        <v>Indica a penetração uniforme, mas não total pela extensão do alburno.</v>
      </c>
      <c r="BD569" s="13">
        <v>0.55300000000000005</v>
      </c>
      <c r="BE569" s="14">
        <f t="shared" si="99"/>
        <v>553</v>
      </c>
      <c r="BF569" s="8">
        <v>0.32900000000000001</v>
      </c>
      <c r="BG569" s="8">
        <v>0.155</v>
      </c>
      <c r="BH569" s="8">
        <v>0.35499999999999998</v>
      </c>
      <c r="BI569" s="13">
        <f t="shared" si="93"/>
        <v>0.83899999999999997</v>
      </c>
      <c r="BJ569" s="14">
        <v>39.200000000000003</v>
      </c>
      <c r="BK569" s="14">
        <v>18.5</v>
      </c>
      <c r="BL569" s="14">
        <v>42.3</v>
      </c>
      <c r="BM569" s="16">
        <f t="shared" si="94"/>
        <v>100</v>
      </c>
      <c r="BN569" s="21">
        <f t="shared" si="95"/>
        <v>1.82</v>
      </c>
      <c r="BO569" s="21">
        <f t="shared" si="96"/>
        <v>0.86</v>
      </c>
      <c r="BP569" s="21">
        <f t="shared" si="97"/>
        <v>1.96</v>
      </c>
      <c r="BQ569" s="14">
        <f t="shared" si="98"/>
        <v>4.6399999999999997</v>
      </c>
      <c r="BR569" s="22" t="str">
        <f>IF(OR(AND(X569="Mourões", BQ569&gt;=6.5),AND(X569="Postes", BQ569&gt;=9.6),AND(X569="Dormentes", BQ569&gt;=9.6),AND(X569="Estacas - Solo", BQ569&gt;=6.5),AND(X569="Estacas - Suspenso", BQ569&gt;=4),AND(X569="Cruzetas", BQ569&gt;=6.5),AND(X569="Outros - Solo", BQ569&gt;=6.5),AND(X569="Outros - Suspenso",BQ569&gt;=4),AND(X569="Deck",BQ569&gt;=4)),'Listas suspensas'!$C$21,'Listas suspensas'!$C$22)</f>
        <v>Os resultados da análise química apresentaram uma retenção do produto inferior ao padrão mínimo exigido pela norma ABNT NBR 16143</v>
      </c>
    </row>
    <row r="570" spans="2:70" x14ac:dyDescent="0.25">
      <c r="B570" s="8" t="s">
        <v>1508</v>
      </c>
      <c r="C570" s="8" t="s">
        <v>71</v>
      </c>
      <c r="F570" s="11">
        <v>46002</v>
      </c>
      <c r="G570" s="11">
        <v>46003</v>
      </c>
      <c r="H570" s="11">
        <v>46009</v>
      </c>
      <c r="I570" s="8" t="s">
        <v>1633</v>
      </c>
      <c r="J570" s="8" t="s">
        <v>1718</v>
      </c>
      <c r="K570" s="8" t="s">
        <v>92</v>
      </c>
      <c r="L570" s="8" t="s">
        <v>15</v>
      </c>
      <c r="M570" s="32" t="s">
        <v>1634</v>
      </c>
      <c r="N570" s="8" t="s">
        <v>1165</v>
      </c>
      <c r="O570" s="8" t="s">
        <v>76</v>
      </c>
      <c r="P570" s="28" t="s">
        <v>146</v>
      </c>
      <c r="Q570" s="16" t="s">
        <v>1737</v>
      </c>
      <c r="X570" s="8" t="s">
        <v>79</v>
      </c>
      <c r="Y570" s="34">
        <f>IF(X570='Listas suspensas'!$A$21,'Listas suspensas'!$B$23,IF(X570='Listas suspensas'!$A$22,'Listas suspensas'!$B$23,IF(X570='Listas suspensas'!$A$23,'Listas suspensas'!$B$22,IF(X570='Listas suspensas'!$A$26,'Listas suspensas'!$B$22,IF(X570='Listas suspensas'!$A$32,'Listas suspensas'!$B$22,IF(X570='Listas suspensas'!$A$33,'Listas suspensas'!$B$21,IF(X570='Listas suspensas'!$A$24,'Listas suspensas'!$B$22,IF(X570='Listas suspensas'!$A$25,'Listas suspensas'!$B$21,IF(X570='Listas suspensas'!$A$30,'Listas suspensas'!$B$21,"")))))))))</f>
        <v>6.5</v>
      </c>
      <c r="Z570" s="8" t="s">
        <v>80</v>
      </c>
      <c r="AA570" s="8">
        <v>1</v>
      </c>
      <c r="AB570" s="8" t="str">
        <f>IF(AA570='Listas suspensas'!$A$2,'Listas suspensas'!$B$2,IF(AA570='Listas suspensas'!$A$3,'Listas suspensas'!$B$3,IF(AA570='Listas suspensas'!$A$4,'Listas suspensas'!$B$4,IF(AA570='Listas suspensas'!$A$5,'Listas suspensas'!$B$5,IF(AA570='Listas suspensas'!$A$6,'Listas suspensas'!$B$6,"")))))</f>
        <v>Profunda e regular</v>
      </c>
      <c r="AC570" s="8" t="str">
        <f>IF(AA570='Listas suspensas'!$A$2,'Listas suspensas'!$C$2,IF(AA570='Listas suspensas'!$A$3,'Listas suspensas'!$C$3,IF(AA570='Listas suspensas'!$A$4,'Listas suspensas'!$C$4,IF(AA570='Listas suspensas'!$A$5,'Listas suspensas'!$C$5,IF(AA570='Listas suspensas'!$A$6,'Listas suspensas'!$C$6,"")))))</f>
        <v>Indica a penetração profunda e uniforme em toda a extensão do alburno.</v>
      </c>
      <c r="BD570" s="13">
        <v>0.44800000000000001</v>
      </c>
      <c r="BE570" s="14">
        <f t="shared" si="99"/>
        <v>448</v>
      </c>
      <c r="BF570" s="8">
        <v>1.258</v>
      </c>
      <c r="BG570" s="8">
        <v>0.32600000000000001</v>
      </c>
      <c r="BH570" s="8">
        <v>0.63500000000000001</v>
      </c>
      <c r="BI570" s="13">
        <f t="shared" si="93"/>
        <v>2.2190000000000003</v>
      </c>
      <c r="BJ570" s="14">
        <v>56.7</v>
      </c>
      <c r="BK570" s="14">
        <v>14.7</v>
      </c>
      <c r="BL570" s="14">
        <v>28.6</v>
      </c>
      <c r="BM570" s="16">
        <f t="shared" si="94"/>
        <v>100</v>
      </c>
      <c r="BN570" s="21">
        <f t="shared" si="95"/>
        <v>5.64</v>
      </c>
      <c r="BO570" s="21">
        <f t="shared" si="96"/>
        <v>1.46</v>
      </c>
      <c r="BP570" s="21">
        <f t="shared" si="97"/>
        <v>2.84</v>
      </c>
      <c r="BQ570" s="14">
        <f t="shared" si="98"/>
        <v>9.94</v>
      </c>
      <c r="BR570" s="22" t="str">
        <f>IF(OR(AND(X570="Mourões", BQ570&gt;=6.5),AND(X570="Postes", BQ570&gt;=9.6),AND(X570="Dormentes", BQ570&gt;=9.6),AND(X570="Estacas - Solo", BQ570&gt;=6.5),AND(X570="Estacas - Suspenso", BQ570&gt;=4),AND(X570="Cruzetas", BQ570&gt;=6.5),AND(X570="Outros - Solo", BQ570&gt;=6.5),AND(X570="Outros - Suspenso",BQ570&gt;=4),AND(X570="Deck",BQ570&gt;=4)),'Listas suspensas'!$C$21,'Listas suspensas'!$C$22)</f>
        <v>Os resultados da análise química apresentaram uma retenção do produto de acordo com o padrão mínimo exigido pela norma ABNT NBR 16143</v>
      </c>
    </row>
    <row r="571" spans="2:70" x14ac:dyDescent="0.25">
      <c r="B571" s="8" t="s">
        <v>1509</v>
      </c>
      <c r="C571" s="8" t="s">
        <v>71</v>
      </c>
      <c r="F571" s="11">
        <v>46002</v>
      </c>
      <c r="G571" s="11">
        <v>46003</v>
      </c>
      <c r="H571" s="11">
        <v>46009</v>
      </c>
      <c r="I571" s="8" t="s">
        <v>1636</v>
      </c>
      <c r="J571" s="8" t="s">
        <v>1719</v>
      </c>
      <c r="K571" s="8" t="s">
        <v>92</v>
      </c>
      <c r="L571" s="8" t="s">
        <v>15</v>
      </c>
      <c r="M571" s="32" t="s">
        <v>524</v>
      </c>
      <c r="N571" s="8" t="s">
        <v>1165</v>
      </c>
      <c r="O571" s="8" t="s">
        <v>76</v>
      </c>
      <c r="P571" s="28" t="s">
        <v>146</v>
      </c>
      <c r="Q571" s="16" t="s">
        <v>1637</v>
      </c>
      <c r="X571" s="8" t="s">
        <v>79</v>
      </c>
      <c r="Y571" s="34">
        <f>IF(X571='Listas suspensas'!$A$21,'Listas suspensas'!$B$23,IF(X571='Listas suspensas'!$A$22,'Listas suspensas'!$B$23,IF(X571='Listas suspensas'!$A$23,'Listas suspensas'!$B$22,IF(X571='Listas suspensas'!$A$26,'Listas suspensas'!$B$22,IF(X571='Listas suspensas'!$A$32,'Listas suspensas'!$B$22,IF(X571='Listas suspensas'!$A$33,'Listas suspensas'!$B$21,IF(X571='Listas suspensas'!$A$24,'Listas suspensas'!$B$22,IF(X571='Listas suspensas'!$A$25,'Listas suspensas'!$B$21,IF(X571='Listas suspensas'!$A$30,'Listas suspensas'!$B$21,"")))))))))</f>
        <v>6.5</v>
      </c>
      <c r="Z571" s="8" t="s">
        <v>80</v>
      </c>
      <c r="AA571" s="8">
        <v>2</v>
      </c>
      <c r="AB571" s="8" t="str">
        <f>IF(AA571='Listas suspensas'!$A$2,'Listas suspensas'!$B$2,IF(AA571='Listas suspensas'!$A$3,'Listas suspensas'!$B$3,IF(AA571='Listas suspensas'!$A$4,'Listas suspensas'!$B$4,IF(AA571='Listas suspensas'!$A$5,'Listas suspensas'!$B$5,IF(AA571='Listas suspensas'!$A$6,'Listas suspensas'!$B$6,"")))))</f>
        <v>Profunda e irregular</v>
      </c>
      <c r="AC571" s="8" t="str">
        <f>IF(AA571='Listas suspensas'!$A$2,'Listas suspensas'!$C$2,IF(AA571='Listas suspensas'!$A$3,'Listas suspensas'!$C$3,IF(AA571='Listas suspensas'!$A$4,'Listas suspensas'!$C$4,IF(AA571='Listas suspensas'!$A$5,'Listas suspensas'!$C$5,IF(AA571='Listas suspensas'!$A$6,'Listas suspensas'!$C$6,"")))))</f>
        <v>Indica a penetração profunda, mas desuniforme em toda a extensão do alburno.</v>
      </c>
      <c r="BD571" s="13">
        <v>0.65200000000000002</v>
      </c>
      <c r="BE571" s="14">
        <f t="shared" si="99"/>
        <v>652</v>
      </c>
      <c r="BF571" s="8">
        <v>0.313</v>
      </c>
      <c r="BG571" s="8">
        <v>0.16900000000000001</v>
      </c>
      <c r="BH571" s="8">
        <v>0.218</v>
      </c>
      <c r="BI571" s="13">
        <f t="shared" si="93"/>
        <v>0.7</v>
      </c>
      <c r="BJ571" s="14">
        <v>44.8</v>
      </c>
      <c r="BK571" s="14">
        <v>24.1</v>
      </c>
      <c r="BL571" s="14">
        <v>31.1</v>
      </c>
      <c r="BM571" s="16">
        <f t="shared" si="94"/>
        <v>100</v>
      </c>
      <c r="BN571" s="21">
        <f t="shared" si="95"/>
        <v>2.04</v>
      </c>
      <c r="BO571" s="21">
        <f t="shared" si="96"/>
        <v>1.1000000000000001</v>
      </c>
      <c r="BP571" s="21">
        <f t="shared" si="97"/>
        <v>1.42</v>
      </c>
      <c r="BQ571" s="14">
        <f t="shared" si="98"/>
        <v>4.5599999999999996</v>
      </c>
      <c r="BR571" s="22" t="str">
        <f>IF(OR(AND(X571="Mourões", BQ571&gt;=6.5),AND(X571="Postes", BQ571&gt;=9.6),AND(X571="Dormentes", BQ571&gt;=9.6),AND(X571="Estacas - Solo", BQ571&gt;=6.5),AND(X571="Estacas - Suspenso", BQ571&gt;=4),AND(X571="Cruzetas", BQ571&gt;=6.5),AND(X571="Outros - Solo", BQ571&gt;=6.5),AND(X571="Outros - Suspenso",BQ571&gt;=4),AND(X571="Deck",BQ571&gt;=4)),'Listas suspensas'!$C$21,'Listas suspensas'!$C$22)</f>
        <v>Os resultados da análise química apresentaram uma retenção do produto inferior ao padrão mínimo exigido pela norma ABNT NBR 16143</v>
      </c>
    </row>
    <row r="572" spans="2:70" x14ac:dyDescent="0.25">
      <c r="B572" s="8" t="s">
        <v>1510</v>
      </c>
      <c r="C572" s="8" t="s">
        <v>71</v>
      </c>
      <c r="F572" s="11">
        <v>46002</v>
      </c>
      <c r="G572" s="11">
        <v>46003</v>
      </c>
      <c r="H572" s="11">
        <v>46009</v>
      </c>
      <c r="I572" s="8" t="s">
        <v>1636</v>
      </c>
      <c r="J572" s="8" t="s">
        <v>1719</v>
      </c>
      <c r="K572" s="8" t="s">
        <v>92</v>
      </c>
      <c r="L572" s="8" t="s">
        <v>15</v>
      </c>
      <c r="M572" s="32" t="s">
        <v>524</v>
      </c>
      <c r="N572" s="8" t="s">
        <v>1165</v>
      </c>
      <c r="O572" s="8" t="s">
        <v>76</v>
      </c>
      <c r="P572" s="28" t="s">
        <v>146</v>
      </c>
      <c r="Q572" s="16" t="s">
        <v>1739</v>
      </c>
      <c r="X572" s="8" t="s">
        <v>79</v>
      </c>
      <c r="Y572" s="34">
        <f>IF(X572='Listas suspensas'!$A$21,'Listas suspensas'!$B$23,IF(X572='Listas suspensas'!$A$22,'Listas suspensas'!$B$23,IF(X572='Listas suspensas'!$A$23,'Listas suspensas'!$B$22,IF(X572='Listas suspensas'!$A$26,'Listas suspensas'!$B$22,IF(X572='Listas suspensas'!$A$32,'Listas suspensas'!$B$22,IF(X572='Listas suspensas'!$A$33,'Listas suspensas'!$B$21,IF(X572='Listas suspensas'!$A$24,'Listas suspensas'!$B$22,IF(X572='Listas suspensas'!$A$25,'Listas suspensas'!$B$21,IF(X572='Listas suspensas'!$A$30,'Listas suspensas'!$B$21,"")))))))))</f>
        <v>6.5</v>
      </c>
      <c r="Z572" s="8" t="s">
        <v>80</v>
      </c>
      <c r="AA572" s="8">
        <v>2</v>
      </c>
      <c r="AB572" s="8" t="str">
        <f>IF(AA572='Listas suspensas'!$A$2,'Listas suspensas'!$B$2,IF(AA572='Listas suspensas'!$A$3,'Listas suspensas'!$B$3,IF(AA572='Listas suspensas'!$A$4,'Listas suspensas'!$B$4,IF(AA572='Listas suspensas'!$A$5,'Listas suspensas'!$B$5,IF(AA572='Listas suspensas'!$A$6,'Listas suspensas'!$B$6,"")))))</f>
        <v>Profunda e irregular</v>
      </c>
      <c r="AC572" s="8" t="str">
        <f>IF(AA572='Listas suspensas'!$A$2,'Listas suspensas'!$C$2,IF(AA572='Listas suspensas'!$A$3,'Listas suspensas'!$C$3,IF(AA572='Listas suspensas'!$A$4,'Listas suspensas'!$C$4,IF(AA572='Listas suspensas'!$A$5,'Listas suspensas'!$C$5,IF(AA572='Listas suspensas'!$A$6,'Listas suspensas'!$C$6,"")))))</f>
        <v>Indica a penetração profunda, mas desuniforme em toda a extensão do alburno.</v>
      </c>
      <c r="BD572" s="13">
        <v>0.69899999999999995</v>
      </c>
      <c r="BE572" s="14">
        <f t="shared" si="99"/>
        <v>699</v>
      </c>
      <c r="BF572" s="8">
        <v>0.50700000000000001</v>
      </c>
      <c r="BG572" s="8">
        <v>0.23200000000000001</v>
      </c>
      <c r="BH572" s="8">
        <v>0.33700000000000002</v>
      </c>
      <c r="BI572" s="13">
        <f t="shared" si="93"/>
        <v>1.0760000000000001</v>
      </c>
      <c r="BJ572" s="14">
        <v>47.1</v>
      </c>
      <c r="BK572" s="14">
        <v>21.6</v>
      </c>
      <c r="BL572" s="14">
        <v>31.3</v>
      </c>
      <c r="BM572" s="16">
        <f t="shared" si="94"/>
        <v>100</v>
      </c>
      <c r="BN572" s="21">
        <f t="shared" si="95"/>
        <v>3.54</v>
      </c>
      <c r="BO572" s="21">
        <f t="shared" si="96"/>
        <v>1.62</v>
      </c>
      <c r="BP572" s="21">
        <f t="shared" si="97"/>
        <v>2.36</v>
      </c>
      <c r="BQ572" s="14">
        <f t="shared" si="98"/>
        <v>7.52</v>
      </c>
      <c r="BR572" s="22" t="str">
        <f>IF(OR(AND(X572="Mourões", BQ572&gt;=6.5),AND(X572="Postes", BQ572&gt;=9.6),AND(X572="Dormentes", BQ572&gt;=9.6),AND(X572="Estacas - Solo", BQ572&gt;=6.5),AND(X572="Estacas - Suspenso", BQ572&gt;=4),AND(X572="Cruzetas", BQ572&gt;=6.5),AND(X572="Outros - Solo", BQ572&gt;=6.5),AND(X572="Outros - Suspenso",BQ572&gt;=4),AND(X572="Deck",BQ572&gt;=4)),'Listas suspensas'!$C$21,'Listas suspensas'!$C$22)</f>
        <v>Os resultados da análise química apresentaram uma retenção do produto de acordo com o padrão mínimo exigido pela norma ABNT NBR 16143</v>
      </c>
    </row>
    <row r="573" spans="2:70" x14ac:dyDescent="0.25">
      <c r="B573" s="8" t="s">
        <v>1511</v>
      </c>
      <c r="C573" s="8" t="s">
        <v>71</v>
      </c>
      <c r="F573" s="11">
        <v>46002</v>
      </c>
      <c r="G573" s="11">
        <v>46003</v>
      </c>
      <c r="H573" s="11">
        <v>46009</v>
      </c>
      <c r="I573" s="8" t="s">
        <v>1638</v>
      </c>
      <c r="J573" s="8" t="s">
        <v>1401</v>
      </c>
      <c r="K573" s="8" t="s">
        <v>92</v>
      </c>
      <c r="L573" s="8" t="s">
        <v>15</v>
      </c>
      <c r="M573" s="30" t="s">
        <v>1639</v>
      </c>
      <c r="N573" s="8" t="s">
        <v>1165</v>
      </c>
      <c r="O573" s="39" t="s">
        <v>104</v>
      </c>
      <c r="P573" s="28" t="s">
        <v>471</v>
      </c>
      <c r="Q573" s="16" t="s">
        <v>1640</v>
      </c>
      <c r="X573" s="8" t="s">
        <v>699</v>
      </c>
      <c r="Y573" s="34">
        <f>IF(X573='Listas suspensas'!$A$21,'Listas suspensas'!$B$23,IF(X573='Listas suspensas'!$A$22,'Listas suspensas'!$B$23,IF(X573='Listas suspensas'!$A$23,'Listas suspensas'!$B$22,IF(X573='Listas suspensas'!$A$26,'Listas suspensas'!$B$22,IF(X573='Listas suspensas'!$A$32,'Listas suspensas'!$B$22,IF(X573='Listas suspensas'!$A$33,'Listas suspensas'!$B$21,IF(X573='Listas suspensas'!$A$24,'Listas suspensas'!$B$22,IF(X573='Listas suspensas'!$A$25,'Listas suspensas'!$B$21,IF(X573='Listas suspensas'!$A$30,'Listas suspensas'!$B$21,"")))))))))</f>
        <v>4</v>
      </c>
      <c r="Z573" s="8" t="s">
        <v>80</v>
      </c>
      <c r="AA573" s="8">
        <v>1</v>
      </c>
      <c r="AB573" s="8" t="str">
        <f>IF(AA573='Listas suspensas'!$A$2,'Listas suspensas'!$B$2,IF(AA573='Listas suspensas'!$A$3,'Listas suspensas'!$B$3,IF(AA573='Listas suspensas'!$A$4,'Listas suspensas'!$B$4,IF(AA573='Listas suspensas'!$A$5,'Listas suspensas'!$B$5,IF(AA573='Listas suspensas'!$A$6,'Listas suspensas'!$B$6,"")))))</f>
        <v>Profunda e regular</v>
      </c>
      <c r="AC573" s="8" t="str">
        <f>IF(AA573='Listas suspensas'!$A$2,'Listas suspensas'!$C$2,IF(AA573='Listas suspensas'!$A$3,'Listas suspensas'!$C$3,IF(AA573='Listas suspensas'!$A$4,'Listas suspensas'!$C$4,IF(AA573='Listas suspensas'!$A$5,'Listas suspensas'!$C$5,IF(AA573='Listas suspensas'!$A$6,'Listas suspensas'!$C$6,"")))))</f>
        <v>Indica a penetração profunda e uniforme em toda a extensão do alburno.</v>
      </c>
      <c r="BD573" s="13">
        <v>0.39600000000000002</v>
      </c>
      <c r="BE573" s="18">
        <f t="shared" si="99"/>
        <v>396</v>
      </c>
      <c r="BF573" s="8">
        <v>0.59199999999999997</v>
      </c>
      <c r="BG573" s="8">
        <v>0.22900000000000001</v>
      </c>
      <c r="BH573" s="8">
        <v>0.45</v>
      </c>
      <c r="BI573" s="13">
        <f t="shared" si="93"/>
        <v>1.2709999999999999</v>
      </c>
      <c r="BJ573" s="14">
        <v>46.6</v>
      </c>
      <c r="BK573" s="14">
        <v>18</v>
      </c>
      <c r="BL573" s="14">
        <v>35.4</v>
      </c>
      <c r="BM573" s="16">
        <f t="shared" si="94"/>
        <v>100</v>
      </c>
      <c r="BN573" s="21">
        <f t="shared" si="95"/>
        <v>2.34</v>
      </c>
      <c r="BO573" s="21">
        <f t="shared" si="96"/>
        <v>0.91</v>
      </c>
      <c r="BP573" s="21">
        <f t="shared" si="97"/>
        <v>1.78</v>
      </c>
      <c r="BQ573" s="14">
        <f t="shared" si="98"/>
        <v>5.03</v>
      </c>
      <c r="BR573" s="22" t="str">
        <f>IF(OR(AND(X573="Mourões", BQ573&gt;=6.5),AND(X573="Postes", BQ573&gt;=9.6),AND(X573="Dormentes", BQ573&gt;=9.6),AND(X573="Estacas - Solo", BQ573&gt;=6.5),AND(X573="Estacas - Suspenso", BQ573&gt;=4),AND(X573="Cruzetas", BQ573&gt;=6.5),AND(X573="Outros - Solo", BQ573&gt;=6.5),AND(X573="Outros - Suspenso",BQ573&gt;=4),AND(X573="Deck",BQ573&gt;=4)),'Listas suspensas'!$C$21,'Listas suspensas'!$C$22)</f>
        <v>Os resultados da análise química apresentaram uma retenção do produto de acordo com o padrão mínimo exigido pela norma ABNT NBR 16143</v>
      </c>
    </row>
    <row r="574" spans="2:70" x14ac:dyDescent="0.25">
      <c r="B574" s="8" t="s">
        <v>1512</v>
      </c>
      <c r="C574" s="8" t="s">
        <v>71</v>
      </c>
      <c r="F574" s="11">
        <v>46002</v>
      </c>
      <c r="G574" s="11">
        <v>46003</v>
      </c>
      <c r="H574" s="11">
        <v>46009</v>
      </c>
      <c r="I574" s="8" t="s">
        <v>1638</v>
      </c>
      <c r="J574" s="8" t="s">
        <v>1401</v>
      </c>
      <c r="K574" s="8" t="s">
        <v>92</v>
      </c>
      <c r="L574" s="8" t="s">
        <v>15</v>
      </c>
      <c r="M574" s="30" t="s">
        <v>1639</v>
      </c>
      <c r="N574" s="8" t="s">
        <v>1165</v>
      </c>
      <c r="O574" s="39" t="s">
        <v>104</v>
      </c>
      <c r="P574" s="28" t="s">
        <v>471</v>
      </c>
      <c r="Q574" s="16" t="s">
        <v>1641</v>
      </c>
      <c r="X574" s="8" t="s">
        <v>699</v>
      </c>
      <c r="Y574" s="34">
        <f>IF(X574='Listas suspensas'!$A$21,'Listas suspensas'!$B$23,IF(X574='Listas suspensas'!$A$22,'Listas suspensas'!$B$23,IF(X574='Listas suspensas'!$A$23,'Listas suspensas'!$B$22,IF(X574='Listas suspensas'!$A$26,'Listas suspensas'!$B$22,IF(X574='Listas suspensas'!$A$32,'Listas suspensas'!$B$22,IF(X574='Listas suspensas'!$A$33,'Listas suspensas'!$B$21,IF(X574='Listas suspensas'!$A$24,'Listas suspensas'!$B$22,IF(X574='Listas suspensas'!$A$25,'Listas suspensas'!$B$21,IF(X574='Listas suspensas'!$A$30,'Listas suspensas'!$B$21,"")))))))))</f>
        <v>4</v>
      </c>
      <c r="Z574" s="8" t="s">
        <v>80</v>
      </c>
      <c r="AA574" s="8">
        <v>3</v>
      </c>
      <c r="AB574" s="8" t="str">
        <f>IF(AA574='Listas suspensas'!$A$2,'Listas suspensas'!$B$2,IF(AA574='Listas suspensas'!$A$3,'Listas suspensas'!$B$3,IF(AA574='Listas suspensas'!$A$4,'Listas suspensas'!$B$4,IF(AA574='Listas suspensas'!$A$5,'Listas suspensas'!$B$5,IF(AA574='Listas suspensas'!$A$6,'Listas suspensas'!$B$6,"")))))</f>
        <v xml:space="preserve"> Parcial e regular</v>
      </c>
      <c r="AC574" s="8" t="str">
        <f>IF(AA574='Listas suspensas'!$A$2,'Listas suspensas'!$C$2,IF(AA574='Listas suspensas'!$A$3,'Listas suspensas'!$C$3,IF(AA574='Listas suspensas'!$A$4,'Listas suspensas'!$C$4,IF(AA574='Listas suspensas'!$A$5,'Listas suspensas'!$C$5,IF(AA574='Listas suspensas'!$A$6,'Listas suspensas'!$C$6,"")))))</f>
        <v>Indica a penetração uniforme, mas não total pela extensão do alburno.</v>
      </c>
      <c r="BD574" s="13">
        <v>0.433</v>
      </c>
      <c r="BE574" s="18">
        <f t="shared" si="99"/>
        <v>433</v>
      </c>
      <c r="BF574" s="8">
        <v>0.48699999999999999</v>
      </c>
      <c r="BG574" s="8">
        <v>0.245</v>
      </c>
      <c r="BH574" s="8">
        <v>0.38300000000000001</v>
      </c>
      <c r="BI574" s="13">
        <f t="shared" si="93"/>
        <v>1.115</v>
      </c>
      <c r="BJ574" s="14">
        <v>43.7</v>
      </c>
      <c r="BK574" s="14">
        <v>22</v>
      </c>
      <c r="BL574" s="14">
        <v>34.299999999999997</v>
      </c>
      <c r="BM574" s="16">
        <f t="shared" si="94"/>
        <v>100</v>
      </c>
      <c r="BN574" s="21">
        <f t="shared" si="95"/>
        <v>2.11</v>
      </c>
      <c r="BO574" s="21">
        <f t="shared" si="96"/>
        <v>1.06</v>
      </c>
      <c r="BP574" s="21">
        <f t="shared" si="97"/>
        <v>1.66</v>
      </c>
      <c r="BQ574" s="14">
        <f t="shared" si="98"/>
        <v>4.83</v>
      </c>
      <c r="BR574" s="22" t="str">
        <f>IF(OR(AND(X574="Mourões", BQ574&gt;=6.5),AND(X574="Postes", BQ574&gt;=9.6),AND(X574="Dormentes", BQ574&gt;=9.6),AND(X574="Estacas - Solo", BQ574&gt;=6.5),AND(X574="Estacas - Suspenso", BQ574&gt;=4),AND(X574="Cruzetas", BQ574&gt;=6.5),AND(X574="Outros - Solo", BQ574&gt;=6.5),AND(X574="Outros - Suspenso",BQ574&gt;=4),AND(X574="Deck",BQ574&gt;=4)),'Listas suspensas'!$C$21,'Listas suspensas'!$C$22)</f>
        <v>Os resultados da análise química apresentaram uma retenção do produto de acordo com o padrão mínimo exigido pela norma ABNT NBR 16143</v>
      </c>
    </row>
    <row r="575" spans="2:70" x14ac:dyDescent="0.25">
      <c r="B575" s="8" t="s">
        <v>1513</v>
      </c>
      <c r="C575" s="8" t="s">
        <v>71</v>
      </c>
      <c r="F575" s="11">
        <v>46002</v>
      </c>
      <c r="G575" s="11">
        <v>46003</v>
      </c>
      <c r="H575" s="11">
        <v>46009</v>
      </c>
      <c r="I575" s="8" t="s">
        <v>1638</v>
      </c>
      <c r="J575" s="8" t="s">
        <v>1401</v>
      </c>
      <c r="K575" s="8" t="s">
        <v>92</v>
      </c>
      <c r="L575" s="8" t="s">
        <v>15</v>
      </c>
      <c r="M575" s="30" t="s">
        <v>1639</v>
      </c>
      <c r="N575" s="8" t="s">
        <v>1165</v>
      </c>
      <c r="O575" s="39" t="s">
        <v>104</v>
      </c>
      <c r="P575" s="28" t="s">
        <v>471</v>
      </c>
      <c r="Q575" s="16" t="s">
        <v>1642</v>
      </c>
      <c r="X575" s="8" t="s">
        <v>699</v>
      </c>
      <c r="Y575" s="34">
        <f>IF(X575='Listas suspensas'!$A$21,'Listas suspensas'!$B$23,IF(X575='Listas suspensas'!$A$22,'Listas suspensas'!$B$23,IF(X575='Listas suspensas'!$A$23,'Listas suspensas'!$B$22,IF(X575='Listas suspensas'!$A$26,'Listas suspensas'!$B$22,IF(X575='Listas suspensas'!$A$32,'Listas suspensas'!$B$22,IF(X575='Listas suspensas'!$A$33,'Listas suspensas'!$B$21,IF(X575='Listas suspensas'!$A$24,'Listas suspensas'!$B$22,IF(X575='Listas suspensas'!$A$25,'Listas suspensas'!$B$21,IF(X575='Listas suspensas'!$A$30,'Listas suspensas'!$B$21,"")))))))))</f>
        <v>4</v>
      </c>
      <c r="Z575" s="8" t="s">
        <v>80</v>
      </c>
      <c r="AA575" s="8">
        <v>2</v>
      </c>
      <c r="AB575" s="8" t="str">
        <f>IF(AA575='Listas suspensas'!$A$2,'Listas suspensas'!$B$2,IF(AA575='Listas suspensas'!$A$3,'Listas suspensas'!$B$3,IF(AA575='Listas suspensas'!$A$4,'Listas suspensas'!$B$4,IF(AA575='Listas suspensas'!$A$5,'Listas suspensas'!$B$5,IF(AA575='Listas suspensas'!$A$6,'Listas suspensas'!$B$6,"")))))</f>
        <v>Profunda e irregular</v>
      </c>
      <c r="AC575" s="8" t="str">
        <f>IF(AA575='Listas suspensas'!$A$2,'Listas suspensas'!$C$2,IF(AA575='Listas suspensas'!$A$3,'Listas suspensas'!$C$3,IF(AA575='Listas suspensas'!$A$4,'Listas suspensas'!$C$4,IF(AA575='Listas suspensas'!$A$5,'Listas suspensas'!$C$5,IF(AA575='Listas suspensas'!$A$6,'Listas suspensas'!$C$6,"")))))</f>
        <v>Indica a penetração profunda, mas desuniforme em toda a extensão do alburno.</v>
      </c>
      <c r="BD575" s="13">
        <v>0.41099999999999998</v>
      </c>
      <c r="BE575" s="18">
        <f t="shared" si="99"/>
        <v>411</v>
      </c>
      <c r="BF575" s="8">
        <v>0.377</v>
      </c>
      <c r="BG575" s="8">
        <v>0.189</v>
      </c>
      <c r="BH575" s="8">
        <v>0.35499999999999998</v>
      </c>
      <c r="BI575" s="13">
        <f t="shared" si="93"/>
        <v>0.92100000000000004</v>
      </c>
      <c r="BJ575" s="14">
        <v>40.9</v>
      </c>
      <c r="BK575" s="14">
        <v>20.6</v>
      </c>
      <c r="BL575" s="14">
        <v>38.5</v>
      </c>
      <c r="BM575" s="16">
        <f t="shared" si="94"/>
        <v>100</v>
      </c>
      <c r="BN575" s="21">
        <f t="shared" si="95"/>
        <v>1.55</v>
      </c>
      <c r="BO575" s="21">
        <f t="shared" si="96"/>
        <v>0.78</v>
      </c>
      <c r="BP575" s="21">
        <f t="shared" si="97"/>
        <v>1.46</v>
      </c>
      <c r="BQ575" s="14">
        <f t="shared" si="98"/>
        <v>3.79</v>
      </c>
      <c r="BR575" s="22" t="str">
        <f>IF(OR(AND(X575="Mourões", BQ575&gt;=6.5),AND(X575="Postes", BQ575&gt;=9.6),AND(X575="Dormentes", BQ575&gt;=9.6),AND(X575="Estacas - Solo", BQ575&gt;=6.5),AND(X575="Estacas - Suspenso", BQ575&gt;=4),AND(X575="Cruzetas", BQ575&gt;=6.5),AND(X575="Outros - Solo", BQ575&gt;=6.5),AND(X575="Outros - Suspenso",BQ575&gt;=4),AND(X575="Deck",BQ575&gt;=4)),'Listas suspensas'!$C$21,'Listas suspensas'!$C$22)</f>
        <v>Os resultados da análise química apresentaram uma retenção do produto inferior ao padrão mínimo exigido pela norma ABNT NBR 16143</v>
      </c>
    </row>
    <row r="576" spans="2:70" x14ac:dyDescent="0.25">
      <c r="B576" s="8" t="s">
        <v>1514</v>
      </c>
      <c r="C576" s="8" t="s">
        <v>71</v>
      </c>
      <c r="F576" s="11">
        <v>46002</v>
      </c>
      <c r="G576" s="11">
        <v>46003</v>
      </c>
      <c r="H576" s="11">
        <v>46009</v>
      </c>
      <c r="I576" s="8" t="s">
        <v>1638</v>
      </c>
      <c r="J576" s="8" t="s">
        <v>1401</v>
      </c>
      <c r="K576" s="8" t="s">
        <v>92</v>
      </c>
      <c r="L576" s="8" t="s">
        <v>15</v>
      </c>
      <c r="M576" s="30" t="s">
        <v>1639</v>
      </c>
      <c r="N576" s="8" t="s">
        <v>1165</v>
      </c>
      <c r="O576" s="39" t="s">
        <v>104</v>
      </c>
      <c r="P576" s="28" t="s">
        <v>471</v>
      </c>
      <c r="Q576" s="16" t="s">
        <v>1690</v>
      </c>
      <c r="X576" s="8" t="s">
        <v>699</v>
      </c>
      <c r="Y576" s="34">
        <f>IF(X576='Listas suspensas'!$A$21,'Listas suspensas'!$B$23,IF(X576='Listas suspensas'!$A$22,'Listas suspensas'!$B$23,IF(X576='Listas suspensas'!$A$23,'Listas suspensas'!$B$22,IF(X576='Listas suspensas'!$A$26,'Listas suspensas'!$B$22,IF(X576='Listas suspensas'!$A$32,'Listas suspensas'!$B$22,IF(X576='Listas suspensas'!$A$33,'Listas suspensas'!$B$21,IF(X576='Listas suspensas'!$A$24,'Listas suspensas'!$B$22,IF(X576='Listas suspensas'!$A$25,'Listas suspensas'!$B$21,IF(X576='Listas suspensas'!$A$30,'Listas suspensas'!$B$21,"")))))))))</f>
        <v>4</v>
      </c>
      <c r="Z576" s="8" t="s">
        <v>80</v>
      </c>
      <c r="AA576" s="8">
        <v>1</v>
      </c>
      <c r="AB576" s="8" t="str">
        <f>IF(AA576='Listas suspensas'!$A$2,'Listas suspensas'!$B$2,IF(AA576='Listas suspensas'!$A$3,'Listas suspensas'!$B$3,IF(AA576='Listas suspensas'!$A$4,'Listas suspensas'!$B$4,IF(AA576='Listas suspensas'!$A$5,'Listas suspensas'!$B$5,IF(AA576='Listas suspensas'!$A$6,'Listas suspensas'!$B$6,"")))))</f>
        <v>Profunda e regular</v>
      </c>
      <c r="AC576" s="8" t="str">
        <f>IF(AA576='Listas suspensas'!$A$2,'Listas suspensas'!$C$2,IF(AA576='Listas suspensas'!$A$3,'Listas suspensas'!$C$3,IF(AA576='Listas suspensas'!$A$4,'Listas suspensas'!$C$4,IF(AA576='Listas suspensas'!$A$5,'Listas suspensas'!$C$5,IF(AA576='Listas suspensas'!$A$6,'Listas suspensas'!$C$6,"")))))</f>
        <v>Indica a penetração profunda e uniforme em toda a extensão do alburno.</v>
      </c>
      <c r="BD576" s="13">
        <v>0.40799999999999997</v>
      </c>
      <c r="BE576" s="18">
        <f t="shared" si="99"/>
        <v>408</v>
      </c>
      <c r="BF576" s="8">
        <v>0.50700000000000001</v>
      </c>
      <c r="BG576" s="8">
        <v>0.22600000000000001</v>
      </c>
      <c r="BH576" s="8">
        <v>0.45800000000000002</v>
      </c>
      <c r="BI576" s="13">
        <f t="shared" si="93"/>
        <v>1.1910000000000001</v>
      </c>
      <c r="BJ576" s="14">
        <v>42.6</v>
      </c>
      <c r="BK576" s="14">
        <v>19</v>
      </c>
      <c r="BL576" s="14">
        <v>38.4</v>
      </c>
      <c r="BM576" s="16">
        <f t="shared" si="94"/>
        <v>100</v>
      </c>
      <c r="BN576" s="21">
        <f t="shared" si="95"/>
        <v>2.0699999999999998</v>
      </c>
      <c r="BO576" s="21">
        <f t="shared" si="96"/>
        <v>0.92</v>
      </c>
      <c r="BP576" s="21">
        <f t="shared" si="97"/>
        <v>1.87</v>
      </c>
      <c r="BQ576" s="14">
        <f t="shared" si="98"/>
        <v>4.8600000000000003</v>
      </c>
      <c r="BR576" s="22" t="str">
        <f>IF(OR(AND(X576="Mourões", BQ576&gt;=6.5),AND(X576="Postes", BQ576&gt;=9.6),AND(X576="Dormentes", BQ576&gt;=9.6),AND(X576="Estacas - Solo", BQ576&gt;=6.5),AND(X576="Estacas - Suspenso", BQ576&gt;=4),AND(X576="Cruzetas", BQ576&gt;=6.5),AND(X576="Outros - Solo", BQ576&gt;=6.5),AND(X576="Outros - Suspenso",BQ576&gt;=4),AND(X576="Deck",BQ576&gt;=4)),'Listas suspensas'!$C$21,'Listas suspensas'!$C$22)</f>
        <v>Os resultados da análise química apresentaram uma retenção do produto de acordo com o padrão mínimo exigido pela norma ABNT NBR 16143</v>
      </c>
    </row>
    <row r="577" spans="2:70" x14ac:dyDescent="0.25">
      <c r="B577" s="8" t="s">
        <v>1515</v>
      </c>
      <c r="C577" s="8" t="s">
        <v>71</v>
      </c>
      <c r="F577" s="11">
        <v>46002</v>
      </c>
      <c r="G577" s="11">
        <v>46003</v>
      </c>
      <c r="H577" s="11">
        <v>46009</v>
      </c>
      <c r="I577" s="8" t="s">
        <v>1638</v>
      </c>
      <c r="J577" s="8" t="s">
        <v>1401</v>
      </c>
      <c r="K577" s="8" t="s">
        <v>92</v>
      </c>
      <c r="L577" s="8" t="s">
        <v>15</v>
      </c>
      <c r="M577" s="30" t="s">
        <v>1639</v>
      </c>
      <c r="N577" s="8" t="s">
        <v>1165</v>
      </c>
      <c r="O577" s="8" t="s">
        <v>76</v>
      </c>
      <c r="P577" s="28" t="s">
        <v>174</v>
      </c>
      <c r="Q577" s="16" t="s">
        <v>1645</v>
      </c>
      <c r="X577" s="8" t="s">
        <v>79</v>
      </c>
      <c r="Y577" s="34">
        <f>IF(X577='Listas suspensas'!$A$21,'Listas suspensas'!$B$23,IF(X577='Listas suspensas'!$A$22,'Listas suspensas'!$B$23,IF(X577='Listas suspensas'!$A$23,'Listas suspensas'!$B$22,IF(X577='Listas suspensas'!$A$26,'Listas suspensas'!$B$22,IF(X577='Listas suspensas'!$A$32,'Listas suspensas'!$B$22,IF(X577='Listas suspensas'!$A$33,'Listas suspensas'!$B$21,IF(X577='Listas suspensas'!$A$24,'Listas suspensas'!$B$22,IF(X577='Listas suspensas'!$A$25,'Listas suspensas'!$B$21,IF(X577='Listas suspensas'!$A$30,'Listas suspensas'!$B$21,"")))))))))</f>
        <v>6.5</v>
      </c>
      <c r="Z577" s="8" t="s">
        <v>80</v>
      </c>
      <c r="AA577" s="8">
        <v>1</v>
      </c>
      <c r="AB577" s="8" t="str">
        <f>IF(AA577='Listas suspensas'!$A$2,'Listas suspensas'!$B$2,IF(AA577='Listas suspensas'!$A$3,'Listas suspensas'!$B$3,IF(AA577='Listas suspensas'!$A$4,'Listas suspensas'!$B$4,IF(AA577='Listas suspensas'!$A$5,'Listas suspensas'!$B$5,IF(AA577='Listas suspensas'!$A$6,'Listas suspensas'!$B$6,"")))))</f>
        <v>Profunda e regular</v>
      </c>
      <c r="AC577" s="8" t="str">
        <f>IF(AA577='Listas suspensas'!$A$2,'Listas suspensas'!$C$2,IF(AA577='Listas suspensas'!$A$3,'Listas suspensas'!$C$3,IF(AA577='Listas suspensas'!$A$4,'Listas suspensas'!$C$4,IF(AA577='Listas suspensas'!$A$5,'Listas suspensas'!$C$5,IF(AA577='Listas suspensas'!$A$6,'Listas suspensas'!$C$6,"")))))</f>
        <v>Indica a penetração profunda e uniforme em toda a extensão do alburno.</v>
      </c>
      <c r="BD577" s="13">
        <v>0.79400000000000004</v>
      </c>
      <c r="BE577" s="18">
        <f t="shared" si="99"/>
        <v>794</v>
      </c>
      <c r="BF577" s="8">
        <v>0.35099999999999998</v>
      </c>
      <c r="BG577" s="8">
        <v>0.16200000000000001</v>
      </c>
      <c r="BH577" s="8">
        <v>0.29399999999999998</v>
      </c>
      <c r="BI577" s="13">
        <f t="shared" si="93"/>
        <v>0.80699999999999994</v>
      </c>
      <c r="BJ577" s="14">
        <v>43.5</v>
      </c>
      <c r="BK577" s="14">
        <v>20.100000000000001</v>
      </c>
      <c r="BL577" s="14">
        <v>36.4</v>
      </c>
      <c r="BM577" s="16">
        <f t="shared" si="94"/>
        <v>100</v>
      </c>
      <c r="BN577" s="21">
        <f t="shared" si="95"/>
        <v>2.79</v>
      </c>
      <c r="BO577" s="21">
        <f t="shared" si="96"/>
        <v>1.29</v>
      </c>
      <c r="BP577" s="21">
        <f t="shared" si="97"/>
        <v>2.33</v>
      </c>
      <c r="BQ577" s="14">
        <f t="shared" si="98"/>
        <v>6.41</v>
      </c>
      <c r="BR577" s="22" t="str">
        <f>IF(OR(AND(X577="Mourões", BQ577&gt;=6.5),AND(X577="Postes", BQ577&gt;=9.6),AND(X577="Dormentes", BQ577&gt;=9.6),AND(X577="Estacas - Solo", BQ577&gt;=6.5),AND(X577="Estacas - Suspenso", BQ577&gt;=4),AND(X577="Cruzetas", BQ577&gt;=6.5),AND(X577="Outros - Solo", BQ577&gt;=6.5),AND(X577="Outros - Suspenso",BQ577&gt;=4),AND(X577="Deck",BQ577&gt;=4)),'Listas suspensas'!$C$21,'Listas suspensas'!$C$22)</f>
        <v>Os resultados da análise química apresentaram uma retenção do produto inferior ao padrão mínimo exigido pela norma ABNT NBR 16143</v>
      </c>
    </row>
    <row r="578" spans="2:70" x14ac:dyDescent="0.25">
      <c r="B578" s="8" t="s">
        <v>1516</v>
      </c>
      <c r="C578" s="8" t="s">
        <v>71</v>
      </c>
      <c r="F578" s="11">
        <v>46002</v>
      </c>
      <c r="G578" s="11">
        <v>46003</v>
      </c>
      <c r="H578" s="11">
        <v>46009</v>
      </c>
      <c r="I578" s="8" t="s">
        <v>1638</v>
      </c>
      <c r="J578" s="8" t="s">
        <v>1401</v>
      </c>
      <c r="K578" s="8" t="s">
        <v>92</v>
      </c>
      <c r="L578" s="8" t="s">
        <v>15</v>
      </c>
      <c r="M578" s="30" t="s">
        <v>1639</v>
      </c>
      <c r="N578" s="8" t="s">
        <v>1165</v>
      </c>
      <c r="O578" s="8" t="s">
        <v>76</v>
      </c>
      <c r="P578" s="28" t="s">
        <v>146</v>
      </c>
      <c r="Q578" s="16" t="s">
        <v>1738</v>
      </c>
      <c r="X578" s="8" t="s">
        <v>79</v>
      </c>
      <c r="Y578" s="34">
        <f>IF(X578='Listas suspensas'!$A$21,'Listas suspensas'!$B$23,IF(X578='Listas suspensas'!$A$22,'Listas suspensas'!$B$23,IF(X578='Listas suspensas'!$A$23,'Listas suspensas'!$B$22,IF(X578='Listas suspensas'!$A$26,'Listas suspensas'!$B$22,IF(X578='Listas suspensas'!$A$32,'Listas suspensas'!$B$22,IF(X578='Listas suspensas'!$A$33,'Listas suspensas'!$B$21,IF(X578='Listas suspensas'!$A$24,'Listas suspensas'!$B$22,IF(X578='Listas suspensas'!$A$25,'Listas suspensas'!$B$21,IF(X578='Listas suspensas'!$A$30,'Listas suspensas'!$B$21,"")))))))))</f>
        <v>6.5</v>
      </c>
      <c r="Z578" s="8" t="s">
        <v>80</v>
      </c>
      <c r="AA578" s="8">
        <v>3</v>
      </c>
      <c r="AB578" s="8" t="str">
        <f>IF(AA578='Listas suspensas'!$A$2,'Listas suspensas'!$B$2,IF(AA578='Listas suspensas'!$A$3,'Listas suspensas'!$B$3,IF(AA578='Listas suspensas'!$A$4,'Listas suspensas'!$B$4,IF(AA578='Listas suspensas'!$A$5,'Listas suspensas'!$B$5,IF(AA578='Listas suspensas'!$A$6,'Listas suspensas'!$B$6,"")))))</f>
        <v xml:space="preserve"> Parcial e regular</v>
      </c>
      <c r="AC578" s="8" t="str">
        <f>IF(AA578='Listas suspensas'!$A$2,'Listas suspensas'!$C$2,IF(AA578='Listas suspensas'!$A$3,'Listas suspensas'!$C$3,IF(AA578='Listas suspensas'!$A$4,'Listas suspensas'!$C$4,IF(AA578='Listas suspensas'!$A$5,'Listas suspensas'!$C$5,IF(AA578='Listas suspensas'!$A$6,'Listas suspensas'!$C$6,"")))))</f>
        <v>Indica a penetração uniforme, mas não total pela extensão do alburno.</v>
      </c>
      <c r="BD578" s="13">
        <v>0.77900000000000003</v>
      </c>
      <c r="BE578" s="18">
        <f t="shared" si="99"/>
        <v>779</v>
      </c>
      <c r="BF578" s="8">
        <v>0.29899999999999999</v>
      </c>
      <c r="BG578" s="8">
        <v>0.112</v>
      </c>
      <c r="BH578" s="8">
        <v>0.192</v>
      </c>
      <c r="BI578" s="13">
        <f t="shared" ref="BI578:BI641" si="100">SUM(BF578:BH578)</f>
        <v>0.60299999999999998</v>
      </c>
      <c r="BJ578" s="14">
        <v>49.6</v>
      </c>
      <c r="BK578" s="14">
        <v>18.5</v>
      </c>
      <c r="BL578" s="14">
        <v>31.9</v>
      </c>
      <c r="BM578" s="16">
        <f t="shared" si="94"/>
        <v>100</v>
      </c>
      <c r="BN578" s="21">
        <f t="shared" si="95"/>
        <v>2.33</v>
      </c>
      <c r="BO578" s="21">
        <f t="shared" si="96"/>
        <v>0.87</v>
      </c>
      <c r="BP578" s="21">
        <f t="shared" si="97"/>
        <v>1.5</v>
      </c>
      <c r="BQ578" s="14">
        <f t="shared" si="98"/>
        <v>4.7</v>
      </c>
      <c r="BR578" s="22" t="str">
        <f>IF(OR(AND(X578="Mourões", BQ578&gt;=6.5),AND(X578="Postes", BQ578&gt;=9.6),AND(X578="Dormentes", BQ578&gt;=9.6),AND(X578="Estacas - Solo", BQ578&gt;=6.5),AND(X578="Estacas - Suspenso", BQ578&gt;=4),AND(X578="Cruzetas", BQ578&gt;=6.5),AND(X578="Outros - Solo", BQ578&gt;=6.5),AND(X578="Outros - Suspenso",BQ578&gt;=4),AND(X578="Deck",BQ578&gt;=4)),'Listas suspensas'!$C$21,'Listas suspensas'!$C$22)</f>
        <v>Os resultados da análise química apresentaram uma retenção do produto inferior ao padrão mínimo exigido pela norma ABNT NBR 16143</v>
      </c>
    </row>
    <row r="579" spans="2:70" x14ac:dyDescent="0.25">
      <c r="B579" s="8" t="s">
        <v>1517</v>
      </c>
      <c r="C579" s="8" t="s">
        <v>71</v>
      </c>
      <c r="F579" s="11">
        <v>46002</v>
      </c>
      <c r="G579" s="11">
        <v>46003</v>
      </c>
      <c r="H579" s="11">
        <v>46009</v>
      </c>
      <c r="I579" s="8" t="s">
        <v>1638</v>
      </c>
      <c r="J579" s="8" t="s">
        <v>1401</v>
      </c>
      <c r="K579" s="8" t="s">
        <v>92</v>
      </c>
      <c r="L579" s="8" t="s">
        <v>15</v>
      </c>
      <c r="M579" s="30" t="s">
        <v>1639</v>
      </c>
      <c r="N579" s="8" t="s">
        <v>1165</v>
      </c>
      <c r="O579" s="8" t="s">
        <v>76</v>
      </c>
      <c r="P579" s="28" t="s">
        <v>146</v>
      </c>
      <c r="Q579" s="16" t="s">
        <v>1643</v>
      </c>
      <c r="X579" s="8" t="s">
        <v>79</v>
      </c>
      <c r="Y579" s="34">
        <f>IF(X579='Listas suspensas'!$A$21,'Listas suspensas'!$B$23,IF(X579='Listas suspensas'!$A$22,'Listas suspensas'!$B$23,IF(X579='Listas suspensas'!$A$23,'Listas suspensas'!$B$22,IF(X579='Listas suspensas'!$A$26,'Listas suspensas'!$B$22,IF(X579='Listas suspensas'!$A$32,'Listas suspensas'!$B$22,IF(X579='Listas suspensas'!$A$33,'Listas suspensas'!$B$21,IF(X579='Listas suspensas'!$A$24,'Listas suspensas'!$B$22,IF(X579='Listas suspensas'!$A$25,'Listas suspensas'!$B$21,IF(X579='Listas suspensas'!$A$30,'Listas suspensas'!$B$21,"")))))))))</f>
        <v>6.5</v>
      </c>
      <c r="Z579" s="8" t="s">
        <v>80</v>
      </c>
      <c r="AA579" s="8">
        <v>2</v>
      </c>
      <c r="AB579" s="8" t="str">
        <f>IF(AA579='Listas suspensas'!$A$2,'Listas suspensas'!$B$2,IF(AA579='Listas suspensas'!$A$3,'Listas suspensas'!$B$3,IF(AA579='Listas suspensas'!$A$4,'Listas suspensas'!$B$4,IF(AA579='Listas suspensas'!$A$5,'Listas suspensas'!$B$5,IF(AA579='Listas suspensas'!$A$6,'Listas suspensas'!$B$6,"")))))</f>
        <v>Profunda e irregular</v>
      </c>
      <c r="AC579" s="8" t="str">
        <f>IF(AA579='Listas suspensas'!$A$2,'Listas suspensas'!$C$2,IF(AA579='Listas suspensas'!$A$3,'Listas suspensas'!$C$3,IF(AA579='Listas suspensas'!$A$4,'Listas suspensas'!$C$4,IF(AA579='Listas suspensas'!$A$5,'Listas suspensas'!$C$5,IF(AA579='Listas suspensas'!$A$6,'Listas suspensas'!$C$6,"")))))</f>
        <v>Indica a penetração profunda, mas desuniforme em toda a extensão do alburno.</v>
      </c>
      <c r="BD579" s="13">
        <v>0.84599999999999997</v>
      </c>
      <c r="BE579" s="18">
        <f t="shared" si="99"/>
        <v>846</v>
      </c>
      <c r="BF579" s="8">
        <v>0.32200000000000001</v>
      </c>
      <c r="BG579" s="8">
        <v>0.107</v>
      </c>
      <c r="BH579" s="8">
        <v>0.217</v>
      </c>
      <c r="BI579" s="13">
        <f t="shared" si="100"/>
        <v>0.64600000000000002</v>
      </c>
      <c r="BJ579" s="14">
        <v>49.8</v>
      </c>
      <c r="BK579" s="14">
        <v>16.600000000000001</v>
      </c>
      <c r="BL579" s="14">
        <v>33.6</v>
      </c>
      <c r="BM579" s="16">
        <f t="shared" si="94"/>
        <v>100</v>
      </c>
      <c r="BN579" s="21">
        <f t="shared" si="95"/>
        <v>2.72</v>
      </c>
      <c r="BO579" s="21">
        <f t="shared" si="96"/>
        <v>0.91</v>
      </c>
      <c r="BP579" s="21">
        <f t="shared" si="97"/>
        <v>1.84</v>
      </c>
      <c r="BQ579" s="14">
        <f t="shared" si="98"/>
        <v>5.47</v>
      </c>
      <c r="BR579" s="22" t="str">
        <f>IF(OR(AND(X579="Mourões", BQ579&gt;=6.5),AND(X579="Postes", BQ579&gt;=9.6),AND(X579="Dormentes", BQ579&gt;=9.6),AND(X579="Estacas - Solo", BQ579&gt;=6.5),AND(X579="Estacas - Suspenso", BQ579&gt;=4),AND(X579="Cruzetas", BQ579&gt;=6.5),AND(X579="Outros - Solo", BQ579&gt;=6.5),AND(X579="Outros - Suspenso",BQ579&gt;=4),AND(X579="Deck",BQ579&gt;=4)),'Listas suspensas'!$C$21,'Listas suspensas'!$C$22)</f>
        <v>Os resultados da análise química apresentaram uma retenção do produto inferior ao padrão mínimo exigido pela norma ABNT NBR 16143</v>
      </c>
    </row>
    <row r="580" spans="2:70" x14ac:dyDescent="0.25">
      <c r="B580" s="8" t="s">
        <v>1518</v>
      </c>
      <c r="C580" s="8" t="s">
        <v>71</v>
      </c>
      <c r="F580" s="11">
        <v>46002</v>
      </c>
      <c r="G580" s="11">
        <v>46003</v>
      </c>
      <c r="H580" s="11">
        <v>46009</v>
      </c>
      <c r="I580" s="8" t="s">
        <v>1638</v>
      </c>
      <c r="J580" s="8" t="s">
        <v>1401</v>
      </c>
      <c r="K580" s="8" t="s">
        <v>92</v>
      </c>
      <c r="L580" s="8" t="s">
        <v>15</v>
      </c>
      <c r="M580" s="30" t="s">
        <v>1639</v>
      </c>
      <c r="N580" s="8" t="s">
        <v>1165</v>
      </c>
      <c r="O580" s="8" t="s">
        <v>76</v>
      </c>
      <c r="P580" s="28" t="s">
        <v>174</v>
      </c>
      <c r="Q580" s="16" t="s">
        <v>1644</v>
      </c>
      <c r="X580" s="8" t="s">
        <v>79</v>
      </c>
      <c r="Y580" s="34">
        <f>IF(X580='Listas suspensas'!$A$21,'Listas suspensas'!$B$23,IF(X580='Listas suspensas'!$A$22,'Listas suspensas'!$B$23,IF(X580='Listas suspensas'!$A$23,'Listas suspensas'!$B$22,IF(X580='Listas suspensas'!$A$26,'Listas suspensas'!$B$22,IF(X580='Listas suspensas'!$A$32,'Listas suspensas'!$B$22,IF(X580='Listas suspensas'!$A$33,'Listas suspensas'!$B$21,IF(X580='Listas suspensas'!$A$24,'Listas suspensas'!$B$22,IF(X580='Listas suspensas'!$A$25,'Listas suspensas'!$B$21,IF(X580='Listas suspensas'!$A$30,'Listas suspensas'!$B$21,"")))))))))</f>
        <v>6.5</v>
      </c>
      <c r="Z580" s="8" t="s">
        <v>80</v>
      </c>
      <c r="AA580" s="8">
        <v>2</v>
      </c>
      <c r="AB580" s="8" t="str">
        <f>IF(AA580='Listas suspensas'!$A$2,'Listas suspensas'!$B$2,IF(AA580='Listas suspensas'!$A$3,'Listas suspensas'!$B$3,IF(AA580='Listas suspensas'!$A$4,'Listas suspensas'!$B$4,IF(AA580='Listas suspensas'!$A$5,'Listas suspensas'!$B$5,IF(AA580='Listas suspensas'!$A$6,'Listas suspensas'!$B$6,"")))))</f>
        <v>Profunda e irregular</v>
      </c>
      <c r="AC580" s="8" t="str">
        <f>IF(AA580='Listas suspensas'!$A$2,'Listas suspensas'!$C$2,IF(AA580='Listas suspensas'!$A$3,'Listas suspensas'!$C$3,IF(AA580='Listas suspensas'!$A$4,'Listas suspensas'!$C$4,IF(AA580='Listas suspensas'!$A$5,'Listas suspensas'!$C$5,IF(AA580='Listas suspensas'!$A$6,'Listas suspensas'!$C$6,"")))))</f>
        <v>Indica a penetração profunda, mas desuniforme em toda a extensão do alburno.</v>
      </c>
      <c r="BD580" s="13">
        <v>0.85399999999999998</v>
      </c>
      <c r="BE580" s="18">
        <f t="shared" si="99"/>
        <v>854</v>
      </c>
      <c r="BF580" s="8">
        <v>0.36899999999999999</v>
      </c>
      <c r="BG580" s="8">
        <v>0.106</v>
      </c>
      <c r="BH580" s="8">
        <v>0.24399999999999999</v>
      </c>
      <c r="BI580" s="13">
        <f t="shared" si="100"/>
        <v>0.71899999999999997</v>
      </c>
      <c r="BJ580" s="14">
        <v>51.4</v>
      </c>
      <c r="BK580" s="14">
        <v>14.7</v>
      </c>
      <c r="BL580" s="14">
        <v>33.9</v>
      </c>
      <c r="BM580" s="16">
        <f t="shared" si="94"/>
        <v>100</v>
      </c>
      <c r="BN580" s="21">
        <f t="shared" si="95"/>
        <v>3.15</v>
      </c>
      <c r="BO580" s="21">
        <f t="shared" si="96"/>
        <v>0.91</v>
      </c>
      <c r="BP580" s="21">
        <f t="shared" si="97"/>
        <v>2.08</v>
      </c>
      <c r="BQ580" s="14">
        <f t="shared" si="98"/>
        <v>6.14</v>
      </c>
      <c r="BR580" s="22" t="str">
        <f>IF(OR(AND(X580="Mourões", BQ580&gt;=6.5),AND(X580="Postes", BQ580&gt;=9.6),AND(X580="Dormentes", BQ580&gt;=9.6),AND(X580="Estacas - Solo", BQ580&gt;=6.5),AND(X580="Estacas - Suspenso", BQ580&gt;=4),AND(X580="Cruzetas", BQ580&gt;=6.5),AND(X580="Outros - Solo", BQ580&gt;=6.5),AND(X580="Outros - Suspenso",BQ580&gt;=4),AND(X580="Deck",BQ580&gt;=4)),'Listas suspensas'!$C$21,'Listas suspensas'!$C$22)</f>
        <v>Os resultados da análise química apresentaram uma retenção do produto inferior ao padrão mínimo exigido pela norma ABNT NBR 16143</v>
      </c>
    </row>
    <row r="581" spans="2:70" x14ac:dyDescent="0.25">
      <c r="B581" s="8" t="s">
        <v>1519</v>
      </c>
      <c r="C581" s="8" t="s">
        <v>71</v>
      </c>
      <c r="F581" s="11">
        <v>46002</v>
      </c>
      <c r="G581" s="11">
        <v>46003</v>
      </c>
      <c r="H581" s="11">
        <v>46009</v>
      </c>
      <c r="I581" s="8" t="s">
        <v>1646</v>
      </c>
      <c r="J581" s="8" t="s">
        <v>1647</v>
      </c>
      <c r="K581" s="8" t="s">
        <v>92</v>
      </c>
      <c r="L581" s="8" t="s">
        <v>15</v>
      </c>
      <c r="M581" s="30" t="s">
        <v>1648</v>
      </c>
      <c r="N581" s="8" t="s">
        <v>1165</v>
      </c>
      <c r="O581" s="8" t="s">
        <v>76</v>
      </c>
      <c r="P581" s="28" t="s">
        <v>146</v>
      </c>
      <c r="Q581" s="16" t="s">
        <v>1649</v>
      </c>
      <c r="X581" s="8" t="s">
        <v>79</v>
      </c>
      <c r="Y581" s="34">
        <f>IF(X581='Listas suspensas'!$A$21,'Listas suspensas'!$B$23,IF(X581='Listas suspensas'!$A$22,'Listas suspensas'!$B$23,IF(X581='Listas suspensas'!$A$23,'Listas suspensas'!$B$22,IF(X581='Listas suspensas'!$A$26,'Listas suspensas'!$B$22,IF(X581='Listas suspensas'!$A$32,'Listas suspensas'!$B$22,IF(X581='Listas suspensas'!$A$33,'Listas suspensas'!$B$21,IF(X581='Listas suspensas'!$A$24,'Listas suspensas'!$B$22,IF(X581='Listas suspensas'!$A$25,'Listas suspensas'!$B$21,IF(X581='Listas suspensas'!$A$30,'Listas suspensas'!$B$21,"")))))))))</f>
        <v>6.5</v>
      </c>
      <c r="Z581" s="8" t="s">
        <v>80</v>
      </c>
      <c r="AA581" s="8">
        <v>3</v>
      </c>
      <c r="AB581" s="8" t="str">
        <f>IF(AA581='Listas suspensas'!$A$2,'Listas suspensas'!$B$2,IF(AA581='Listas suspensas'!$A$3,'Listas suspensas'!$B$3,IF(AA581='Listas suspensas'!$A$4,'Listas suspensas'!$B$4,IF(AA581='Listas suspensas'!$A$5,'Listas suspensas'!$B$5,IF(AA581='Listas suspensas'!$A$6,'Listas suspensas'!$B$6,"")))))</f>
        <v xml:space="preserve"> Parcial e regular</v>
      </c>
      <c r="AC581" s="8" t="str">
        <f>IF(AA581='Listas suspensas'!$A$2,'Listas suspensas'!$C$2,IF(AA581='Listas suspensas'!$A$3,'Listas suspensas'!$C$3,IF(AA581='Listas suspensas'!$A$4,'Listas suspensas'!$C$4,IF(AA581='Listas suspensas'!$A$5,'Listas suspensas'!$C$5,IF(AA581='Listas suspensas'!$A$6,'Listas suspensas'!$C$6,"")))))</f>
        <v>Indica a penetração uniforme, mas não total pela extensão do alburno.</v>
      </c>
      <c r="BD581" s="13">
        <v>0.71599999999999997</v>
      </c>
      <c r="BE581" s="18">
        <f t="shared" si="99"/>
        <v>716</v>
      </c>
      <c r="BF581" s="8">
        <v>0.23400000000000001</v>
      </c>
      <c r="BG581" s="8">
        <v>9.4E-2</v>
      </c>
      <c r="BH581" s="8">
        <v>0.20499999999999999</v>
      </c>
      <c r="BI581" s="13">
        <f t="shared" si="100"/>
        <v>0.53300000000000003</v>
      </c>
      <c r="BJ581" s="14">
        <v>43.9</v>
      </c>
      <c r="BK581" s="14">
        <v>17.7</v>
      </c>
      <c r="BL581" s="14">
        <v>38.4</v>
      </c>
      <c r="BM581" s="16">
        <f t="shared" si="94"/>
        <v>100</v>
      </c>
      <c r="BN581" s="21">
        <f t="shared" si="95"/>
        <v>1.68</v>
      </c>
      <c r="BO581" s="21">
        <f t="shared" si="96"/>
        <v>0.67</v>
      </c>
      <c r="BP581" s="21">
        <f t="shared" si="97"/>
        <v>1.47</v>
      </c>
      <c r="BQ581" s="14">
        <f t="shared" si="98"/>
        <v>3.82</v>
      </c>
      <c r="BR581" s="22" t="str">
        <f>IF(OR(AND(X581="Mourões", BQ581&gt;=6.5),AND(X581="Postes", BQ581&gt;=9.6),AND(X581="Dormentes", BQ581&gt;=9.6),AND(X581="Estacas - Solo", BQ581&gt;=6.5),AND(X581="Estacas - Suspenso", BQ581&gt;=4),AND(X581="Cruzetas", BQ581&gt;=6.5),AND(X581="Outros - Solo", BQ581&gt;=6.5),AND(X581="Outros - Suspenso",BQ581&gt;=4),AND(X581="Deck",BQ581&gt;=4)),'Listas suspensas'!$C$21,'Listas suspensas'!$C$22)</f>
        <v>Os resultados da análise química apresentaram uma retenção do produto inferior ao padrão mínimo exigido pela norma ABNT NBR 16143</v>
      </c>
    </row>
    <row r="582" spans="2:70" x14ac:dyDescent="0.25">
      <c r="B582" s="8" t="s">
        <v>1520</v>
      </c>
      <c r="C582" s="8" t="s">
        <v>71</v>
      </c>
      <c r="F582" s="11">
        <v>46002</v>
      </c>
      <c r="G582" s="11">
        <v>46003</v>
      </c>
      <c r="H582" s="11">
        <v>46009</v>
      </c>
      <c r="I582" s="8" t="s">
        <v>1646</v>
      </c>
      <c r="J582" s="8" t="s">
        <v>1647</v>
      </c>
      <c r="K582" s="8" t="s">
        <v>92</v>
      </c>
      <c r="L582" s="8" t="s">
        <v>15</v>
      </c>
      <c r="M582" s="30" t="s">
        <v>1648</v>
      </c>
      <c r="N582" s="8" t="s">
        <v>1165</v>
      </c>
      <c r="O582" s="8" t="s">
        <v>76</v>
      </c>
      <c r="P582" s="28" t="s">
        <v>146</v>
      </c>
      <c r="Q582" s="16" t="s">
        <v>1650</v>
      </c>
      <c r="X582" s="8" t="s">
        <v>79</v>
      </c>
      <c r="Y582" s="34">
        <f>IF(X582='Listas suspensas'!$A$21,'Listas suspensas'!$B$23,IF(X582='Listas suspensas'!$A$22,'Listas suspensas'!$B$23,IF(X582='Listas suspensas'!$A$23,'Listas suspensas'!$B$22,IF(X582='Listas suspensas'!$A$26,'Listas suspensas'!$B$22,IF(X582='Listas suspensas'!$A$32,'Listas suspensas'!$B$22,IF(X582='Listas suspensas'!$A$33,'Listas suspensas'!$B$21,IF(X582='Listas suspensas'!$A$24,'Listas suspensas'!$B$22,IF(X582='Listas suspensas'!$A$25,'Listas suspensas'!$B$21,IF(X582='Listas suspensas'!$A$30,'Listas suspensas'!$B$21,"")))))))))</f>
        <v>6.5</v>
      </c>
      <c r="Z582" s="8" t="s">
        <v>80</v>
      </c>
      <c r="AA582" s="8">
        <v>2</v>
      </c>
      <c r="AB582" s="8" t="str">
        <f>IF(AA582='Listas suspensas'!$A$2,'Listas suspensas'!$B$2,IF(AA582='Listas suspensas'!$A$3,'Listas suspensas'!$B$3,IF(AA582='Listas suspensas'!$A$4,'Listas suspensas'!$B$4,IF(AA582='Listas suspensas'!$A$5,'Listas suspensas'!$B$5,IF(AA582='Listas suspensas'!$A$6,'Listas suspensas'!$B$6,"")))))</f>
        <v>Profunda e irregular</v>
      </c>
      <c r="AC582" s="8" t="str">
        <f>IF(AA582='Listas suspensas'!$A$2,'Listas suspensas'!$C$2,IF(AA582='Listas suspensas'!$A$3,'Listas suspensas'!$C$3,IF(AA582='Listas suspensas'!$A$4,'Listas suspensas'!$C$4,IF(AA582='Listas suspensas'!$A$5,'Listas suspensas'!$C$5,IF(AA582='Listas suspensas'!$A$6,'Listas suspensas'!$C$6,"")))))</f>
        <v>Indica a penetração profunda, mas desuniforme em toda a extensão do alburno.</v>
      </c>
      <c r="BD582" s="13">
        <v>0.72</v>
      </c>
      <c r="BE582" s="18">
        <f t="shared" si="99"/>
        <v>720</v>
      </c>
      <c r="BF582" s="8">
        <v>0.38100000000000001</v>
      </c>
      <c r="BG582" s="8">
        <v>0.13600000000000001</v>
      </c>
      <c r="BH582" s="8">
        <v>0.255</v>
      </c>
      <c r="BI582" s="13">
        <f t="shared" si="100"/>
        <v>0.77200000000000002</v>
      </c>
      <c r="BJ582" s="14">
        <v>49.3</v>
      </c>
      <c r="BK582" s="14">
        <v>17.600000000000001</v>
      </c>
      <c r="BL582" s="14">
        <v>33.1</v>
      </c>
      <c r="BM582" s="16">
        <f t="shared" si="94"/>
        <v>100</v>
      </c>
      <c r="BN582" s="21">
        <f t="shared" si="95"/>
        <v>2.74</v>
      </c>
      <c r="BO582" s="21">
        <f t="shared" si="96"/>
        <v>0.98</v>
      </c>
      <c r="BP582" s="21">
        <f t="shared" si="97"/>
        <v>1.84</v>
      </c>
      <c r="BQ582" s="14">
        <f t="shared" si="98"/>
        <v>5.56</v>
      </c>
      <c r="BR582" s="22" t="str">
        <f>IF(OR(AND(X582="Mourões", BQ582&gt;=6.5),AND(X582="Postes", BQ582&gt;=9.6),AND(X582="Dormentes", BQ582&gt;=9.6),AND(X582="Estacas - Solo", BQ582&gt;=6.5),AND(X582="Estacas - Suspenso", BQ582&gt;=4),AND(X582="Cruzetas", BQ582&gt;=6.5),AND(X582="Outros - Solo", BQ582&gt;=6.5),AND(X582="Outros - Suspenso",BQ582&gt;=4),AND(X582="Deck",BQ582&gt;=4)),'Listas suspensas'!$C$21,'Listas suspensas'!$C$22)</f>
        <v>Os resultados da análise química apresentaram uma retenção do produto inferior ao padrão mínimo exigido pela norma ABNT NBR 16143</v>
      </c>
    </row>
    <row r="583" spans="2:70" x14ac:dyDescent="0.25">
      <c r="B583" s="8" t="s">
        <v>1521</v>
      </c>
      <c r="C583" s="8" t="s">
        <v>71</v>
      </c>
      <c r="F583" s="11">
        <v>46002</v>
      </c>
      <c r="G583" s="11">
        <v>46003</v>
      </c>
      <c r="H583" s="11">
        <v>46009</v>
      </c>
      <c r="I583" s="8" t="s">
        <v>1652</v>
      </c>
      <c r="J583" s="8" t="s">
        <v>832</v>
      </c>
      <c r="K583" s="8" t="s">
        <v>92</v>
      </c>
      <c r="L583" s="8" t="s">
        <v>15</v>
      </c>
      <c r="M583" s="30" t="s">
        <v>1653</v>
      </c>
      <c r="N583" s="8" t="s">
        <v>1165</v>
      </c>
      <c r="O583" s="8" t="s">
        <v>76</v>
      </c>
      <c r="P583" s="28" t="s">
        <v>146</v>
      </c>
      <c r="Q583" s="16" t="s">
        <v>1651</v>
      </c>
      <c r="X583" s="8" t="s">
        <v>79</v>
      </c>
      <c r="Y583" s="34">
        <f>IF(X583='Listas suspensas'!$A$21,'Listas suspensas'!$B$23,IF(X583='Listas suspensas'!$A$22,'Listas suspensas'!$B$23,IF(X583='Listas suspensas'!$A$23,'Listas suspensas'!$B$22,IF(X583='Listas suspensas'!$A$26,'Listas suspensas'!$B$22,IF(X583='Listas suspensas'!$A$32,'Listas suspensas'!$B$22,IF(X583='Listas suspensas'!$A$33,'Listas suspensas'!$B$21,IF(X583='Listas suspensas'!$A$24,'Listas suspensas'!$B$22,IF(X583='Listas suspensas'!$A$25,'Listas suspensas'!$B$21,IF(X583='Listas suspensas'!$A$30,'Listas suspensas'!$B$21,"")))))))))</f>
        <v>6.5</v>
      </c>
      <c r="Z583" s="8" t="s">
        <v>80</v>
      </c>
      <c r="AA583" s="8">
        <v>2</v>
      </c>
      <c r="AB583" s="8" t="str">
        <f>IF(AA583='Listas suspensas'!$A$2,'Listas suspensas'!$B$2,IF(AA583='Listas suspensas'!$A$3,'Listas suspensas'!$B$3,IF(AA583='Listas suspensas'!$A$4,'Listas suspensas'!$B$4,IF(AA583='Listas suspensas'!$A$5,'Listas suspensas'!$B$5,IF(AA583='Listas suspensas'!$A$6,'Listas suspensas'!$B$6,"")))))</f>
        <v>Profunda e irregular</v>
      </c>
      <c r="AC583" s="8" t="str">
        <f>IF(AA583='Listas suspensas'!$A$2,'Listas suspensas'!$C$2,IF(AA583='Listas suspensas'!$A$3,'Listas suspensas'!$C$3,IF(AA583='Listas suspensas'!$A$4,'Listas suspensas'!$C$4,IF(AA583='Listas suspensas'!$A$5,'Listas suspensas'!$C$5,IF(AA583='Listas suspensas'!$A$6,'Listas suspensas'!$C$6,"")))))</f>
        <v>Indica a penetração profunda, mas desuniforme em toda a extensão do alburno.</v>
      </c>
      <c r="BD583" s="13">
        <v>0.628</v>
      </c>
      <c r="BE583" s="18">
        <f t="shared" si="99"/>
        <v>628</v>
      </c>
      <c r="BF583" s="8">
        <v>0.36899999999999999</v>
      </c>
      <c r="BG583" s="8">
        <v>0.215</v>
      </c>
      <c r="BH583" s="8">
        <v>0.39100000000000001</v>
      </c>
      <c r="BI583" s="13">
        <f t="shared" si="100"/>
        <v>0.97499999999999998</v>
      </c>
      <c r="BJ583" s="14">
        <v>37.799999999999997</v>
      </c>
      <c r="BK583" s="14">
        <v>22.1</v>
      </c>
      <c r="BL583" s="14">
        <v>40.1</v>
      </c>
      <c r="BM583" s="16">
        <f t="shared" si="94"/>
        <v>100</v>
      </c>
      <c r="BN583" s="21">
        <f t="shared" si="95"/>
        <v>2.3199999999999998</v>
      </c>
      <c r="BO583" s="21">
        <f t="shared" si="96"/>
        <v>1.35</v>
      </c>
      <c r="BP583" s="21">
        <f t="shared" si="97"/>
        <v>2.46</v>
      </c>
      <c r="BQ583" s="14">
        <f t="shared" si="98"/>
        <v>6.13</v>
      </c>
      <c r="BR583" s="22" t="str">
        <f>IF(OR(AND(X583="Mourões", BQ583&gt;=6.5),AND(X583="Postes", BQ583&gt;=9.6),AND(X583="Dormentes", BQ583&gt;=9.6),AND(X583="Estacas - Solo", BQ583&gt;=6.5),AND(X583="Estacas - Suspenso", BQ583&gt;=4),AND(X583="Cruzetas", BQ583&gt;=6.5),AND(X583="Outros - Solo", BQ583&gt;=6.5),AND(X583="Outros - Suspenso",BQ583&gt;=4),AND(X583="Deck",BQ583&gt;=4)),'Listas suspensas'!$C$21,'Listas suspensas'!$C$22)</f>
        <v>Os resultados da análise química apresentaram uma retenção do produto inferior ao padrão mínimo exigido pela norma ABNT NBR 16143</v>
      </c>
    </row>
    <row r="584" spans="2:70" x14ac:dyDescent="0.25">
      <c r="B584" s="8" t="s">
        <v>1522</v>
      </c>
      <c r="C584" s="8" t="s">
        <v>71</v>
      </c>
      <c r="F584" s="11">
        <v>46002</v>
      </c>
      <c r="G584" s="11">
        <v>46003</v>
      </c>
      <c r="H584" s="11">
        <v>46009</v>
      </c>
      <c r="I584" s="8" t="s">
        <v>1652</v>
      </c>
      <c r="J584" s="8" t="s">
        <v>832</v>
      </c>
      <c r="K584" s="8" t="s">
        <v>92</v>
      </c>
      <c r="L584" s="8" t="s">
        <v>15</v>
      </c>
      <c r="M584" s="30" t="s">
        <v>1653</v>
      </c>
      <c r="N584" s="8" t="s">
        <v>1165</v>
      </c>
      <c r="O584" s="8" t="s">
        <v>76</v>
      </c>
      <c r="P584" s="28" t="s">
        <v>146</v>
      </c>
      <c r="Q584" s="16" t="s">
        <v>1736</v>
      </c>
      <c r="X584" s="8" t="s">
        <v>79</v>
      </c>
      <c r="Y584" s="34">
        <f>IF(X584='Listas suspensas'!$A$21,'Listas suspensas'!$B$23,IF(X584='Listas suspensas'!$A$22,'Listas suspensas'!$B$23,IF(X584='Listas suspensas'!$A$23,'Listas suspensas'!$B$22,IF(X584='Listas suspensas'!$A$26,'Listas suspensas'!$B$22,IF(X584='Listas suspensas'!$A$32,'Listas suspensas'!$B$22,IF(X584='Listas suspensas'!$A$33,'Listas suspensas'!$B$21,IF(X584='Listas suspensas'!$A$24,'Listas suspensas'!$B$22,IF(X584='Listas suspensas'!$A$25,'Listas suspensas'!$B$21,IF(X584='Listas suspensas'!$A$30,'Listas suspensas'!$B$21,"")))))))))</f>
        <v>6.5</v>
      </c>
      <c r="Z584" s="8" t="s">
        <v>80</v>
      </c>
      <c r="AA584" s="8">
        <v>2</v>
      </c>
      <c r="AB584" s="8" t="str">
        <f>IF(AA584='Listas suspensas'!$A$2,'Listas suspensas'!$B$2,IF(AA584='Listas suspensas'!$A$3,'Listas suspensas'!$B$3,IF(AA584='Listas suspensas'!$A$4,'Listas suspensas'!$B$4,IF(AA584='Listas suspensas'!$A$5,'Listas suspensas'!$B$5,IF(AA584='Listas suspensas'!$A$6,'Listas suspensas'!$B$6,"")))))</f>
        <v>Profunda e irregular</v>
      </c>
      <c r="AC584" s="8" t="str">
        <f>IF(AA584='Listas suspensas'!$A$2,'Listas suspensas'!$C$2,IF(AA584='Listas suspensas'!$A$3,'Listas suspensas'!$C$3,IF(AA584='Listas suspensas'!$A$4,'Listas suspensas'!$C$4,IF(AA584='Listas suspensas'!$A$5,'Listas suspensas'!$C$5,IF(AA584='Listas suspensas'!$A$6,'Listas suspensas'!$C$6,"")))))</f>
        <v>Indica a penetração profunda, mas desuniforme em toda a extensão do alburno.</v>
      </c>
      <c r="BD584" s="13">
        <v>0.755</v>
      </c>
      <c r="BE584" s="18">
        <f t="shared" si="99"/>
        <v>755</v>
      </c>
      <c r="BF584" s="8">
        <v>0.60699999999999998</v>
      </c>
      <c r="BG584" s="8">
        <v>0.2</v>
      </c>
      <c r="BH584" s="8">
        <v>0.33500000000000002</v>
      </c>
      <c r="BI584" s="13">
        <f t="shared" si="100"/>
        <v>1.1419999999999999</v>
      </c>
      <c r="BJ584" s="14">
        <v>53.1</v>
      </c>
      <c r="BK584" s="14">
        <v>17.5</v>
      </c>
      <c r="BL584" s="14">
        <v>29.4</v>
      </c>
      <c r="BM584" s="16">
        <f t="shared" si="94"/>
        <v>100</v>
      </c>
      <c r="BN584" s="21">
        <f t="shared" si="95"/>
        <v>4.58</v>
      </c>
      <c r="BO584" s="21">
        <f t="shared" si="96"/>
        <v>1.51</v>
      </c>
      <c r="BP584" s="21">
        <f t="shared" si="97"/>
        <v>2.5299999999999998</v>
      </c>
      <c r="BQ584" s="14">
        <f t="shared" si="98"/>
        <v>8.6199999999999992</v>
      </c>
      <c r="BR584" s="22" t="str">
        <f>IF(OR(AND(X584="Mourões", BQ584&gt;=6.5),AND(X584="Postes", BQ584&gt;=9.6),AND(X584="Dormentes", BQ584&gt;=9.6),AND(X584="Estacas - Solo", BQ584&gt;=6.5),AND(X584="Estacas - Suspenso", BQ584&gt;=4),AND(X584="Cruzetas", BQ584&gt;=6.5),AND(X584="Outros - Solo", BQ584&gt;=6.5),AND(X584="Outros - Suspenso",BQ584&gt;=4),AND(X584="Deck",BQ584&gt;=4)),'Listas suspensas'!$C$21,'Listas suspensas'!$C$22)</f>
        <v>Os resultados da análise química apresentaram uma retenção do produto de acordo com o padrão mínimo exigido pela norma ABNT NBR 16143</v>
      </c>
    </row>
    <row r="585" spans="2:70" x14ac:dyDescent="0.25">
      <c r="B585" s="8" t="s">
        <v>1523</v>
      </c>
      <c r="C585" s="8" t="s">
        <v>71</v>
      </c>
      <c r="F585" s="11">
        <v>46002</v>
      </c>
      <c r="G585" s="11">
        <v>46003</v>
      </c>
      <c r="H585" s="11">
        <v>46009</v>
      </c>
      <c r="I585" s="8" t="s">
        <v>1652</v>
      </c>
      <c r="J585" s="8" t="s">
        <v>832</v>
      </c>
      <c r="K585" s="8" t="s">
        <v>92</v>
      </c>
      <c r="L585" s="8" t="s">
        <v>15</v>
      </c>
      <c r="M585" s="30" t="s">
        <v>1653</v>
      </c>
      <c r="N585" s="8" t="s">
        <v>1165</v>
      </c>
      <c r="O585" s="8" t="s">
        <v>76</v>
      </c>
      <c r="P585" s="28" t="s">
        <v>146</v>
      </c>
      <c r="Q585" s="16" t="s">
        <v>1733</v>
      </c>
      <c r="X585" s="8" t="s">
        <v>79</v>
      </c>
      <c r="Y585" s="34">
        <f>IF(X585='Listas suspensas'!$A$21,'Listas suspensas'!$B$23,IF(X585='Listas suspensas'!$A$22,'Listas suspensas'!$B$23,IF(X585='Listas suspensas'!$A$23,'Listas suspensas'!$B$22,IF(X585='Listas suspensas'!$A$26,'Listas suspensas'!$B$22,IF(X585='Listas suspensas'!$A$32,'Listas suspensas'!$B$22,IF(X585='Listas suspensas'!$A$33,'Listas suspensas'!$B$21,IF(X585='Listas suspensas'!$A$24,'Listas suspensas'!$B$22,IF(X585='Listas suspensas'!$A$25,'Listas suspensas'!$B$21,IF(X585='Listas suspensas'!$A$30,'Listas suspensas'!$B$21,"")))))))))</f>
        <v>6.5</v>
      </c>
      <c r="Z585" s="8" t="s">
        <v>80</v>
      </c>
      <c r="AA585" s="8">
        <v>2</v>
      </c>
      <c r="AB585" s="8" t="str">
        <f>IF(AA585='Listas suspensas'!$A$2,'Listas suspensas'!$B$2,IF(AA585='Listas suspensas'!$A$3,'Listas suspensas'!$B$3,IF(AA585='Listas suspensas'!$A$4,'Listas suspensas'!$B$4,IF(AA585='Listas suspensas'!$A$5,'Listas suspensas'!$B$5,IF(AA585='Listas suspensas'!$A$6,'Listas suspensas'!$B$6,"")))))</f>
        <v>Profunda e irregular</v>
      </c>
      <c r="AC585" s="8" t="str">
        <f>IF(AA585='Listas suspensas'!$A$2,'Listas suspensas'!$C$2,IF(AA585='Listas suspensas'!$A$3,'Listas suspensas'!$C$3,IF(AA585='Listas suspensas'!$A$4,'Listas suspensas'!$C$4,IF(AA585='Listas suspensas'!$A$5,'Listas suspensas'!$C$5,IF(AA585='Listas suspensas'!$A$6,'Listas suspensas'!$C$6,"")))))</f>
        <v>Indica a penetração profunda, mas desuniforme em toda a extensão do alburno.</v>
      </c>
      <c r="BD585" s="13">
        <v>0.66800000000000004</v>
      </c>
      <c r="BE585" s="18">
        <f t="shared" si="99"/>
        <v>668</v>
      </c>
      <c r="BF585" s="8">
        <v>0.45700000000000002</v>
      </c>
      <c r="BG585" s="8">
        <v>0.218</v>
      </c>
      <c r="BH585" s="8">
        <v>0.434</v>
      </c>
      <c r="BI585" s="13">
        <f t="shared" si="100"/>
        <v>1.109</v>
      </c>
      <c r="BJ585" s="14">
        <v>41.2</v>
      </c>
      <c r="BK585" s="14">
        <v>19.7</v>
      </c>
      <c r="BL585" s="14">
        <v>39.1</v>
      </c>
      <c r="BM585" s="16">
        <f t="shared" si="94"/>
        <v>100</v>
      </c>
      <c r="BN585" s="21">
        <f t="shared" si="95"/>
        <v>3.05</v>
      </c>
      <c r="BO585" s="21">
        <f t="shared" si="96"/>
        <v>1.46</v>
      </c>
      <c r="BP585" s="21">
        <f t="shared" si="97"/>
        <v>2.9</v>
      </c>
      <c r="BQ585" s="14">
        <f t="shared" si="98"/>
        <v>7.41</v>
      </c>
      <c r="BR585" s="22" t="str">
        <f>IF(OR(AND(X585="Mourões", BQ585&gt;=6.5),AND(X585="Postes", BQ585&gt;=9.6),AND(X585="Dormentes", BQ585&gt;=9.6),AND(X585="Estacas - Solo", BQ585&gt;=6.5),AND(X585="Estacas - Suspenso", BQ585&gt;=4),AND(X585="Cruzetas", BQ585&gt;=6.5),AND(X585="Outros - Solo", BQ585&gt;=6.5),AND(X585="Outros - Suspenso",BQ585&gt;=4),AND(X585="Deck",BQ585&gt;=4)),'Listas suspensas'!$C$21,'Listas suspensas'!$C$22)</f>
        <v>Os resultados da análise química apresentaram uma retenção do produto de acordo com o padrão mínimo exigido pela norma ABNT NBR 16143</v>
      </c>
    </row>
    <row r="586" spans="2:70" x14ac:dyDescent="0.25">
      <c r="B586" s="8" t="s">
        <v>1524</v>
      </c>
      <c r="C586" s="8" t="s">
        <v>71</v>
      </c>
      <c r="F586" s="11">
        <v>46002</v>
      </c>
      <c r="G586" s="11">
        <v>46003</v>
      </c>
      <c r="H586" s="11">
        <v>46009</v>
      </c>
      <c r="I586" s="8" t="s">
        <v>503</v>
      </c>
      <c r="J586" s="8" t="s">
        <v>504</v>
      </c>
      <c r="K586" s="8" t="s">
        <v>92</v>
      </c>
      <c r="L586" s="8" t="s">
        <v>15</v>
      </c>
      <c r="M586" s="30" t="s">
        <v>891</v>
      </c>
      <c r="N586" s="8" t="s">
        <v>1165</v>
      </c>
      <c r="O586" s="8" t="s">
        <v>76</v>
      </c>
      <c r="P586" s="28" t="s">
        <v>146</v>
      </c>
      <c r="Q586" s="16" t="s">
        <v>1655</v>
      </c>
      <c r="X586" s="8" t="s">
        <v>79</v>
      </c>
      <c r="Y586" s="34">
        <f>IF(X586='Listas suspensas'!$A$21,'Listas suspensas'!$B$23,IF(X586='Listas suspensas'!$A$22,'Listas suspensas'!$B$23,IF(X586='Listas suspensas'!$A$23,'Listas suspensas'!$B$22,IF(X586='Listas suspensas'!$A$26,'Listas suspensas'!$B$22,IF(X586='Listas suspensas'!$A$32,'Listas suspensas'!$B$22,IF(X586='Listas suspensas'!$A$33,'Listas suspensas'!$B$21,IF(X586='Listas suspensas'!$A$24,'Listas suspensas'!$B$22,IF(X586='Listas suspensas'!$A$25,'Listas suspensas'!$B$21,IF(X586='Listas suspensas'!$A$30,'Listas suspensas'!$B$21,"")))))))))</f>
        <v>6.5</v>
      </c>
      <c r="Z586" s="8" t="s">
        <v>80</v>
      </c>
      <c r="AA586" s="8">
        <v>2</v>
      </c>
      <c r="AB586" s="8" t="str">
        <f>IF(AA586='Listas suspensas'!$A$2,'Listas suspensas'!$B$2,IF(AA586='Listas suspensas'!$A$3,'Listas suspensas'!$B$3,IF(AA586='Listas suspensas'!$A$4,'Listas suspensas'!$B$4,IF(AA586='Listas suspensas'!$A$5,'Listas suspensas'!$B$5,IF(AA586='Listas suspensas'!$A$6,'Listas suspensas'!$B$6,"")))))</f>
        <v>Profunda e irregular</v>
      </c>
      <c r="AC586" s="8" t="str">
        <f>IF(AA586='Listas suspensas'!$A$2,'Listas suspensas'!$C$2,IF(AA586='Listas suspensas'!$A$3,'Listas suspensas'!$C$3,IF(AA586='Listas suspensas'!$A$4,'Listas suspensas'!$C$4,IF(AA586='Listas suspensas'!$A$5,'Listas suspensas'!$C$5,IF(AA586='Listas suspensas'!$A$6,'Listas suspensas'!$C$6,"")))))</f>
        <v>Indica a penetração profunda, mas desuniforme em toda a extensão do alburno.</v>
      </c>
      <c r="BD586" s="13">
        <v>0.46200000000000002</v>
      </c>
      <c r="BE586" s="18">
        <f t="shared" si="99"/>
        <v>462</v>
      </c>
      <c r="BF586" s="8">
        <v>0.56499999999999995</v>
      </c>
      <c r="BG586" s="8">
        <v>0.23100000000000001</v>
      </c>
      <c r="BH586" s="8">
        <v>0.38500000000000001</v>
      </c>
      <c r="BI586" s="13">
        <f t="shared" si="100"/>
        <v>1.181</v>
      </c>
      <c r="BJ586" s="14">
        <v>47.9</v>
      </c>
      <c r="BK586" s="14">
        <v>19.5</v>
      </c>
      <c r="BL586" s="14">
        <v>32.6</v>
      </c>
      <c r="BM586" s="16">
        <f t="shared" si="94"/>
        <v>100</v>
      </c>
      <c r="BN586" s="21">
        <f t="shared" si="95"/>
        <v>2.61</v>
      </c>
      <c r="BO586" s="21">
        <f t="shared" si="96"/>
        <v>1.07</v>
      </c>
      <c r="BP586" s="21">
        <f t="shared" si="97"/>
        <v>1.78</v>
      </c>
      <c r="BQ586" s="14">
        <f t="shared" si="98"/>
        <v>5.46</v>
      </c>
      <c r="BR586" s="22" t="str">
        <f>IF(OR(AND(X586="Mourões", BQ586&gt;=6.5),AND(X586="Postes", BQ586&gt;=9.6),AND(X586="Dormentes", BQ586&gt;=9.6),AND(X586="Estacas - Solo", BQ586&gt;=6.5),AND(X586="Estacas - Suspenso", BQ586&gt;=4),AND(X586="Cruzetas", BQ586&gt;=6.5),AND(X586="Outros - Solo", BQ586&gt;=6.5),AND(X586="Outros - Suspenso",BQ586&gt;=4),AND(X586="Deck",BQ586&gt;=4)),'Listas suspensas'!$C$21,'Listas suspensas'!$C$22)</f>
        <v>Os resultados da análise química apresentaram uma retenção do produto inferior ao padrão mínimo exigido pela norma ABNT NBR 16143</v>
      </c>
    </row>
    <row r="587" spans="2:70" x14ac:dyDescent="0.25">
      <c r="B587" s="8" t="s">
        <v>1525</v>
      </c>
      <c r="C587" s="8" t="s">
        <v>71</v>
      </c>
      <c r="F587" s="11">
        <v>46002</v>
      </c>
      <c r="G587" s="11">
        <v>46003</v>
      </c>
      <c r="H587" s="11">
        <v>46009</v>
      </c>
      <c r="I587" s="8" t="s">
        <v>503</v>
      </c>
      <c r="J587" s="8" t="s">
        <v>504</v>
      </c>
      <c r="K587" s="8" t="s">
        <v>92</v>
      </c>
      <c r="L587" s="8" t="s">
        <v>15</v>
      </c>
      <c r="M587" s="30" t="s">
        <v>891</v>
      </c>
      <c r="N587" s="8" t="s">
        <v>1165</v>
      </c>
      <c r="O587" s="8" t="s">
        <v>76</v>
      </c>
      <c r="P587" s="28" t="s">
        <v>146</v>
      </c>
      <c r="Q587" s="16" t="s">
        <v>1656</v>
      </c>
      <c r="X587" s="8" t="s">
        <v>699</v>
      </c>
      <c r="Y587" s="34">
        <f>IF(X587='Listas suspensas'!$A$21,'Listas suspensas'!$B$23,IF(X587='Listas suspensas'!$A$22,'Listas suspensas'!$B$23,IF(X587='Listas suspensas'!$A$23,'Listas suspensas'!$B$22,IF(X587='Listas suspensas'!$A$26,'Listas suspensas'!$B$22,IF(X587='Listas suspensas'!$A$32,'Listas suspensas'!$B$22,IF(X587='Listas suspensas'!$A$33,'Listas suspensas'!$B$21,IF(X587='Listas suspensas'!$A$24,'Listas suspensas'!$B$22,IF(X587='Listas suspensas'!$A$25,'Listas suspensas'!$B$21,IF(X587='Listas suspensas'!$A$30,'Listas suspensas'!$B$21,"")))))))))</f>
        <v>4</v>
      </c>
      <c r="Z587" s="8" t="s">
        <v>80</v>
      </c>
      <c r="AA587" s="8">
        <v>2</v>
      </c>
      <c r="AB587" s="8" t="str">
        <f>IF(AA587='Listas suspensas'!$A$2,'Listas suspensas'!$B$2,IF(AA587='Listas suspensas'!$A$3,'Listas suspensas'!$B$3,IF(AA587='Listas suspensas'!$A$4,'Listas suspensas'!$B$4,IF(AA587='Listas suspensas'!$A$5,'Listas suspensas'!$B$5,IF(AA587='Listas suspensas'!$A$6,'Listas suspensas'!$B$6,"")))))</f>
        <v>Profunda e irregular</v>
      </c>
      <c r="AC587" s="8" t="str">
        <f>IF(AA587='Listas suspensas'!$A$2,'Listas suspensas'!$C$2,IF(AA587='Listas suspensas'!$A$3,'Listas suspensas'!$C$3,IF(AA587='Listas suspensas'!$A$4,'Listas suspensas'!$C$4,IF(AA587='Listas suspensas'!$A$5,'Listas suspensas'!$C$5,IF(AA587='Listas suspensas'!$A$6,'Listas suspensas'!$C$6,"")))))</f>
        <v>Indica a penetração profunda, mas desuniforme em toda a extensão do alburno.</v>
      </c>
      <c r="BD587" s="13">
        <v>0.76200000000000001</v>
      </c>
      <c r="BE587" s="18">
        <f t="shared" si="99"/>
        <v>762</v>
      </c>
      <c r="BF587" s="8">
        <v>0.35699999999999998</v>
      </c>
      <c r="BG587" s="8">
        <v>0.18099999999999999</v>
      </c>
      <c r="BH587" s="8">
        <v>0.39300000000000002</v>
      </c>
      <c r="BI587" s="13">
        <f t="shared" si="100"/>
        <v>0.93100000000000005</v>
      </c>
      <c r="BJ587" s="14">
        <v>38.299999999999997</v>
      </c>
      <c r="BK587" s="14">
        <v>19.5</v>
      </c>
      <c r="BL587" s="14">
        <v>42.2</v>
      </c>
      <c r="BM587" s="16">
        <f t="shared" si="94"/>
        <v>100</v>
      </c>
      <c r="BN587" s="21">
        <f t="shared" si="95"/>
        <v>2.72</v>
      </c>
      <c r="BO587" s="21">
        <f t="shared" si="96"/>
        <v>1.38</v>
      </c>
      <c r="BP587" s="21">
        <f t="shared" si="97"/>
        <v>2.99</v>
      </c>
      <c r="BQ587" s="14">
        <f t="shared" si="98"/>
        <v>7.09</v>
      </c>
      <c r="BR587" s="22" t="str">
        <f>IF(OR(AND(X587="Mourões", BQ587&gt;=6.5),AND(X587="Postes", BQ587&gt;=9.6),AND(X587="Dormentes", BQ587&gt;=9.6),AND(X587="Estacas - Solo", BQ587&gt;=6.5),AND(X587="Estacas - Suspenso", BQ587&gt;=4),AND(X587="Cruzetas", BQ587&gt;=6.5),AND(X587="Outros - Solo", BQ587&gt;=6.5),AND(X587="Outros - Suspenso",BQ587&gt;=4),AND(X587="Deck",BQ587&gt;=4)),'Listas suspensas'!$C$21,'Listas suspensas'!$C$22)</f>
        <v>Os resultados da análise química apresentaram uma retenção do produto de acordo com o padrão mínimo exigido pela norma ABNT NBR 16143</v>
      </c>
    </row>
    <row r="588" spans="2:70" x14ac:dyDescent="0.25">
      <c r="B588" s="8" t="s">
        <v>1526</v>
      </c>
      <c r="C588" s="8" t="s">
        <v>71</v>
      </c>
      <c r="F588" s="11">
        <v>46002</v>
      </c>
      <c r="G588" s="11">
        <v>46003</v>
      </c>
      <c r="H588" s="11">
        <v>46009</v>
      </c>
      <c r="I588" s="8" t="s">
        <v>503</v>
      </c>
      <c r="J588" s="8" t="s">
        <v>504</v>
      </c>
      <c r="K588" s="8" t="s">
        <v>92</v>
      </c>
      <c r="L588" s="8" t="s">
        <v>15</v>
      </c>
      <c r="M588" s="30" t="s">
        <v>891</v>
      </c>
      <c r="N588" s="8" t="s">
        <v>1165</v>
      </c>
      <c r="O588" s="8" t="s">
        <v>104</v>
      </c>
      <c r="P588" s="28" t="s">
        <v>146</v>
      </c>
      <c r="Q588" s="16" t="s">
        <v>1734</v>
      </c>
      <c r="X588" s="8" t="s">
        <v>79</v>
      </c>
      <c r="Y588" s="34">
        <f>IF(X588='Listas suspensas'!$A$21,'Listas suspensas'!$B$23,IF(X588='Listas suspensas'!$A$22,'Listas suspensas'!$B$23,IF(X588='Listas suspensas'!$A$23,'Listas suspensas'!$B$22,IF(X588='Listas suspensas'!$A$26,'Listas suspensas'!$B$22,IF(X588='Listas suspensas'!$A$32,'Listas suspensas'!$B$22,IF(X588='Listas suspensas'!$A$33,'Listas suspensas'!$B$21,IF(X588='Listas suspensas'!$A$24,'Listas suspensas'!$B$22,IF(X588='Listas suspensas'!$A$25,'Listas suspensas'!$B$21,IF(X588='Listas suspensas'!$A$30,'Listas suspensas'!$B$21,"")))))))))</f>
        <v>6.5</v>
      </c>
      <c r="Z588" s="8" t="s">
        <v>80</v>
      </c>
      <c r="AA588" s="8">
        <v>4</v>
      </c>
      <c r="AB588" s="8" t="str">
        <f>IF(AA588='Listas suspensas'!$A$2,'Listas suspensas'!$B$2,IF(AA588='Listas suspensas'!$A$3,'Listas suspensas'!$B$3,IF(AA588='Listas suspensas'!$A$4,'Listas suspensas'!$B$4,IF(AA588='Listas suspensas'!$A$5,'Listas suspensas'!$B$5,IF(AA588='Listas suspensas'!$A$6,'Listas suspensas'!$B$6,"")))))</f>
        <v>Parcial e irregular</v>
      </c>
      <c r="AC588" s="8" t="str">
        <f>IF(AA588='Listas suspensas'!$A$2,'Listas suspensas'!$C$2,IF(AA588='Listas suspensas'!$A$3,'Listas suspensas'!$C$3,IF(AA588='Listas suspensas'!$A$4,'Listas suspensas'!$C$4,IF(AA588='Listas suspensas'!$A$5,'Listas suspensas'!$C$5,IF(AA588='Listas suspensas'!$A$6,'Listas suspensas'!$C$6,"")))))</f>
        <v>Indica a penetração desuniforme e não total pela extensão do alburno.</v>
      </c>
      <c r="BD588" s="13">
        <v>0.46500000000000002</v>
      </c>
      <c r="BE588" s="18">
        <f t="shared" si="99"/>
        <v>465</v>
      </c>
      <c r="BF588" s="8">
        <v>0.22500000000000001</v>
      </c>
      <c r="BG588" s="8">
        <v>0.11</v>
      </c>
      <c r="BH588" s="8">
        <v>0.22900000000000001</v>
      </c>
      <c r="BI588" s="13">
        <f t="shared" si="100"/>
        <v>0.56400000000000006</v>
      </c>
      <c r="BJ588" s="14">
        <v>39.9</v>
      </c>
      <c r="BK588" s="14">
        <v>19.5</v>
      </c>
      <c r="BL588" s="14">
        <v>40.6</v>
      </c>
      <c r="BM588" s="16">
        <f t="shared" si="94"/>
        <v>100</v>
      </c>
      <c r="BN588" s="21">
        <f t="shared" si="95"/>
        <v>1.05</v>
      </c>
      <c r="BO588" s="21">
        <f t="shared" si="96"/>
        <v>0.51</v>
      </c>
      <c r="BP588" s="21">
        <f t="shared" si="97"/>
        <v>1.06</v>
      </c>
      <c r="BQ588" s="14">
        <f t="shared" si="98"/>
        <v>2.62</v>
      </c>
      <c r="BR588" s="22" t="str">
        <f>IF(OR(AND(X588="Mourões", BQ588&gt;=6.5),AND(X588="Postes", BQ588&gt;=9.6),AND(X588="Dormentes", BQ588&gt;=9.6),AND(X588="Estacas - Solo", BQ588&gt;=6.5),AND(X588="Estacas - Suspenso", BQ588&gt;=4),AND(X588="Cruzetas", BQ588&gt;=6.5),AND(X588="Outros - Solo", BQ588&gt;=6.5),AND(X588="Outros - Suspenso",BQ588&gt;=4),AND(X588="Deck",BQ588&gt;=4)),'Listas suspensas'!$C$21,'Listas suspensas'!$C$22)</f>
        <v>Os resultados da análise química apresentaram uma retenção do produto inferior ao padrão mínimo exigido pela norma ABNT NBR 16143</v>
      </c>
    </row>
    <row r="589" spans="2:70" x14ac:dyDescent="0.25">
      <c r="B589" s="8" t="s">
        <v>1527</v>
      </c>
      <c r="C589" s="8" t="s">
        <v>71</v>
      </c>
      <c r="F589" s="11">
        <v>46002</v>
      </c>
      <c r="G589" s="11">
        <v>46003</v>
      </c>
      <c r="H589" s="11">
        <v>46009</v>
      </c>
      <c r="I589" s="8" t="s">
        <v>503</v>
      </c>
      <c r="J589" s="8" t="s">
        <v>504</v>
      </c>
      <c r="K589" s="8" t="s">
        <v>92</v>
      </c>
      <c r="L589" s="8" t="s">
        <v>15</v>
      </c>
      <c r="M589" s="30" t="s">
        <v>891</v>
      </c>
      <c r="N589" s="8" t="s">
        <v>1165</v>
      </c>
      <c r="O589" s="8" t="s">
        <v>76</v>
      </c>
      <c r="P589" s="28" t="s">
        <v>146</v>
      </c>
      <c r="Q589" s="16" t="s">
        <v>1657</v>
      </c>
      <c r="X589" s="8" t="s">
        <v>79</v>
      </c>
      <c r="Y589" s="34">
        <f>IF(X589='Listas suspensas'!$A$21,'Listas suspensas'!$B$23,IF(X589='Listas suspensas'!$A$22,'Listas suspensas'!$B$23,IF(X589='Listas suspensas'!$A$23,'Listas suspensas'!$B$22,IF(X589='Listas suspensas'!$A$26,'Listas suspensas'!$B$22,IF(X589='Listas suspensas'!$A$32,'Listas suspensas'!$B$22,IF(X589='Listas suspensas'!$A$33,'Listas suspensas'!$B$21,IF(X589='Listas suspensas'!$A$24,'Listas suspensas'!$B$22,IF(X589='Listas suspensas'!$A$25,'Listas suspensas'!$B$21,IF(X589='Listas suspensas'!$A$30,'Listas suspensas'!$B$21,"")))))))))</f>
        <v>6.5</v>
      </c>
      <c r="Z589" s="8" t="s">
        <v>80</v>
      </c>
      <c r="AA589" s="8">
        <v>2</v>
      </c>
      <c r="AB589" s="8" t="str">
        <f>IF(AA589='Listas suspensas'!$A$2,'Listas suspensas'!$B$2,IF(AA589='Listas suspensas'!$A$3,'Listas suspensas'!$B$3,IF(AA589='Listas suspensas'!$A$4,'Listas suspensas'!$B$4,IF(AA589='Listas suspensas'!$A$5,'Listas suspensas'!$B$5,IF(AA589='Listas suspensas'!$A$6,'Listas suspensas'!$B$6,"")))))</f>
        <v>Profunda e irregular</v>
      </c>
      <c r="AC589" s="8" t="str">
        <f>IF(AA589='Listas suspensas'!$A$2,'Listas suspensas'!$C$2,IF(AA589='Listas suspensas'!$A$3,'Listas suspensas'!$C$3,IF(AA589='Listas suspensas'!$A$4,'Listas suspensas'!$C$4,IF(AA589='Listas suspensas'!$A$5,'Listas suspensas'!$C$5,IF(AA589='Listas suspensas'!$A$6,'Listas suspensas'!$C$6,"")))))</f>
        <v>Indica a penetração profunda, mas desuniforme em toda a extensão do alburno.</v>
      </c>
      <c r="BD589" s="13">
        <v>0.74299999999999999</v>
      </c>
      <c r="BE589" s="18">
        <f t="shared" si="99"/>
        <v>743</v>
      </c>
      <c r="BF589" s="8">
        <v>0.442</v>
      </c>
      <c r="BG589" s="8">
        <v>0.25</v>
      </c>
      <c r="BH589" s="8">
        <v>0.44800000000000001</v>
      </c>
      <c r="BI589" s="13">
        <f t="shared" si="100"/>
        <v>1.1399999999999999</v>
      </c>
      <c r="BJ589" s="14">
        <v>38.799999999999997</v>
      </c>
      <c r="BK589" s="14">
        <v>22</v>
      </c>
      <c r="BL589" s="14">
        <v>39.200000000000003</v>
      </c>
      <c r="BM589" s="16">
        <f t="shared" si="94"/>
        <v>100</v>
      </c>
      <c r="BN589" s="21">
        <f t="shared" si="95"/>
        <v>3.28</v>
      </c>
      <c r="BO589" s="21">
        <f t="shared" si="96"/>
        <v>1.86</v>
      </c>
      <c r="BP589" s="21">
        <f t="shared" si="97"/>
        <v>3.33</v>
      </c>
      <c r="BQ589" s="14">
        <f t="shared" si="98"/>
        <v>8.4700000000000006</v>
      </c>
      <c r="BR589" s="22" t="str">
        <f>IF(OR(AND(X589="Mourões", BQ589&gt;=6.5),AND(X589="Postes", BQ589&gt;=9.6),AND(X589="Dormentes", BQ589&gt;=9.6),AND(X589="Estacas - Solo", BQ589&gt;=6.5),AND(X589="Estacas - Suspenso", BQ589&gt;=4),AND(X589="Cruzetas", BQ589&gt;=6.5),AND(X589="Outros - Solo", BQ589&gt;=6.5),AND(X589="Outros - Suspenso",BQ589&gt;=4),AND(X589="Deck",BQ589&gt;=4)),'Listas suspensas'!$C$21,'Listas suspensas'!$C$22)</f>
        <v>Os resultados da análise química apresentaram uma retenção do produto de acordo com o padrão mínimo exigido pela norma ABNT NBR 16143</v>
      </c>
    </row>
    <row r="590" spans="2:70" x14ac:dyDescent="0.25">
      <c r="B590" s="8" t="s">
        <v>1528</v>
      </c>
      <c r="C590" s="8" t="s">
        <v>71</v>
      </c>
      <c r="F590" s="11">
        <v>46002</v>
      </c>
      <c r="G590" s="11">
        <v>46003</v>
      </c>
      <c r="H590" s="11">
        <v>46009</v>
      </c>
      <c r="I590" s="8" t="s">
        <v>503</v>
      </c>
      <c r="J590" s="8" t="s">
        <v>504</v>
      </c>
      <c r="K590" s="8" t="s">
        <v>92</v>
      </c>
      <c r="L590" s="8" t="s">
        <v>15</v>
      </c>
      <c r="M590" s="30" t="s">
        <v>891</v>
      </c>
      <c r="N590" s="8" t="s">
        <v>1165</v>
      </c>
      <c r="O590" s="8" t="s">
        <v>76</v>
      </c>
      <c r="P590" s="28" t="s">
        <v>146</v>
      </c>
      <c r="Q590" s="16" t="s">
        <v>1658</v>
      </c>
      <c r="X590" s="8" t="s">
        <v>79</v>
      </c>
      <c r="Y590" s="34">
        <f>IF(X590='Listas suspensas'!$A$21,'Listas suspensas'!$B$23,IF(X590='Listas suspensas'!$A$22,'Listas suspensas'!$B$23,IF(X590='Listas suspensas'!$A$23,'Listas suspensas'!$B$22,IF(X590='Listas suspensas'!$A$26,'Listas suspensas'!$B$22,IF(X590='Listas suspensas'!$A$32,'Listas suspensas'!$B$22,IF(X590='Listas suspensas'!$A$33,'Listas suspensas'!$B$21,IF(X590='Listas suspensas'!$A$24,'Listas suspensas'!$B$22,IF(X590='Listas suspensas'!$A$25,'Listas suspensas'!$B$21,IF(X590='Listas suspensas'!$A$30,'Listas suspensas'!$B$21,"")))))))))</f>
        <v>6.5</v>
      </c>
      <c r="Z590" s="8" t="s">
        <v>80</v>
      </c>
      <c r="AA590" s="8">
        <v>2</v>
      </c>
      <c r="AB590" s="8" t="str">
        <f>IF(AA590='Listas suspensas'!$A$2,'Listas suspensas'!$B$2,IF(AA590='Listas suspensas'!$A$3,'Listas suspensas'!$B$3,IF(AA590='Listas suspensas'!$A$4,'Listas suspensas'!$B$4,IF(AA590='Listas suspensas'!$A$5,'Listas suspensas'!$B$5,IF(AA590='Listas suspensas'!$A$6,'Listas suspensas'!$B$6,"")))))</f>
        <v>Profunda e irregular</v>
      </c>
      <c r="AC590" s="8" t="str">
        <f>IF(AA590='Listas suspensas'!$A$2,'Listas suspensas'!$C$2,IF(AA590='Listas suspensas'!$A$3,'Listas suspensas'!$C$3,IF(AA590='Listas suspensas'!$A$4,'Listas suspensas'!$C$4,IF(AA590='Listas suspensas'!$A$5,'Listas suspensas'!$C$5,IF(AA590='Listas suspensas'!$A$6,'Listas suspensas'!$C$6,"")))))</f>
        <v>Indica a penetração profunda, mas desuniforme em toda a extensão do alburno.</v>
      </c>
      <c r="BD590" s="13">
        <v>0.76600000000000001</v>
      </c>
      <c r="BE590" s="18">
        <f t="shared" si="99"/>
        <v>766</v>
      </c>
      <c r="BF590" s="8">
        <v>0.71199999999999997</v>
      </c>
      <c r="BG590" s="8">
        <v>0.26400000000000001</v>
      </c>
      <c r="BH590" s="8">
        <v>0.76100000000000001</v>
      </c>
      <c r="BI590" s="13">
        <f t="shared" si="100"/>
        <v>1.7370000000000001</v>
      </c>
      <c r="BJ590" s="14">
        <v>41</v>
      </c>
      <c r="BK590" s="14">
        <v>15.2</v>
      </c>
      <c r="BL590" s="14">
        <v>43.8</v>
      </c>
      <c r="BM590" s="16">
        <f t="shared" si="94"/>
        <v>100</v>
      </c>
      <c r="BN590" s="21">
        <f t="shared" si="95"/>
        <v>5.45</v>
      </c>
      <c r="BO590" s="21">
        <f t="shared" si="96"/>
        <v>2.02</v>
      </c>
      <c r="BP590" s="21">
        <f t="shared" si="97"/>
        <v>5.83</v>
      </c>
      <c r="BQ590" s="14">
        <f t="shared" si="98"/>
        <v>13.3</v>
      </c>
      <c r="BR590" s="22" t="str">
        <f>IF(OR(AND(X590="Mourões", BQ590&gt;=6.5),AND(X590="Postes", BQ590&gt;=9.6),AND(X590="Dormentes", BQ590&gt;=9.6),AND(X590="Estacas - Solo", BQ590&gt;=6.5),AND(X590="Estacas - Suspenso", BQ590&gt;=4),AND(X590="Cruzetas", BQ590&gt;=6.5),AND(X590="Outros - Solo", BQ590&gt;=6.5),AND(X590="Outros - Suspenso",BQ590&gt;=4),AND(X590="Deck",BQ590&gt;=4)),'Listas suspensas'!$C$21,'Listas suspensas'!$C$22)</f>
        <v>Os resultados da análise química apresentaram uma retenção do produto de acordo com o padrão mínimo exigido pela norma ABNT NBR 16143</v>
      </c>
    </row>
    <row r="591" spans="2:70" x14ac:dyDescent="0.25">
      <c r="B591" s="8" t="s">
        <v>1529</v>
      </c>
      <c r="C591" s="8" t="s">
        <v>71</v>
      </c>
      <c r="F591" s="11">
        <v>46002</v>
      </c>
      <c r="G591" s="11">
        <v>46003</v>
      </c>
      <c r="H591" s="11">
        <v>46009</v>
      </c>
      <c r="I591" s="8" t="s">
        <v>1268</v>
      </c>
      <c r="J591" s="8" t="s">
        <v>91</v>
      </c>
      <c r="K591" s="8" t="s">
        <v>92</v>
      </c>
      <c r="L591" s="8" t="s">
        <v>15</v>
      </c>
      <c r="N591" s="8" t="s">
        <v>1165</v>
      </c>
      <c r="O591" s="8" t="s">
        <v>94</v>
      </c>
      <c r="P591" s="28" t="s">
        <v>77</v>
      </c>
      <c r="Q591" s="16" t="s">
        <v>1659</v>
      </c>
      <c r="X591" s="8" t="s">
        <v>79</v>
      </c>
      <c r="Y591" s="34">
        <f>IF(X591='Listas suspensas'!$A$21,'Listas suspensas'!$B$23,IF(X591='Listas suspensas'!$A$22,'Listas suspensas'!$B$23,IF(X591='Listas suspensas'!$A$23,'Listas suspensas'!$B$22,IF(X591='Listas suspensas'!$A$26,'Listas suspensas'!$B$22,IF(X591='Listas suspensas'!$A$32,'Listas suspensas'!$B$22,IF(X591='Listas suspensas'!$A$33,'Listas suspensas'!$B$21,IF(X591='Listas suspensas'!$A$24,'Listas suspensas'!$B$22,IF(X591='Listas suspensas'!$A$25,'Listas suspensas'!$B$21,IF(X591='Listas suspensas'!$A$30,'Listas suspensas'!$B$21,"")))))))))</f>
        <v>6.5</v>
      </c>
      <c r="Z591" s="8" t="s">
        <v>80</v>
      </c>
      <c r="AA591" s="8">
        <v>2</v>
      </c>
      <c r="AB591" s="8" t="str">
        <f>IF(AA591='Listas suspensas'!$A$2,'Listas suspensas'!$B$2,IF(AA591='Listas suspensas'!$A$3,'Listas suspensas'!$B$3,IF(AA591='Listas suspensas'!$A$4,'Listas suspensas'!$B$4,IF(AA591='Listas suspensas'!$A$5,'Listas suspensas'!$B$5,IF(AA591='Listas suspensas'!$A$6,'Listas suspensas'!$B$6,"")))))</f>
        <v>Profunda e irregular</v>
      </c>
      <c r="AC591" s="8" t="str">
        <f>IF(AA591='Listas suspensas'!$A$2,'Listas suspensas'!$C$2,IF(AA591='Listas suspensas'!$A$3,'Listas suspensas'!$C$3,IF(AA591='Listas suspensas'!$A$4,'Listas suspensas'!$C$4,IF(AA591='Listas suspensas'!$A$5,'Listas suspensas'!$C$5,IF(AA591='Listas suspensas'!$A$6,'Listas suspensas'!$C$6,"")))))</f>
        <v>Indica a penetração profunda, mas desuniforme em toda a extensão do alburno.</v>
      </c>
      <c r="BD591" s="13">
        <v>0.86599999999999999</v>
      </c>
      <c r="BE591" s="18">
        <f t="shared" si="99"/>
        <v>866</v>
      </c>
      <c r="BF591" s="8">
        <v>0.432</v>
      </c>
      <c r="BG591" s="8">
        <v>0.191</v>
      </c>
      <c r="BH591" s="8">
        <v>0.39200000000000002</v>
      </c>
      <c r="BI591" s="13">
        <f t="shared" si="100"/>
        <v>1.0150000000000001</v>
      </c>
      <c r="BJ591" s="14">
        <v>42.6</v>
      </c>
      <c r="BK591" s="14">
        <v>18.8</v>
      </c>
      <c r="BL591" s="14">
        <v>38.6</v>
      </c>
      <c r="BM591" s="16">
        <f t="shared" si="94"/>
        <v>100</v>
      </c>
      <c r="BN591" s="21">
        <f t="shared" si="95"/>
        <v>3.74</v>
      </c>
      <c r="BO591" s="21">
        <f t="shared" si="96"/>
        <v>1.65</v>
      </c>
      <c r="BP591" s="21">
        <f t="shared" si="97"/>
        <v>3.39</v>
      </c>
      <c r="BQ591" s="14">
        <f t="shared" si="98"/>
        <v>8.7799999999999994</v>
      </c>
      <c r="BR591" s="22" t="str">
        <f>IF(OR(AND(X591="Mourões", BQ591&gt;=6.5),AND(X591="Postes", BQ591&gt;=9.6),AND(X591="Dormentes", BQ591&gt;=9.6),AND(X591="Estacas - Solo", BQ591&gt;=6.5),AND(X591="Estacas - Suspenso", BQ591&gt;=4),AND(X591="Cruzetas", BQ591&gt;=6.5),AND(X591="Outros - Solo", BQ591&gt;=6.5),AND(X591="Outros - Suspenso",BQ591&gt;=4),AND(X591="Deck",BQ591&gt;=4)),'Listas suspensas'!$C$21,'Listas suspensas'!$C$22)</f>
        <v>Os resultados da análise química apresentaram uma retenção do produto de acordo com o padrão mínimo exigido pela norma ABNT NBR 16143</v>
      </c>
    </row>
    <row r="592" spans="2:70" x14ac:dyDescent="0.25">
      <c r="B592" s="8" t="s">
        <v>1530</v>
      </c>
      <c r="C592" s="8" t="s">
        <v>71</v>
      </c>
      <c r="F592" s="11">
        <v>46002</v>
      </c>
      <c r="G592" s="11">
        <v>46003</v>
      </c>
      <c r="H592" s="11">
        <v>46009</v>
      </c>
      <c r="I592" s="8" t="s">
        <v>926</v>
      </c>
      <c r="J592" s="8" t="s">
        <v>927</v>
      </c>
      <c r="K592" s="8" t="s">
        <v>144</v>
      </c>
      <c r="L592" s="8" t="s">
        <v>15</v>
      </c>
      <c r="M592" s="30" t="s">
        <v>1660</v>
      </c>
      <c r="N592" s="8" t="s">
        <v>1165</v>
      </c>
      <c r="O592" s="8" t="s">
        <v>76</v>
      </c>
      <c r="P592" s="28" t="s">
        <v>146</v>
      </c>
      <c r="Q592" s="16" t="s">
        <v>1662</v>
      </c>
      <c r="X592" s="8" t="s">
        <v>79</v>
      </c>
      <c r="Y592" s="34">
        <f>IF(X592='Listas suspensas'!$A$21,'Listas suspensas'!$B$23,IF(X592='Listas suspensas'!$A$22,'Listas suspensas'!$B$23,IF(X592='Listas suspensas'!$A$23,'Listas suspensas'!$B$22,IF(X592='Listas suspensas'!$A$26,'Listas suspensas'!$B$22,IF(X592='Listas suspensas'!$A$32,'Listas suspensas'!$B$22,IF(X592='Listas suspensas'!$A$33,'Listas suspensas'!$B$21,IF(X592='Listas suspensas'!$A$24,'Listas suspensas'!$B$22,IF(X592='Listas suspensas'!$A$25,'Listas suspensas'!$B$21,IF(X592='Listas suspensas'!$A$30,'Listas suspensas'!$B$21,"")))))))))</f>
        <v>6.5</v>
      </c>
      <c r="Z592" s="8" t="s">
        <v>80</v>
      </c>
      <c r="AA592" s="8">
        <v>1</v>
      </c>
      <c r="AB592" s="8" t="str">
        <f>IF(AA592='Listas suspensas'!$A$2,'Listas suspensas'!$B$2,IF(AA592='Listas suspensas'!$A$3,'Listas suspensas'!$B$3,IF(AA592='Listas suspensas'!$A$4,'Listas suspensas'!$B$4,IF(AA592='Listas suspensas'!$A$5,'Listas suspensas'!$B$5,IF(AA592='Listas suspensas'!$A$6,'Listas suspensas'!$B$6,"")))))</f>
        <v>Profunda e regular</v>
      </c>
      <c r="AC592" s="8" t="str">
        <f>IF(AA592='Listas suspensas'!$A$2,'Listas suspensas'!$C$2,IF(AA592='Listas suspensas'!$A$3,'Listas suspensas'!$C$3,IF(AA592='Listas suspensas'!$A$4,'Listas suspensas'!$C$4,IF(AA592='Listas suspensas'!$A$5,'Listas suspensas'!$C$5,IF(AA592='Listas suspensas'!$A$6,'Listas suspensas'!$C$6,"")))))</f>
        <v>Indica a penetração profunda e uniforme em toda a extensão do alburno.</v>
      </c>
      <c r="BD592" s="13">
        <v>0.39</v>
      </c>
      <c r="BE592" s="18">
        <f t="shared" si="99"/>
        <v>390</v>
      </c>
      <c r="BF592" s="8">
        <v>0.56799999999999995</v>
      </c>
      <c r="BG592" s="8">
        <v>0.17199999999999999</v>
      </c>
      <c r="BH592" s="8">
        <v>0.29199999999999998</v>
      </c>
      <c r="BI592" s="13">
        <f t="shared" si="100"/>
        <v>1.032</v>
      </c>
      <c r="BJ592" s="14">
        <v>55</v>
      </c>
      <c r="BK592" s="14">
        <v>16.7</v>
      </c>
      <c r="BL592" s="14">
        <v>28.3</v>
      </c>
      <c r="BM592" s="16">
        <f t="shared" si="94"/>
        <v>100</v>
      </c>
      <c r="BN592" s="21">
        <f t="shared" si="95"/>
        <v>2.2200000000000002</v>
      </c>
      <c r="BO592" s="21">
        <f t="shared" si="96"/>
        <v>0.67</v>
      </c>
      <c r="BP592" s="21">
        <f t="shared" si="97"/>
        <v>1.1399999999999999</v>
      </c>
      <c r="BQ592" s="14">
        <f t="shared" si="98"/>
        <v>4.03</v>
      </c>
      <c r="BR592" s="22" t="str">
        <f>IF(OR(AND(X592="Mourões", BQ592&gt;=6.5),AND(X592="Postes", BQ592&gt;=9.6),AND(X592="Dormentes", BQ592&gt;=9.6),AND(X592="Estacas - Solo", BQ592&gt;=6.5),AND(X592="Estacas - Suspenso", BQ592&gt;=4),AND(X592="Cruzetas", BQ592&gt;=6.5),AND(X592="Outros - Solo", BQ592&gt;=6.5),AND(X592="Outros - Suspenso",BQ592&gt;=4),AND(X592="Deck",BQ592&gt;=4)),'Listas suspensas'!$C$21,'Listas suspensas'!$C$22)</f>
        <v>Os resultados da análise química apresentaram uma retenção do produto inferior ao padrão mínimo exigido pela norma ABNT NBR 16143</v>
      </c>
    </row>
    <row r="593" spans="2:70" x14ac:dyDescent="0.25">
      <c r="B593" s="8" t="s">
        <v>1531</v>
      </c>
      <c r="C593" s="8" t="s">
        <v>71</v>
      </c>
      <c r="F593" s="11">
        <v>46002</v>
      </c>
      <c r="G593" s="11">
        <v>46003</v>
      </c>
      <c r="H593" s="11">
        <v>46009</v>
      </c>
      <c r="I593" s="8" t="s">
        <v>926</v>
      </c>
      <c r="J593" s="8" t="s">
        <v>927</v>
      </c>
      <c r="K593" s="8" t="s">
        <v>144</v>
      </c>
      <c r="L593" s="8" t="s">
        <v>15</v>
      </c>
      <c r="M593" s="30" t="s">
        <v>1660</v>
      </c>
      <c r="N593" s="8" t="s">
        <v>1165</v>
      </c>
      <c r="O593" s="8" t="s">
        <v>76</v>
      </c>
      <c r="P593" s="28" t="s">
        <v>146</v>
      </c>
      <c r="Q593" s="16" t="s">
        <v>1663</v>
      </c>
      <c r="X593" s="8" t="s">
        <v>79</v>
      </c>
      <c r="Y593" s="34">
        <f>IF(X593='Listas suspensas'!$A$21,'Listas suspensas'!$B$23,IF(X593='Listas suspensas'!$A$22,'Listas suspensas'!$B$23,IF(X593='Listas suspensas'!$A$23,'Listas suspensas'!$B$22,IF(X593='Listas suspensas'!$A$26,'Listas suspensas'!$B$22,IF(X593='Listas suspensas'!$A$32,'Listas suspensas'!$B$22,IF(X593='Listas suspensas'!$A$33,'Listas suspensas'!$B$21,IF(X593='Listas suspensas'!$A$24,'Listas suspensas'!$B$22,IF(X593='Listas suspensas'!$A$25,'Listas suspensas'!$B$21,IF(X593='Listas suspensas'!$A$30,'Listas suspensas'!$B$21,"")))))))))</f>
        <v>6.5</v>
      </c>
      <c r="Z593" s="8" t="s">
        <v>80</v>
      </c>
      <c r="AA593" s="8">
        <v>1</v>
      </c>
      <c r="AB593" s="8" t="str">
        <f>IF(AA593='Listas suspensas'!$A$2,'Listas suspensas'!$B$2,IF(AA593='Listas suspensas'!$A$3,'Listas suspensas'!$B$3,IF(AA593='Listas suspensas'!$A$4,'Listas suspensas'!$B$4,IF(AA593='Listas suspensas'!$A$5,'Listas suspensas'!$B$5,IF(AA593='Listas suspensas'!$A$6,'Listas suspensas'!$B$6,"")))))</f>
        <v>Profunda e regular</v>
      </c>
      <c r="AC593" s="8" t="str">
        <f>IF(AA593='Listas suspensas'!$A$2,'Listas suspensas'!$C$2,IF(AA593='Listas suspensas'!$A$3,'Listas suspensas'!$C$3,IF(AA593='Listas suspensas'!$A$4,'Listas suspensas'!$C$4,IF(AA593='Listas suspensas'!$A$5,'Listas suspensas'!$C$5,IF(AA593='Listas suspensas'!$A$6,'Listas suspensas'!$C$6,"")))))</f>
        <v>Indica a penetração profunda e uniforme em toda a extensão do alburno.</v>
      </c>
      <c r="BD593" s="13">
        <v>0.38200000000000001</v>
      </c>
      <c r="BE593" s="18">
        <f t="shared" si="99"/>
        <v>382</v>
      </c>
      <c r="BF593" s="8">
        <v>0.73099999999999998</v>
      </c>
      <c r="BG593" s="8">
        <v>0.29699999999999999</v>
      </c>
      <c r="BH593" s="8">
        <v>0.56100000000000005</v>
      </c>
      <c r="BI593" s="13">
        <f t="shared" si="100"/>
        <v>1.589</v>
      </c>
      <c r="BJ593" s="14">
        <v>46</v>
      </c>
      <c r="BK593" s="14">
        <v>18.7</v>
      </c>
      <c r="BL593" s="14">
        <v>35.299999999999997</v>
      </c>
      <c r="BM593" s="16">
        <f t="shared" si="94"/>
        <v>100</v>
      </c>
      <c r="BN593" s="21">
        <f t="shared" si="95"/>
        <v>2.79</v>
      </c>
      <c r="BO593" s="21">
        <f t="shared" si="96"/>
        <v>1.1299999999999999</v>
      </c>
      <c r="BP593" s="21">
        <f t="shared" si="97"/>
        <v>2.14</v>
      </c>
      <c r="BQ593" s="14">
        <f t="shared" si="98"/>
        <v>6.06</v>
      </c>
      <c r="BR593" s="22" t="str">
        <f>IF(OR(AND(X593="Mourões", BQ593&gt;=6.5),AND(X593="Postes", BQ593&gt;=9.6),AND(X593="Dormentes", BQ593&gt;=9.6),AND(X593="Estacas - Solo", BQ593&gt;=6.5),AND(X593="Estacas - Suspenso", BQ593&gt;=4),AND(X593="Cruzetas", BQ593&gt;=6.5),AND(X593="Outros - Solo", BQ593&gt;=6.5),AND(X593="Outros - Suspenso",BQ593&gt;=4),AND(X593="Deck",BQ593&gt;=4)),'Listas suspensas'!$C$21,'Listas suspensas'!$C$22)</f>
        <v>Os resultados da análise química apresentaram uma retenção do produto inferior ao padrão mínimo exigido pela norma ABNT NBR 16143</v>
      </c>
    </row>
    <row r="594" spans="2:70" x14ac:dyDescent="0.25">
      <c r="B594" s="8" t="s">
        <v>1532</v>
      </c>
      <c r="C594" s="8" t="s">
        <v>71</v>
      </c>
      <c r="F594" s="11">
        <v>46002</v>
      </c>
      <c r="G594" s="11">
        <v>46003</v>
      </c>
      <c r="H594" s="11">
        <v>46009</v>
      </c>
      <c r="I594" s="8" t="s">
        <v>926</v>
      </c>
      <c r="J594" s="8" t="s">
        <v>927</v>
      </c>
      <c r="K594" s="8" t="s">
        <v>144</v>
      </c>
      <c r="L594" s="8" t="s">
        <v>15</v>
      </c>
      <c r="M594" s="30" t="s">
        <v>1660</v>
      </c>
      <c r="N594" s="8" t="s">
        <v>1165</v>
      </c>
      <c r="O594" s="8" t="s">
        <v>76</v>
      </c>
      <c r="P594" s="28" t="s">
        <v>77</v>
      </c>
      <c r="Q594" s="16" t="s">
        <v>1664</v>
      </c>
      <c r="X594" s="8" t="s">
        <v>473</v>
      </c>
      <c r="Y594" s="34">
        <f>IF(X594='Listas suspensas'!$A$21,'Listas suspensas'!$B$23,IF(X594='Listas suspensas'!$A$22,'Listas suspensas'!$B$23,IF(X594='Listas suspensas'!$A$23,'Listas suspensas'!$B$22,IF(X594='Listas suspensas'!$A$26,'Listas suspensas'!$B$22,IF(X594='Listas suspensas'!$A$32,'Listas suspensas'!$B$22,IF(X594='Listas suspensas'!$A$33,'Listas suspensas'!$B$21,IF(X594='Listas suspensas'!$A$24,'Listas suspensas'!$B$22,IF(X594='Listas suspensas'!$A$25,'Listas suspensas'!$B$21,IF(X594='Listas suspensas'!$A$30,'Listas suspensas'!$B$21,"")))))))))</f>
        <v>4</v>
      </c>
      <c r="Z594" s="8" t="s">
        <v>80</v>
      </c>
      <c r="AA594" s="8">
        <v>1</v>
      </c>
      <c r="AB594" s="8" t="str">
        <f>IF(AA594='Listas suspensas'!$A$2,'Listas suspensas'!$B$2,IF(AA594='Listas suspensas'!$A$3,'Listas suspensas'!$B$3,IF(AA594='Listas suspensas'!$A$4,'Listas suspensas'!$B$4,IF(AA594='Listas suspensas'!$A$5,'Listas suspensas'!$B$5,IF(AA594='Listas suspensas'!$A$6,'Listas suspensas'!$B$6,"")))))</f>
        <v>Profunda e regular</v>
      </c>
      <c r="AC594" s="8" t="str">
        <f>IF(AA594='Listas suspensas'!$A$2,'Listas suspensas'!$C$2,IF(AA594='Listas suspensas'!$A$3,'Listas suspensas'!$C$3,IF(AA594='Listas suspensas'!$A$4,'Listas suspensas'!$C$4,IF(AA594='Listas suspensas'!$A$5,'Listas suspensas'!$C$5,IF(AA594='Listas suspensas'!$A$6,'Listas suspensas'!$C$6,"")))))</f>
        <v>Indica a penetração profunda e uniforme em toda a extensão do alburno.</v>
      </c>
      <c r="BD594" s="13">
        <v>0.40400000000000003</v>
      </c>
      <c r="BE594" s="18">
        <f t="shared" si="99"/>
        <v>404</v>
      </c>
      <c r="BF594" s="8">
        <v>0.65700000000000003</v>
      </c>
      <c r="BG594" s="8">
        <v>0.127</v>
      </c>
      <c r="BH594" s="8">
        <v>0.44400000000000001</v>
      </c>
      <c r="BI594" s="13">
        <f t="shared" si="100"/>
        <v>1.228</v>
      </c>
      <c r="BJ594" s="14">
        <v>53.5</v>
      </c>
      <c r="BK594" s="14">
        <v>10.4</v>
      </c>
      <c r="BL594" s="14">
        <v>36.1</v>
      </c>
      <c r="BM594" s="16">
        <f t="shared" si="94"/>
        <v>100</v>
      </c>
      <c r="BN594" s="21">
        <f t="shared" si="95"/>
        <v>2.65</v>
      </c>
      <c r="BO594" s="21">
        <f t="shared" si="96"/>
        <v>0.51</v>
      </c>
      <c r="BP594" s="21">
        <f t="shared" si="97"/>
        <v>1.79</v>
      </c>
      <c r="BQ594" s="14">
        <f t="shared" si="98"/>
        <v>4.95</v>
      </c>
      <c r="BR594" s="22" t="str">
        <f>IF(OR(AND(X594="Mourões", BQ594&gt;=6.5),AND(X594="Postes", BQ594&gt;=9.6),AND(X594="Dormentes", BQ594&gt;=9.6),AND(X594="Estacas - Solo", BQ594&gt;=6.5),AND(X594="Estacas - Suspenso", BQ594&gt;=4),AND(X594="Cruzetas", BQ594&gt;=6.5),AND(X594="Outros - Solo", BQ594&gt;=6.5),AND(X594="Outros - Suspenso",BQ594&gt;=4),AND(X594="Deck",BQ594&gt;=4)),'Listas suspensas'!$C$21,'Listas suspensas'!$C$22)</f>
        <v>Os resultados da análise química apresentaram uma retenção do produto de acordo com o padrão mínimo exigido pela norma ABNT NBR 16143</v>
      </c>
    </row>
    <row r="595" spans="2:70" x14ac:dyDescent="0.25">
      <c r="B595" s="8" t="s">
        <v>1533</v>
      </c>
      <c r="C595" s="8" t="s">
        <v>71</v>
      </c>
      <c r="F595" s="11">
        <v>46002</v>
      </c>
      <c r="G595" s="11">
        <v>46003</v>
      </c>
      <c r="H595" s="11">
        <v>46009</v>
      </c>
      <c r="I595" s="8" t="s">
        <v>926</v>
      </c>
      <c r="J595" s="8" t="s">
        <v>927</v>
      </c>
      <c r="K595" s="8" t="s">
        <v>144</v>
      </c>
      <c r="L595" s="8" t="s">
        <v>15</v>
      </c>
      <c r="M595" s="30" t="s">
        <v>1660</v>
      </c>
      <c r="N595" s="8" t="s">
        <v>1165</v>
      </c>
      <c r="O595" s="8" t="s">
        <v>76</v>
      </c>
      <c r="P595" s="28" t="s">
        <v>77</v>
      </c>
      <c r="Q595" s="16" t="s">
        <v>1665</v>
      </c>
      <c r="X595" s="8" t="s">
        <v>473</v>
      </c>
      <c r="Y595" s="34">
        <f>IF(X595='Listas suspensas'!$A$21,'Listas suspensas'!$B$23,IF(X595='Listas suspensas'!$A$22,'Listas suspensas'!$B$23,IF(X595='Listas suspensas'!$A$23,'Listas suspensas'!$B$22,IF(X595='Listas suspensas'!$A$26,'Listas suspensas'!$B$22,IF(X595='Listas suspensas'!$A$32,'Listas suspensas'!$B$22,IF(X595='Listas suspensas'!$A$33,'Listas suspensas'!$B$21,IF(X595='Listas suspensas'!$A$24,'Listas suspensas'!$B$22,IF(X595='Listas suspensas'!$A$25,'Listas suspensas'!$B$21,IF(X595='Listas suspensas'!$A$30,'Listas suspensas'!$B$21,"")))))))))</f>
        <v>4</v>
      </c>
      <c r="Z595" s="8" t="s">
        <v>80</v>
      </c>
      <c r="AA595" s="8">
        <v>1</v>
      </c>
      <c r="AB595" s="8" t="str">
        <f>IF(AA595='Listas suspensas'!$A$2,'Listas suspensas'!$B$2,IF(AA595='Listas suspensas'!$A$3,'Listas suspensas'!$B$3,IF(AA595='Listas suspensas'!$A$4,'Listas suspensas'!$B$4,IF(AA595='Listas suspensas'!$A$5,'Listas suspensas'!$B$5,IF(AA595='Listas suspensas'!$A$6,'Listas suspensas'!$B$6,"")))))</f>
        <v>Profunda e regular</v>
      </c>
      <c r="AC595" s="8" t="str">
        <f>IF(AA595='Listas suspensas'!$A$2,'Listas suspensas'!$C$2,IF(AA595='Listas suspensas'!$A$3,'Listas suspensas'!$C$3,IF(AA595='Listas suspensas'!$A$4,'Listas suspensas'!$C$4,IF(AA595='Listas suspensas'!$A$5,'Listas suspensas'!$C$5,IF(AA595='Listas suspensas'!$A$6,'Listas suspensas'!$C$6,"")))))</f>
        <v>Indica a penetração profunda e uniforme em toda a extensão do alburno.</v>
      </c>
      <c r="BD595" s="13">
        <v>0.47699999999999998</v>
      </c>
      <c r="BE595" s="18">
        <f t="shared" si="99"/>
        <v>477</v>
      </c>
      <c r="BF595" s="8">
        <v>0.67200000000000004</v>
      </c>
      <c r="BG595" s="8">
        <v>0.14799999999999999</v>
      </c>
      <c r="BH595" s="8">
        <v>0.44600000000000001</v>
      </c>
      <c r="BI595" s="13">
        <f t="shared" si="100"/>
        <v>1.266</v>
      </c>
      <c r="BJ595" s="14">
        <v>53.1</v>
      </c>
      <c r="BK595" s="14">
        <v>11.7</v>
      </c>
      <c r="BL595" s="14">
        <v>35.200000000000003</v>
      </c>
      <c r="BM595" s="16">
        <f t="shared" si="94"/>
        <v>100</v>
      </c>
      <c r="BN595" s="21">
        <f t="shared" si="95"/>
        <v>3.21</v>
      </c>
      <c r="BO595" s="21">
        <f t="shared" si="96"/>
        <v>0.71</v>
      </c>
      <c r="BP595" s="21">
        <f t="shared" si="97"/>
        <v>2.13</v>
      </c>
      <c r="BQ595" s="14">
        <f t="shared" si="98"/>
        <v>6.05</v>
      </c>
      <c r="BR595" s="22" t="str">
        <f>IF(OR(AND(X595="Mourões", BQ595&gt;=6.5),AND(X595="Postes", BQ595&gt;=9.6),AND(X595="Dormentes", BQ595&gt;=9.6),AND(X595="Estacas - Solo", BQ595&gt;=6.5),AND(X595="Estacas - Suspenso", BQ595&gt;=4),AND(X595="Cruzetas", BQ595&gt;=6.5),AND(X595="Outros - Solo", BQ595&gt;=6.5),AND(X595="Outros - Suspenso",BQ595&gt;=4),AND(X595="Deck",BQ595&gt;=4)),'Listas suspensas'!$C$21,'Listas suspensas'!$C$22)</f>
        <v>Os resultados da análise química apresentaram uma retenção do produto de acordo com o padrão mínimo exigido pela norma ABNT NBR 16143</v>
      </c>
    </row>
    <row r="596" spans="2:70" x14ac:dyDescent="0.25">
      <c r="B596" s="8" t="s">
        <v>1534</v>
      </c>
      <c r="C596" s="8" t="s">
        <v>71</v>
      </c>
      <c r="F596" s="11">
        <v>46002</v>
      </c>
      <c r="G596" s="11">
        <v>46003</v>
      </c>
      <c r="H596" s="11">
        <v>46009</v>
      </c>
      <c r="I596" s="8" t="s">
        <v>1618</v>
      </c>
      <c r="J596" s="8" t="s">
        <v>963</v>
      </c>
      <c r="K596" s="8" t="s">
        <v>144</v>
      </c>
      <c r="L596" s="8" t="s">
        <v>15</v>
      </c>
      <c r="M596" s="29" t="s">
        <v>885</v>
      </c>
      <c r="N596" s="8" t="s">
        <v>1165</v>
      </c>
      <c r="O596" s="8" t="s">
        <v>76</v>
      </c>
      <c r="P596" s="28" t="s">
        <v>146</v>
      </c>
      <c r="Q596" s="16" t="s">
        <v>1667</v>
      </c>
      <c r="X596" s="8" t="s">
        <v>79</v>
      </c>
      <c r="Y596" s="34">
        <f>IF(X596='Listas suspensas'!$A$21,'Listas suspensas'!$B$23,IF(X596='Listas suspensas'!$A$22,'Listas suspensas'!$B$23,IF(X596='Listas suspensas'!$A$23,'Listas suspensas'!$B$22,IF(X596='Listas suspensas'!$A$26,'Listas suspensas'!$B$22,IF(X596='Listas suspensas'!$A$32,'Listas suspensas'!$B$22,IF(X596='Listas suspensas'!$A$33,'Listas suspensas'!$B$21,IF(X596='Listas suspensas'!$A$24,'Listas suspensas'!$B$22,IF(X596='Listas suspensas'!$A$25,'Listas suspensas'!$B$21,IF(X596='Listas suspensas'!$A$30,'Listas suspensas'!$B$21,"")))))))))</f>
        <v>6.5</v>
      </c>
      <c r="Z596" s="8" t="s">
        <v>80</v>
      </c>
      <c r="AA596" s="8">
        <v>2</v>
      </c>
      <c r="AB596" s="8" t="str">
        <f>IF(AA596='Listas suspensas'!$A$2,'Listas suspensas'!$B$2,IF(AA596='Listas suspensas'!$A$3,'Listas suspensas'!$B$3,IF(AA596='Listas suspensas'!$A$4,'Listas suspensas'!$B$4,IF(AA596='Listas suspensas'!$A$5,'Listas suspensas'!$B$5,IF(AA596='Listas suspensas'!$A$6,'Listas suspensas'!$B$6,"")))))</f>
        <v>Profunda e irregular</v>
      </c>
      <c r="AC596" s="8" t="str">
        <f>IF(AA596='Listas suspensas'!$A$2,'Listas suspensas'!$C$2,IF(AA596='Listas suspensas'!$A$3,'Listas suspensas'!$C$3,IF(AA596='Listas suspensas'!$A$4,'Listas suspensas'!$C$4,IF(AA596='Listas suspensas'!$A$5,'Listas suspensas'!$C$5,IF(AA596='Listas suspensas'!$A$6,'Listas suspensas'!$C$6,"")))))</f>
        <v>Indica a penetração profunda, mas desuniforme em toda a extensão do alburno.</v>
      </c>
      <c r="BD596" s="13">
        <v>0.45300000000000001</v>
      </c>
      <c r="BE596" s="18">
        <f t="shared" si="99"/>
        <v>453</v>
      </c>
      <c r="BF596" s="8">
        <v>1.276</v>
      </c>
      <c r="BG596" s="8">
        <v>0.47299999999999998</v>
      </c>
      <c r="BH596" s="8">
        <v>0.78100000000000003</v>
      </c>
      <c r="BI596" s="13">
        <f t="shared" si="100"/>
        <v>2.5300000000000002</v>
      </c>
      <c r="BJ596" s="14">
        <v>50.4</v>
      </c>
      <c r="BK596" s="14">
        <v>18.7</v>
      </c>
      <c r="BL596" s="14">
        <v>30.9</v>
      </c>
      <c r="BM596" s="16">
        <f t="shared" si="94"/>
        <v>100</v>
      </c>
      <c r="BN596" s="21">
        <f t="shared" si="95"/>
        <v>5.78</v>
      </c>
      <c r="BO596" s="21">
        <f t="shared" si="96"/>
        <v>2.14</v>
      </c>
      <c r="BP596" s="21">
        <f t="shared" si="97"/>
        <v>3.54</v>
      </c>
      <c r="BQ596" s="14">
        <f t="shared" si="98"/>
        <v>11.46</v>
      </c>
      <c r="BR596" s="22" t="str">
        <f>IF(OR(AND(X596="Mourões", BQ596&gt;=6.5),AND(X596="Postes", BQ596&gt;=9.6),AND(X596="Dormentes", BQ596&gt;=9.6),AND(X596="Estacas - Solo", BQ596&gt;=6.5),AND(X596="Estacas - Suspenso", BQ596&gt;=4),AND(X596="Cruzetas", BQ596&gt;=6.5),AND(X596="Outros - Solo", BQ596&gt;=6.5),AND(X596="Outros - Suspenso",BQ596&gt;=4),AND(X596="Deck",BQ596&gt;=4)),'Listas suspensas'!$C$21,'Listas suspensas'!$C$22)</f>
        <v>Os resultados da análise química apresentaram uma retenção do produto de acordo com o padrão mínimo exigido pela norma ABNT NBR 16143</v>
      </c>
    </row>
    <row r="597" spans="2:70" x14ac:dyDescent="0.25">
      <c r="B597" s="8" t="s">
        <v>1535</v>
      </c>
      <c r="C597" s="8" t="s">
        <v>71</v>
      </c>
      <c r="F597" s="11">
        <v>46002</v>
      </c>
      <c r="G597" s="11">
        <v>46003</v>
      </c>
      <c r="H597" s="11">
        <v>46009</v>
      </c>
      <c r="I597" s="8" t="s">
        <v>1618</v>
      </c>
      <c r="J597" s="8" t="s">
        <v>963</v>
      </c>
      <c r="K597" s="8" t="s">
        <v>144</v>
      </c>
      <c r="L597" s="8" t="s">
        <v>15</v>
      </c>
      <c r="M597" s="29" t="s">
        <v>885</v>
      </c>
      <c r="N597" s="8" t="s">
        <v>1165</v>
      </c>
      <c r="O597" s="8" t="s">
        <v>76</v>
      </c>
      <c r="P597" s="28" t="s">
        <v>146</v>
      </c>
      <c r="Q597" s="16" t="s">
        <v>1668</v>
      </c>
      <c r="X597" s="8" t="s">
        <v>79</v>
      </c>
      <c r="Y597" s="34">
        <f>IF(X597='Listas suspensas'!$A$21,'Listas suspensas'!$B$23,IF(X597='Listas suspensas'!$A$22,'Listas suspensas'!$B$23,IF(X597='Listas suspensas'!$A$23,'Listas suspensas'!$B$22,IF(X597='Listas suspensas'!$A$26,'Listas suspensas'!$B$22,IF(X597='Listas suspensas'!$A$32,'Listas suspensas'!$B$22,IF(X597='Listas suspensas'!$A$33,'Listas suspensas'!$B$21,IF(X597='Listas suspensas'!$A$24,'Listas suspensas'!$B$22,IF(X597='Listas suspensas'!$A$25,'Listas suspensas'!$B$21,IF(X597='Listas suspensas'!$A$30,'Listas suspensas'!$B$21,"")))))))))</f>
        <v>6.5</v>
      </c>
      <c r="Z597" s="8" t="s">
        <v>80</v>
      </c>
      <c r="AA597" s="8">
        <v>2</v>
      </c>
      <c r="AB597" s="8" t="str">
        <f>IF(AA597='Listas suspensas'!$A$2,'Listas suspensas'!$B$2,IF(AA597='Listas suspensas'!$A$3,'Listas suspensas'!$B$3,IF(AA597='Listas suspensas'!$A$4,'Listas suspensas'!$B$4,IF(AA597='Listas suspensas'!$A$5,'Listas suspensas'!$B$5,IF(AA597='Listas suspensas'!$A$6,'Listas suspensas'!$B$6,"")))))</f>
        <v>Profunda e irregular</v>
      </c>
      <c r="AC597" s="8" t="str">
        <f>IF(AA597='Listas suspensas'!$A$2,'Listas suspensas'!$C$2,IF(AA597='Listas suspensas'!$A$3,'Listas suspensas'!$C$3,IF(AA597='Listas suspensas'!$A$4,'Listas suspensas'!$C$4,IF(AA597='Listas suspensas'!$A$5,'Listas suspensas'!$C$5,IF(AA597='Listas suspensas'!$A$6,'Listas suspensas'!$C$6,"")))))</f>
        <v>Indica a penetração profunda, mas desuniforme em toda a extensão do alburno.</v>
      </c>
      <c r="BD597" s="13">
        <v>0.48399999999999999</v>
      </c>
      <c r="BE597" s="18">
        <f t="shared" si="99"/>
        <v>484</v>
      </c>
      <c r="BF597" s="8">
        <v>0.98899999999999999</v>
      </c>
      <c r="BG597" s="8">
        <v>0.41599999999999998</v>
      </c>
      <c r="BH597" s="8">
        <v>0.64500000000000002</v>
      </c>
      <c r="BI597" s="13">
        <f t="shared" si="100"/>
        <v>2.0499999999999998</v>
      </c>
      <c r="BJ597" s="14">
        <v>48.3</v>
      </c>
      <c r="BK597" s="14">
        <v>20.3</v>
      </c>
      <c r="BL597" s="14">
        <v>31.4</v>
      </c>
      <c r="BM597" s="16">
        <f t="shared" si="94"/>
        <v>100</v>
      </c>
      <c r="BN597" s="21">
        <f t="shared" si="95"/>
        <v>4.79</v>
      </c>
      <c r="BO597" s="21">
        <f t="shared" si="96"/>
        <v>2.0099999999999998</v>
      </c>
      <c r="BP597" s="21">
        <f t="shared" si="97"/>
        <v>3.12</v>
      </c>
      <c r="BQ597" s="14">
        <f t="shared" si="98"/>
        <v>9.92</v>
      </c>
      <c r="BR597" s="22" t="str">
        <f>IF(OR(AND(X597="Mourões", BQ597&gt;=6.5),AND(X597="Postes", BQ597&gt;=9.6),AND(X597="Dormentes", BQ597&gt;=9.6),AND(X597="Estacas - Solo", BQ597&gt;=6.5),AND(X597="Estacas - Suspenso", BQ597&gt;=4),AND(X597="Cruzetas", BQ597&gt;=6.5),AND(X597="Outros - Solo", BQ597&gt;=6.5),AND(X597="Outros - Suspenso",BQ597&gt;=4),AND(X597="Deck",BQ597&gt;=4)),'Listas suspensas'!$C$21,'Listas suspensas'!$C$22)</f>
        <v>Os resultados da análise química apresentaram uma retenção do produto de acordo com o padrão mínimo exigido pela norma ABNT NBR 16143</v>
      </c>
    </row>
    <row r="598" spans="2:70" x14ac:dyDescent="0.25">
      <c r="B598" s="8" t="s">
        <v>1536</v>
      </c>
      <c r="C598" s="8" t="s">
        <v>71</v>
      </c>
      <c r="F598" s="11">
        <v>46002</v>
      </c>
      <c r="G598" s="11">
        <v>46003</v>
      </c>
      <c r="H598" s="11">
        <v>46009</v>
      </c>
      <c r="I598" s="8" t="s">
        <v>1669</v>
      </c>
      <c r="J598" s="8" t="s">
        <v>981</v>
      </c>
      <c r="K598" s="8" t="s">
        <v>74</v>
      </c>
      <c r="L598" s="8" t="s">
        <v>15</v>
      </c>
      <c r="M598" s="30" t="s">
        <v>1670</v>
      </c>
      <c r="N598" s="8" t="s">
        <v>1165</v>
      </c>
      <c r="O598" s="8" t="s">
        <v>76</v>
      </c>
      <c r="P598" s="28" t="s">
        <v>146</v>
      </c>
      <c r="Q598" s="16" t="s">
        <v>1671</v>
      </c>
      <c r="X598" s="8" t="s">
        <v>79</v>
      </c>
      <c r="Y598" s="34">
        <f>IF(X598='Listas suspensas'!$A$21,'Listas suspensas'!$B$23,IF(X598='Listas suspensas'!$A$22,'Listas suspensas'!$B$23,IF(X598='Listas suspensas'!$A$23,'Listas suspensas'!$B$22,IF(X598='Listas suspensas'!$A$26,'Listas suspensas'!$B$22,IF(X598='Listas suspensas'!$A$32,'Listas suspensas'!$B$22,IF(X598='Listas suspensas'!$A$33,'Listas suspensas'!$B$21,IF(X598='Listas suspensas'!$A$24,'Listas suspensas'!$B$22,IF(X598='Listas suspensas'!$A$25,'Listas suspensas'!$B$21,IF(X598='Listas suspensas'!$A$30,'Listas suspensas'!$B$21,"")))))))))</f>
        <v>6.5</v>
      </c>
      <c r="Z598" s="8" t="s">
        <v>80</v>
      </c>
      <c r="AA598" s="8">
        <v>2</v>
      </c>
      <c r="AB598" s="8" t="str">
        <f>IF(AA598='Listas suspensas'!$A$2,'Listas suspensas'!$B$2,IF(AA598='Listas suspensas'!$A$3,'Listas suspensas'!$B$3,IF(AA598='Listas suspensas'!$A$4,'Listas suspensas'!$B$4,IF(AA598='Listas suspensas'!$A$5,'Listas suspensas'!$B$5,IF(AA598='Listas suspensas'!$A$6,'Listas suspensas'!$B$6,"")))))</f>
        <v>Profunda e irregular</v>
      </c>
      <c r="AC598" s="8" t="str">
        <f>IF(AA598='Listas suspensas'!$A$2,'Listas suspensas'!$C$2,IF(AA598='Listas suspensas'!$A$3,'Listas suspensas'!$C$3,IF(AA598='Listas suspensas'!$A$4,'Listas suspensas'!$C$4,IF(AA598='Listas suspensas'!$A$5,'Listas suspensas'!$C$5,IF(AA598='Listas suspensas'!$A$6,'Listas suspensas'!$C$6,"")))))</f>
        <v>Indica a penetração profunda, mas desuniforme em toda a extensão do alburno.</v>
      </c>
      <c r="BD598" s="13">
        <v>0.59899999999999998</v>
      </c>
      <c r="BE598" s="18">
        <f t="shared" si="99"/>
        <v>599</v>
      </c>
      <c r="BF598" s="8">
        <v>0.495</v>
      </c>
      <c r="BG598" s="8">
        <v>0.245</v>
      </c>
      <c r="BH598" s="8">
        <v>0.44</v>
      </c>
      <c r="BI598" s="13">
        <f t="shared" si="100"/>
        <v>1.18</v>
      </c>
      <c r="BJ598" s="14">
        <v>42</v>
      </c>
      <c r="BK598" s="14">
        <v>20.7</v>
      </c>
      <c r="BL598" s="14">
        <v>37.299999999999997</v>
      </c>
      <c r="BM598" s="16">
        <f t="shared" si="94"/>
        <v>100</v>
      </c>
      <c r="BN598" s="21">
        <f t="shared" si="95"/>
        <v>2.97</v>
      </c>
      <c r="BO598" s="21">
        <f t="shared" si="96"/>
        <v>1.47</v>
      </c>
      <c r="BP598" s="21">
        <f t="shared" si="97"/>
        <v>2.64</v>
      </c>
      <c r="BQ598" s="14">
        <f t="shared" si="98"/>
        <v>7.08</v>
      </c>
      <c r="BR598" s="22" t="str">
        <f>IF(OR(AND(X598="Mourões", BQ598&gt;=6.5),AND(X598="Postes", BQ598&gt;=9.6),AND(X598="Dormentes", BQ598&gt;=9.6),AND(X598="Estacas - Solo", BQ598&gt;=6.5),AND(X598="Estacas - Suspenso", BQ598&gt;=4),AND(X598="Cruzetas", BQ598&gt;=6.5),AND(X598="Outros - Solo", BQ598&gt;=6.5),AND(X598="Outros - Suspenso",BQ598&gt;=4),AND(X598="Deck",BQ598&gt;=4)),'Listas suspensas'!$C$21,'Listas suspensas'!$C$22)</f>
        <v>Os resultados da análise química apresentaram uma retenção do produto de acordo com o padrão mínimo exigido pela norma ABNT NBR 16143</v>
      </c>
    </row>
    <row r="599" spans="2:70" x14ac:dyDescent="0.25">
      <c r="B599" s="8" t="s">
        <v>1537</v>
      </c>
      <c r="C599" s="8" t="s">
        <v>71</v>
      </c>
      <c r="F599" s="11">
        <v>46002</v>
      </c>
      <c r="G599" s="11">
        <v>46003</v>
      </c>
      <c r="H599" s="11">
        <v>46009</v>
      </c>
      <c r="I599" s="8" t="s">
        <v>1669</v>
      </c>
      <c r="J599" s="8" t="s">
        <v>981</v>
      </c>
      <c r="K599" s="8" t="s">
        <v>74</v>
      </c>
      <c r="L599" s="8" t="s">
        <v>15</v>
      </c>
      <c r="M599" s="30" t="s">
        <v>1670</v>
      </c>
      <c r="N599" s="8" t="s">
        <v>1165</v>
      </c>
      <c r="O599" s="8" t="s">
        <v>76</v>
      </c>
      <c r="P599" s="28" t="s">
        <v>146</v>
      </c>
      <c r="Q599" s="16" t="s">
        <v>1672</v>
      </c>
      <c r="X599" s="8" t="s">
        <v>79</v>
      </c>
      <c r="Y599" s="34">
        <f>IF(X599='Listas suspensas'!$A$21,'Listas suspensas'!$B$23,IF(X599='Listas suspensas'!$A$22,'Listas suspensas'!$B$23,IF(X599='Listas suspensas'!$A$23,'Listas suspensas'!$B$22,IF(X599='Listas suspensas'!$A$26,'Listas suspensas'!$B$22,IF(X599='Listas suspensas'!$A$32,'Listas suspensas'!$B$22,IF(X599='Listas suspensas'!$A$33,'Listas suspensas'!$B$21,IF(X599='Listas suspensas'!$A$24,'Listas suspensas'!$B$22,IF(X599='Listas suspensas'!$A$25,'Listas suspensas'!$B$21,IF(X599='Listas suspensas'!$A$30,'Listas suspensas'!$B$21,"")))))))))</f>
        <v>6.5</v>
      </c>
      <c r="Z599" s="8" t="s">
        <v>80</v>
      </c>
      <c r="AA599" s="8">
        <v>4</v>
      </c>
      <c r="AB599" s="8" t="str">
        <f>IF(AA599='Listas suspensas'!$A$2,'Listas suspensas'!$B$2,IF(AA599='Listas suspensas'!$A$3,'Listas suspensas'!$B$3,IF(AA599='Listas suspensas'!$A$4,'Listas suspensas'!$B$4,IF(AA599='Listas suspensas'!$A$5,'Listas suspensas'!$B$5,IF(AA599='Listas suspensas'!$A$6,'Listas suspensas'!$B$6,"")))))</f>
        <v>Parcial e irregular</v>
      </c>
      <c r="AC599" s="8" t="str">
        <f>IF(AA599='Listas suspensas'!$A$2,'Listas suspensas'!$C$2,IF(AA599='Listas suspensas'!$A$3,'Listas suspensas'!$C$3,IF(AA599='Listas suspensas'!$A$4,'Listas suspensas'!$C$4,IF(AA599='Listas suspensas'!$A$5,'Listas suspensas'!$C$5,IF(AA599='Listas suspensas'!$A$6,'Listas suspensas'!$C$6,"")))))</f>
        <v>Indica a penetração desuniforme e não total pela extensão do alburno.</v>
      </c>
      <c r="BD599" s="13">
        <v>0.58399999999999996</v>
      </c>
      <c r="BE599" s="18">
        <f t="shared" si="99"/>
        <v>584</v>
      </c>
      <c r="BF599" s="8">
        <v>0.32800000000000001</v>
      </c>
      <c r="BG599" s="8">
        <v>0.158</v>
      </c>
      <c r="BH599" s="8">
        <v>0.32500000000000001</v>
      </c>
      <c r="BI599" s="13">
        <f t="shared" si="100"/>
        <v>0.81099999999999994</v>
      </c>
      <c r="BJ599" s="14">
        <v>40.5</v>
      </c>
      <c r="BK599" s="14">
        <v>19.5</v>
      </c>
      <c r="BL599" s="14">
        <v>40</v>
      </c>
      <c r="BM599" s="16">
        <f t="shared" si="94"/>
        <v>100</v>
      </c>
      <c r="BN599" s="21">
        <f t="shared" si="95"/>
        <v>1.92</v>
      </c>
      <c r="BO599" s="21">
        <f t="shared" si="96"/>
        <v>0.92</v>
      </c>
      <c r="BP599" s="21">
        <f t="shared" si="97"/>
        <v>1.9</v>
      </c>
      <c r="BQ599" s="14">
        <f t="shared" si="98"/>
        <v>4.74</v>
      </c>
      <c r="BR599" s="22" t="str">
        <f>IF(OR(AND(X599="Mourões", BQ599&gt;=6.5),AND(X599="Postes", BQ599&gt;=9.6),AND(X599="Dormentes", BQ599&gt;=9.6),AND(X599="Estacas - Solo", BQ599&gt;=6.5),AND(X599="Estacas - Suspenso", BQ599&gt;=4),AND(X599="Cruzetas", BQ599&gt;=6.5),AND(X599="Outros - Solo", BQ599&gt;=6.5),AND(X599="Outros - Suspenso",BQ599&gt;=4),AND(X599="Deck",BQ599&gt;=4)),'Listas suspensas'!$C$21,'Listas suspensas'!$C$22)</f>
        <v>Os resultados da análise química apresentaram uma retenção do produto inferior ao padrão mínimo exigido pela norma ABNT NBR 16143</v>
      </c>
    </row>
    <row r="600" spans="2:70" x14ac:dyDescent="0.25">
      <c r="B600" s="8" t="s">
        <v>1538</v>
      </c>
      <c r="C600" s="8" t="s">
        <v>71</v>
      </c>
      <c r="F600" s="11">
        <v>46002</v>
      </c>
      <c r="G600" s="11">
        <v>46003</v>
      </c>
      <c r="H600" s="11">
        <v>46009</v>
      </c>
      <c r="I600" s="8" t="s">
        <v>1669</v>
      </c>
      <c r="J600" s="8" t="s">
        <v>981</v>
      </c>
      <c r="K600" s="8" t="s">
        <v>74</v>
      </c>
      <c r="L600" s="8" t="s">
        <v>15</v>
      </c>
      <c r="M600" s="30" t="s">
        <v>1670</v>
      </c>
      <c r="N600" s="8" t="s">
        <v>1165</v>
      </c>
      <c r="O600" s="8" t="s">
        <v>76</v>
      </c>
      <c r="P600" s="28" t="s">
        <v>146</v>
      </c>
      <c r="Q600" s="16" t="s">
        <v>1673</v>
      </c>
      <c r="X600" s="8" t="s">
        <v>79</v>
      </c>
      <c r="Y600" s="34">
        <f>IF(X600='Listas suspensas'!$A$21,'Listas suspensas'!$B$23,IF(X600='Listas suspensas'!$A$22,'Listas suspensas'!$B$23,IF(X600='Listas suspensas'!$A$23,'Listas suspensas'!$B$22,IF(X600='Listas suspensas'!$A$26,'Listas suspensas'!$B$22,IF(X600='Listas suspensas'!$A$32,'Listas suspensas'!$B$22,IF(X600='Listas suspensas'!$A$33,'Listas suspensas'!$B$21,IF(X600='Listas suspensas'!$A$24,'Listas suspensas'!$B$22,IF(X600='Listas suspensas'!$A$25,'Listas suspensas'!$B$21,IF(X600='Listas suspensas'!$A$30,'Listas suspensas'!$B$21,"")))))))))</f>
        <v>6.5</v>
      </c>
      <c r="Z600" s="8" t="s">
        <v>80</v>
      </c>
      <c r="AA600" s="8">
        <v>3</v>
      </c>
      <c r="AB600" s="8" t="str">
        <f>IF(AA600='Listas suspensas'!$A$2,'Listas suspensas'!$B$2,IF(AA600='Listas suspensas'!$A$3,'Listas suspensas'!$B$3,IF(AA600='Listas suspensas'!$A$4,'Listas suspensas'!$B$4,IF(AA600='Listas suspensas'!$A$5,'Listas suspensas'!$B$5,IF(AA600='Listas suspensas'!$A$6,'Listas suspensas'!$B$6,"")))))</f>
        <v xml:space="preserve"> Parcial e regular</v>
      </c>
      <c r="AC600" s="8" t="str">
        <f>IF(AA600='Listas suspensas'!$A$2,'Listas suspensas'!$C$2,IF(AA600='Listas suspensas'!$A$3,'Listas suspensas'!$C$3,IF(AA600='Listas suspensas'!$A$4,'Listas suspensas'!$C$4,IF(AA600='Listas suspensas'!$A$5,'Listas suspensas'!$C$5,IF(AA600='Listas suspensas'!$A$6,'Listas suspensas'!$C$6,"")))))</f>
        <v>Indica a penetração uniforme, mas não total pela extensão do alburno.</v>
      </c>
      <c r="BD600" s="13">
        <v>0.68899999999999995</v>
      </c>
      <c r="BE600" s="18">
        <f t="shared" si="99"/>
        <v>689</v>
      </c>
      <c r="BF600" s="8">
        <v>0.247</v>
      </c>
      <c r="BG600" s="8">
        <v>0.114</v>
      </c>
      <c r="BH600" s="8">
        <v>0.189</v>
      </c>
      <c r="BI600" s="13">
        <f t="shared" si="100"/>
        <v>0.55000000000000004</v>
      </c>
      <c r="BJ600" s="14">
        <v>44.9</v>
      </c>
      <c r="BK600" s="14">
        <v>20.7</v>
      </c>
      <c r="BL600" s="14">
        <v>34.4</v>
      </c>
      <c r="BM600" s="16">
        <f t="shared" si="94"/>
        <v>100</v>
      </c>
      <c r="BN600" s="21">
        <f t="shared" si="95"/>
        <v>1.7</v>
      </c>
      <c r="BO600" s="21">
        <f t="shared" si="96"/>
        <v>0.79</v>
      </c>
      <c r="BP600" s="21">
        <f t="shared" si="97"/>
        <v>1.3</v>
      </c>
      <c r="BQ600" s="14">
        <f t="shared" si="98"/>
        <v>3.79</v>
      </c>
      <c r="BR600" s="22" t="str">
        <f>IF(OR(AND(X600="Mourões", BQ600&gt;=6.5),AND(X600="Postes", BQ600&gt;=9.6),AND(X600="Dormentes", BQ600&gt;=9.6),AND(X600="Estacas - Solo", BQ600&gt;=6.5),AND(X600="Estacas - Suspenso", BQ600&gt;=4),AND(X600="Cruzetas", BQ600&gt;=6.5),AND(X600="Outros - Solo", BQ600&gt;=6.5),AND(X600="Outros - Suspenso",BQ600&gt;=4),AND(X600="Deck",BQ600&gt;=4)),'Listas suspensas'!$C$21,'Listas suspensas'!$C$22)</f>
        <v>Os resultados da análise química apresentaram uma retenção do produto inferior ao padrão mínimo exigido pela norma ABNT NBR 16143</v>
      </c>
    </row>
    <row r="601" spans="2:70" x14ac:dyDescent="0.25">
      <c r="B601" s="8" t="s">
        <v>1539</v>
      </c>
      <c r="C601" s="8" t="s">
        <v>71</v>
      </c>
      <c r="F601" s="11">
        <v>46002</v>
      </c>
      <c r="G601" s="11">
        <v>46003</v>
      </c>
      <c r="H601" s="11">
        <v>46009</v>
      </c>
      <c r="I601" s="8" t="s">
        <v>1669</v>
      </c>
      <c r="J601" s="8" t="s">
        <v>981</v>
      </c>
      <c r="K601" s="8" t="s">
        <v>74</v>
      </c>
      <c r="L601" s="8" t="s">
        <v>15</v>
      </c>
      <c r="M601" s="30" t="s">
        <v>1670</v>
      </c>
      <c r="N601" s="8" t="s">
        <v>1165</v>
      </c>
      <c r="O601" s="8" t="s">
        <v>76</v>
      </c>
      <c r="P601" s="28" t="s">
        <v>146</v>
      </c>
      <c r="Q601" s="16" t="s">
        <v>1674</v>
      </c>
      <c r="X601" s="8" t="s">
        <v>79</v>
      </c>
      <c r="Y601" s="34">
        <f>IF(X601='Listas suspensas'!$A$21,'Listas suspensas'!$B$23,IF(X601='Listas suspensas'!$A$22,'Listas suspensas'!$B$23,IF(X601='Listas suspensas'!$A$23,'Listas suspensas'!$B$22,IF(X601='Listas suspensas'!$A$26,'Listas suspensas'!$B$22,IF(X601='Listas suspensas'!$A$32,'Listas suspensas'!$B$22,IF(X601='Listas suspensas'!$A$33,'Listas suspensas'!$B$21,IF(X601='Listas suspensas'!$A$24,'Listas suspensas'!$B$22,IF(X601='Listas suspensas'!$A$25,'Listas suspensas'!$B$21,IF(X601='Listas suspensas'!$A$30,'Listas suspensas'!$B$21,"")))))))))</f>
        <v>6.5</v>
      </c>
      <c r="Z601" s="8" t="s">
        <v>80</v>
      </c>
      <c r="AA601" s="8">
        <v>4</v>
      </c>
      <c r="AB601" s="8" t="str">
        <f>IF(AA601='Listas suspensas'!$A$2,'Listas suspensas'!$B$2,IF(AA601='Listas suspensas'!$A$3,'Listas suspensas'!$B$3,IF(AA601='Listas suspensas'!$A$4,'Listas suspensas'!$B$4,IF(AA601='Listas suspensas'!$A$5,'Listas suspensas'!$B$5,IF(AA601='Listas suspensas'!$A$6,'Listas suspensas'!$B$6,"")))))</f>
        <v>Parcial e irregular</v>
      </c>
      <c r="AC601" s="8" t="str">
        <f>IF(AA601='Listas suspensas'!$A$2,'Listas suspensas'!$C$2,IF(AA601='Listas suspensas'!$A$3,'Listas suspensas'!$C$3,IF(AA601='Listas suspensas'!$A$4,'Listas suspensas'!$C$4,IF(AA601='Listas suspensas'!$A$5,'Listas suspensas'!$C$5,IF(AA601='Listas suspensas'!$A$6,'Listas suspensas'!$C$6,"")))))</f>
        <v>Indica a penetração desuniforme e não total pela extensão do alburno.</v>
      </c>
      <c r="BD601" s="13">
        <v>0.48899999999999999</v>
      </c>
      <c r="BE601" s="18">
        <f t="shared" si="99"/>
        <v>489</v>
      </c>
      <c r="BF601" s="8">
        <v>0.246</v>
      </c>
      <c r="BG601" s="8">
        <v>0.15</v>
      </c>
      <c r="BH601" s="8">
        <v>0.30099999999999999</v>
      </c>
      <c r="BI601" s="13">
        <f t="shared" si="100"/>
        <v>0.69700000000000006</v>
      </c>
      <c r="BJ601" s="14">
        <v>35.200000000000003</v>
      </c>
      <c r="BK601" s="14">
        <v>21.5</v>
      </c>
      <c r="BL601" s="14">
        <v>43.3</v>
      </c>
      <c r="BM601" s="16">
        <f t="shared" si="94"/>
        <v>100</v>
      </c>
      <c r="BN601" s="21">
        <f t="shared" si="95"/>
        <v>1.2</v>
      </c>
      <c r="BO601" s="21">
        <f t="shared" si="96"/>
        <v>0.73</v>
      </c>
      <c r="BP601" s="21">
        <f t="shared" si="97"/>
        <v>1.47</v>
      </c>
      <c r="BQ601" s="14">
        <f t="shared" si="98"/>
        <v>3.4</v>
      </c>
      <c r="BR601" s="22" t="str">
        <f>IF(OR(AND(X601="Mourões", BQ601&gt;=6.5),AND(X601="Postes", BQ601&gt;=9.6),AND(X601="Dormentes", BQ601&gt;=9.6),AND(X601="Estacas - Solo", BQ601&gt;=6.5),AND(X601="Estacas - Suspenso", BQ601&gt;=4),AND(X601="Cruzetas", BQ601&gt;=6.5),AND(X601="Outros - Solo", BQ601&gt;=6.5),AND(X601="Outros - Suspenso",BQ601&gt;=4),AND(X601="Deck",BQ601&gt;=4)),'Listas suspensas'!$C$21,'Listas suspensas'!$C$22)</f>
        <v>Os resultados da análise química apresentaram uma retenção do produto inferior ao padrão mínimo exigido pela norma ABNT NBR 16143</v>
      </c>
    </row>
    <row r="602" spans="2:70" x14ac:dyDescent="0.25">
      <c r="B602" s="8" t="s">
        <v>1677</v>
      </c>
      <c r="C602" s="8" t="s">
        <v>71</v>
      </c>
      <c r="F602" s="11">
        <v>46002</v>
      </c>
      <c r="G602" s="11">
        <v>46003</v>
      </c>
      <c r="H602" s="11">
        <v>46009</v>
      </c>
      <c r="I602" s="8" t="s">
        <v>1669</v>
      </c>
      <c r="J602" s="8" t="s">
        <v>981</v>
      </c>
      <c r="K602" s="8" t="s">
        <v>74</v>
      </c>
      <c r="L602" s="8" t="s">
        <v>15</v>
      </c>
      <c r="M602" s="32" t="s">
        <v>1670</v>
      </c>
      <c r="N602" s="8" t="s">
        <v>1165</v>
      </c>
      <c r="O602" s="8" t="s">
        <v>76</v>
      </c>
      <c r="P602" s="28" t="s">
        <v>146</v>
      </c>
      <c r="Q602" s="16" t="s">
        <v>1675</v>
      </c>
      <c r="X602" s="8" t="s">
        <v>79</v>
      </c>
      <c r="Y602" s="34">
        <f>IF(X602='Listas suspensas'!$A$21,'Listas suspensas'!$B$23,IF(X602='Listas suspensas'!$A$22,'Listas suspensas'!$B$23,IF(X602='Listas suspensas'!$A$23,'Listas suspensas'!$B$22,IF(X602='Listas suspensas'!$A$26,'Listas suspensas'!$B$22,IF(X602='Listas suspensas'!$A$32,'Listas suspensas'!$B$22,IF(X602='Listas suspensas'!$A$33,'Listas suspensas'!$B$21,IF(X602='Listas suspensas'!$A$24,'Listas suspensas'!$B$22,IF(X602='Listas suspensas'!$A$25,'Listas suspensas'!$B$21,IF(X602='Listas suspensas'!$A$30,'Listas suspensas'!$B$21,"")))))))))</f>
        <v>6.5</v>
      </c>
      <c r="Z602" s="8" t="s">
        <v>80</v>
      </c>
      <c r="AA602" s="8">
        <v>3</v>
      </c>
      <c r="AB602" s="8" t="str">
        <f>IF(AA602='Listas suspensas'!$A$2,'Listas suspensas'!$B$2,IF(AA602='Listas suspensas'!$A$3,'Listas suspensas'!$B$3,IF(AA602='Listas suspensas'!$A$4,'Listas suspensas'!$B$4,IF(AA602='Listas suspensas'!$A$5,'Listas suspensas'!$B$5,IF(AA602='Listas suspensas'!$A$6,'Listas suspensas'!$B$6,"")))))</f>
        <v xml:space="preserve"> Parcial e regular</v>
      </c>
      <c r="AC602" s="8" t="str">
        <f>IF(AA602='Listas suspensas'!$A$2,'Listas suspensas'!$C$2,IF(AA602='Listas suspensas'!$A$3,'Listas suspensas'!$C$3,IF(AA602='Listas suspensas'!$A$4,'Listas suspensas'!$C$4,IF(AA602='Listas suspensas'!$A$5,'Listas suspensas'!$C$5,IF(AA602='Listas suspensas'!$A$6,'Listas suspensas'!$C$6,"")))))</f>
        <v>Indica a penetração uniforme, mas não total pela extensão do alburno.</v>
      </c>
      <c r="BD602" s="13">
        <v>0.60499999999999998</v>
      </c>
      <c r="BE602" s="14">
        <f>BD602*1000</f>
        <v>605</v>
      </c>
      <c r="BF602" s="8">
        <v>0.32200000000000001</v>
      </c>
      <c r="BG602" s="8">
        <v>0.16400000000000001</v>
      </c>
      <c r="BH602" s="8">
        <v>0.32600000000000001</v>
      </c>
      <c r="BI602" s="13">
        <f t="shared" si="100"/>
        <v>0.81200000000000006</v>
      </c>
      <c r="BJ602" s="14">
        <v>39.700000000000003</v>
      </c>
      <c r="BK602" s="14">
        <v>20.2</v>
      </c>
      <c r="BL602" s="14">
        <v>40.1</v>
      </c>
      <c r="BM602" s="16">
        <f t="shared" si="94"/>
        <v>100</v>
      </c>
      <c r="BN602" s="21">
        <f t="shared" si="95"/>
        <v>1.95</v>
      </c>
      <c r="BO602" s="21">
        <f t="shared" si="96"/>
        <v>0.99</v>
      </c>
      <c r="BP602" s="21">
        <f t="shared" si="97"/>
        <v>1.97</v>
      </c>
      <c r="BQ602" s="14">
        <f t="shared" si="98"/>
        <v>4.91</v>
      </c>
      <c r="BR602" s="22" t="str">
        <f>IF(OR(AND(X602="Mourões", BQ602&gt;=6.5),AND(X602="Postes", BQ602&gt;=9.6),AND(X602="Dormentes", BQ602&gt;=9.6),AND(X602="Estacas - Solo", BQ602&gt;=6.5),AND(X602="Estacas - Suspenso", BQ602&gt;=4),AND(X602="Cruzetas", BQ602&gt;=6.5),AND(X602="Outros - Solo", BQ602&gt;=6.5),AND(X602="Outros - Suspenso",BQ602&gt;=4),AND(X602="Deck",BQ602&gt;=4)),'Listas suspensas'!$C$21,'Listas suspensas'!$C$22)</f>
        <v>Os resultados da análise química apresentaram uma retenção do produto inferior ao padrão mínimo exigido pela norma ABNT NBR 16143</v>
      </c>
    </row>
    <row r="603" spans="2:70" x14ac:dyDescent="0.25">
      <c r="B603" s="8" t="s">
        <v>1678</v>
      </c>
      <c r="C603" s="8" t="s">
        <v>71</v>
      </c>
      <c r="F603" s="11">
        <v>46002</v>
      </c>
      <c r="G603" s="11">
        <v>46003</v>
      </c>
      <c r="H603" s="11">
        <v>46009</v>
      </c>
      <c r="I603" s="8" t="s">
        <v>1669</v>
      </c>
      <c r="J603" s="8" t="s">
        <v>981</v>
      </c>
      <c r="K603" s="8" t="s">
        <v>74</v>
      </c>
      <c r="L603" s="8" t="s">
        <v>15</v>
      </c>
      <c r="M603" s="30" t="s">
        <v>1670</v>
      </c>
      <c r="N603" s="8" t="s">
        <v>1165</v>
      </c>
      <c r="O603" s="8" t="s">
        <v>76</v>
      </c>
      <c r="P603" s="28" t="s">
        <v>146</v>
      </c>
      <c r="Q603" s="16" t="s">
        <v>1676</v>
      </c>
      <c r="X603" s="8" t="s">
        <v>79</v>
      </c>
      <c r="Y603" s="34">
        <f>IF(X603='Listas suspensas'!$A$21,'Listas suspensas'!$B$23,IF(X603='Listas suspensas'!$A$22,'Listas suspensas'!$B$23,IF(X603='Listas suspensas'!$A$23,'Listas suspensas'!$B$22,IF(X603='Listas suspensas'!$A$26,'Listas suspensas'!$B$22,IF(X603='Listas suspensas'!$A$32,'Listas suspensas'!$B$22,IF(X603='Listas suspensas'!$A$33,'Listas suspensas'!$B$21,IF(X603='Listas suspensas'!$A$24,'Listas suspensas'!$B$22,IF(X603='Listas suspensas'!$A$25,'Listas suspensas'!$B$21,IF(X603='Listas suspensas'!$A$30,'Listas suspensas'!$B$21,"")))))))))</f>
        <v>6.5</v>
      </c>
      <c r="Z603" s="8" t="s">
        <v>80</v>
      </c>
      <c r="AA603" s="8">
        <v>3</v>
      </c>
      <c r="AB603" s="8" t="str">
        <f>IF(AA603='Listas suspensas'!$A$2,'Listas suspensas'!$B$2,IF(AA603='Listas suspensas'!$A$3,'Listas suspensas'!$B$3,IF(AA603='Listas suspensas'!$A$4,'Listas suspensas'!$B$4,IF(AA603='Listas suspensas'!$A$5,'Listas suspensas'!$B$5,IF(AA603='Listas suspensas'!$A$6,'Listas suspensas'!$B$6,"")))))</f>
        <v xml:space="preserve"> Parcial e regular</v>
      </c>
      <c r="AC603" s="8" t="str">
        <f>IF(AA603='Listas suspensas'!$A$2,'Listas suspensas'!$C$2,IF(AA603='Listas suspensas'!$A$3,'Listas suspensas'!$C$3,IF(AA603='Listas suspensas'!$A$4,'Listas suspensas'!$C$4,IF(AA603='Listas suspensas'!$A$5,'Listas suspensas'!$C$5,IF(AA603='Listas suspensas'!$A$6,'Listas suspensas'!$C$6,"")))))</f>
        <v>Indica a penetração uniforme, mas não total pela extensão do alburno.</v>
      </c>
      <c r="BD603" s="13">
        <v>0.73099999999999998</v>
      </c>
      <c r="BE603" s="18">
        <f>BD603*1000</f>
        <v>731</v>
      </c>
      <c r="BF603" s="8">
        <v>0.33700000000000002</v>
      </c>
      <c r="BG603" s="8">
        <v>0.14199999999999999</v>
      </c>
      <c r="BH603" s="8">
        <v>0.22700000000000001</v>
      </c>
      <c r="BI603" s="13">
        <f t="shared" si="100"/>
        <v>0.70599999999999996</v>
      </c>
      <c r="BJ603" s="14">
        <v>47.8</v>
      </c>
      <c r="BK603" s="14">
        <v>20.100000000000001</v>
      </c>
      <c r="BL603" s="14">
        <v>32.1</v>
      </c>
      <c r="BM603" s="16">
        <f t="shared" si="94"/>
        <v>100</v>
      </c>
      <c r="BN603" s="21">
        <f t="shared" si="95"/>
        <v>2.46</v>
      </c>
      <c r="BO603" s="21">
        <f t="shared" si="96"/>
        <v>1.04</v>
      </c>
      <c r="BP603" s="21">
        <f t="shared" si="97"/>
        <v>1.66</v>
      </c>
      <c r="BQ603" s="14">
        <f t="shared" si="98"/>
        <v>5.16</v>
      </c>
      <c r="BR603" s="22" t="str">
        <f>IF(OR(AND(X603="Mourões", BQ603&gt;=6.5),AND(X603="Postes", BQ603&gt;=9.6),AND(X603="Dormentes", BQ603&gt;=9.6),AND(X603="Estacas - Solo", BQ603&gt;=6.5),AND(X603="Estacas - Suspenso", BQ603&gt;=4),AND(X603="Cruzetas", BQ603&gt;=6.5),AND(X603="Outros - Solo", BQ603&gt;=6.5),AND(X603="Outros - Suspenso",BQ603&gt;=4),AND(X603="Deck",BQ603&gt;=4)),'Listas suspensas'!$C$21,'Listas suspensas'!$C$22)</f>
        <v>Os resultados da análise química apresentaram uma retenção do produto inferior ao padrão mínimo exigido pela norma ABNT NBR 16143</v>
      </c>
    </row>
    <row r="604" spans="2:70" x14ac:dyDescent="0.25">
      <c r="B604" s="8" t="s">
        <v>1679</v>
      </c>
      <c r="C604" s="8" t="s">
        <v>71</v>
      </c>
      <c r="F604" s="11">
        <v>46002</v>
      </c>
      <c r="G604" s="11">
        <v>46003</v>
      </c>
      <c r="H604" s="11">
        <v>46009</v>
      </c>
      <c r="I604" s="8" t="s">
        <v>584</v>
      </c>
      <c r="J604" s="8" t="s">
        <v>1691</v>
      </c>
      <c r="K604" s="8" t="s">
        <v>144</v>
      </c>
      <c r="L604" s="8" t="s">
        <v>15</v>
      </c>
      <c r="M604" s="30" t="s">
        <v>585</v>
      </c>
      <c r="N604" s="8" t="s">
        <v>1165</v>
      </c>
      <c r="O604" s="8" t="s">
        <v>94</v>
      </c>
      <c r="P604" s="28" t="s">
        <v>77</v>
      </c>
      <c r="Q604" s="16" t="s">
        <v>1692</v>
      </c>
      <c r="X604" s="8" t="s">
        <v>79</v>
      </c>
      <c r="Y604" s="34">
        <f>IF(X604='Listas suspensas'!$A$21,'Listas suspensas'!$B$23,IF(X604='Listas suspensas'!$A$22,'Listas suspensas'!$B$23,IF(X604='Listas suspensas'!$A$23,'Listas suspensas'!$B$22,IF(X604='Listas suspensas'!$A$26,'Listas suspensas'!$B$22,IF(X604='Listas suspensas'!$A$32,'Listas suspensas'!$B$22,IF(X604='Listas suspensas'!$A$33,'Listas suspensas'!$B$21,IF(X604='Listas suspensas'!$A$24,'Listas suspensas'!$B$22,IF(X604='Listas suspensas'!$A$25,'Listas suspensas'!$B$21,IF(X604='Listas suspensas'!$A$30,'Listas suspensas'!$B$21,"")))))))))</f>
        <v>6.5</v>
      </c>
      <c r="Z604" s="8" t="s">
        <v>80</v>
      </c>
      <c r="AA604" s="8">
        <v>2</v>
      </c>
      <c r="AB604" s="8" t="str">
        <f>IF(AA604='Listas suspensas'!$A$2,'Listas suspensas'!$B$2,IF(AA604='Listas suspensas'!$A$3,'Listas suspensas'!$B$3,IF(AA604='Listas suspensas'!$A$4,'Listas suspensas'!$B$4,IF(AA604='Listas suspensas'!$A$5,'Listas suspensas'!$B$5,IF(AA604='Listas suspensas'!$A$6,'Listas suspensas'!$B$6,"")))))</f>
        <v>Profunda e irregular</v>
      </c>
      <c r="AC604" s="8" t="str">
        <f>IF(AA604='Listas suspensas'!$A$2,'Listas suspensas'!$C$2,IF(AA604='Listas suspensas'!$A$3,'Listas suspensas'!$C$3,IF(AA604='Listas suspensas'!$A$4,'Listas suspensas'!$C$4,IF(AA604='Listas suspensas'!$A$5,'Listas suspensas'!$C$5,IF(AA604='Listas suspensas'!$A$6,'Listas suspensas'!$C$6,"")))))</f>
        <v>Indica a penetração profunda, mas desuniforme em toda a extensão do alburno.</v>
      </c>
      <c r="BD604" s="13">
        <v>0.73799999999999999</v>
      </c>
      <c r="BE604" s="18">
        <f t="shared" si="99"/>
        <v>738</v>
      </c>
      <c r="BF604" s="8">
        <v>0.68</v>
      </c>
      <c r="BG604" s="8">
        <v>0.23699999999999999</v>
      </c>
      <c r="BH604" s="8">
        <v>0.51500000000000001</v>
      </c>
      <c r="BI604" s="13">
        <f t="shared" si="100"/>
        <v>1.4319999999999999</v>
      </c>
      <c r="BJ604" s="14">
        <v>47.5</v>
      </c>
      <c r="BK604" s="14">
        <v>16.600000000000001</v>
      </c>
      <c r="BL604" s="14">
        <v>35.9</v>
      </c>
      <c r="BM604" s="16">
        <f t="shared" si="94"/>
        <v>100</v>
      </c>
      <c r="BN604" s="21">
        <f t="shared" si="95"/>
        <v>5.0199999999999996</v>
      </c>
      <c r="BO604" s="21">
        <f t="shared" si="96"/>
        <v>1.75</v>
      </c>
      <c r="BP604" s="21">
        <f t="shared" si="97"/>
        <v>3.8</v>
      </c>
      <c r="BQ604" s="14">
        <f t="shared" si="98"/>
        <v>10.57</v>
      </c>
      <c r="BR604" s="22" t="str">
        <f>IF(OR(AND(X604="Mourões", BQ604&gt;=6.5),AND(X604="Postes", BQ604&gt;=9.6),AND(X604="Dormentes", BQ604&gt;=9.6),AND(X604="Estacas - Solo", BQ604&gt;=6.5),AND(X604="Estacas - Suspenso", BQ604&gt;=4),AND(X604="Cruzetas", BQ604&gt;=6.5),AND(X604="Outros - Solo", BQ604&gt;=6.5),AND(X604="Outros - Suspenso",BQ604&gt;=4),AND(X604="Deck",BQ604&gt;=4)),'Listas suspensas'!$C$21,'Listas suspensas'!$C$22)</f>
        <v>Os resultados da análise química apresentaram uma retenção do produto de acordo com o padrão mínimo exigido pela norma ABNT NBR 16143</v>
      </c>
    </row>
    <row r="605" spans="2:70" x14ac:dyDescent="0.25">
      <c r="B605" s="8" t="s">
        <v>1680</v>
      </c>
      <c r="C605" s="8" t="s">
        <v>71</v>
      </c>
      <c r="F605" s="11">
        <v>46002</v>
      </c>
      <c r="G605" s="11">
        <v>46003</v>
      </c>
      <c r="H605" s="11">
        <v>46009</v>
      </c>
      <c r="I605" s="8" t="s">
        <v>584</v>
      </c>
      <c r="J605" s="8" t="s">
        <v>1691</v>
      </c>
      <c r="K605" s="8" t="s">
        <v>144</v>
      </c>
      <c r="L605" s="8" t="s">
        <v>15</v>
      </c>
      <c r="M605" s="30" t="s">
        <v>585</v>
      </c>
      <c r="N605" s="8" t="s">
        <v>1165</v>
      </c>
      <c r="O605" s="8" t="s">
        <v>94</v>
      </c>
      <c r="P605" s="28" t="s">
        <v>77</v>
      </c>
      <c r="Q605" s="16" t="s">
        <v>1693</v>
      </c>
      <c r="X605" s="8" t="s">
        <v>79</v>
      </c>
      <c r="Y605" s="34">
        <f>IF(X605='Listas suspensas'!$A$21,'Listas suspensas'!$B$23,IF(X605='Listas suspensas'!$A$22,'Listas suspensas'!$B$23,IF(X605='Listas suspensas'!$A$23,'Listas suspensas'!$B$22,IF(X605='Listas suspensas'!$A$26,'Listas suspensas'!$B$22,IF(X605='Listas suspensas'!$A$32,'Listas suspensas'!$B$22,IF(X605='Listas suspensas'!$A$33,'Listas suspensas'!$B$21,IF(X605='Listas suspensas'!$A$24,'Listas suspensas'!$B$22,IF(X605='Listas suspensas'!$A$25,'Listas suspensas'!$B$21,IF(X605='Listas suspensas'!$A$30,'Listas suspensas'!$B$21,"")))))))))</f>
        <v>6.5</v>
      </c>
      <c r="Z605" s="8" t="s">
        <v>80</v>
      </c>
      <c r="AA605" s="8">
        <v>2</v>
      </c>
      <c r="AB605" s="8" t="str">
        <f>IF(AA605='Listas suspensas'!$A$2,'Listas suspensas'!$B$2,IF(AA605='Listas suspensas'!$A$3,'Listas suspensas'!$B$3,IF(AA605='Listas suspensas'!$A$4,'Listas suspensas'!$B$4,IF(AA605='Listas suspensas'!$A$5,'Listas suspensas'!$B$5,IF(AA605='Listas suspensas'!$A$6,'Listas suspensas'!$B$6,"")))))</f>
        <v>Profunda e irregular</v>
      </c>
      <c r="AC605" s="8" t="str">
        <f>IF(AA605='Listas suspensas'!$A$2,'Listas suspensas'!$C$2,IF(AA605='Listas suspensas'!$A$3,'Listas suspensas'!$C$3,IF(AA605='Listas suspensas'!$A$4,'Listas suspensas'!$C$4,IF(AA605='Listas suspensas'!$A$5,'Listas suspensas'!$C$5,IF(AA605='Listas suspensas'!$A$6,'Listas suspensas'!$C$6,"")))))</f>
        <v>Indica a penetração profunda, mas desuniforme em toda a extensão do alburno.</v>
      </c>
      <c r="BD605" s="13">
        <v>0.68700000000000006</v>
      </c>
      <c r="BE605" s="18">
        <f t="shared" si="99"/>
        <v>687</v>
      </c>
      <c r="BF605" s="8">
        <v>0.70399999999999996</v>
      </c>
      <c r="BG605" s="8">
        <v>0.26700000000000002</v>
      </c>
      <c r="BH605" s="8">
        <v>0.626</v>
      </c>
      <c r="BI605" s="13">
        <f t="shared" si="100"/>
        <v>1.597</v>
      </c>
      <c r="BJ605" s="14">
        <v>44.1</v>
      </c>
      <c r="BK605" s="14">
        <v>16.7</v>
      </c>
      <c r="BL605" s="14">
        <v>39.200000000000003</v>
      </c>
      <c r="BM605" s="16">
        <f t="shared" si="94"/>
        <v>100</v>
      </c>
      <c r="BN605" s="21">
        <f t="shared" si="95"/>
        <v>4.84</v>
      </c>
      <c r="BO605" s="21">
        <f t="shared" si="96"/>
        <v>1.83</v>
      </c>
      <c r="BP605" s="21">
        <f t="shared" si="97"/>
        <v>4.3</v>
      </c>
      <c r="BQ605" s="14">
        <f t="shared" si="98"/>
        <v>10.97</v>
      </c>
      <c r="BR605" s="22" t="str">
        <f>IF(OR(AND(X605="Mourões", BQ605&gt;=6.5),AND(X605="Postes", BQ605&gt;=9.6),AND(X605="Dormentes", BQ605&gt;=9.6),AND(X605="Estacas - Solo", BQ605&gt;=6.5),AND(X605="Estacas - Suspenso", BQ605&gt;=4),AND(X605="Cruzetas", BQ605&gt;=6.5),AND(X605="Outros - Solo", BQ605&gt;=6.5),AND(X605="Outros - Suspenso",BQ605&gt;=4),AND(X605="Deck",BQ605&gt;=4)),'Listas suspensas'!$C$21,'Listas suspensas'!$C$22)</f>
        <v>Os resultados da análise química apresentaram uma retenção do produto de acordo com o padrão mínimo exigido pela norma ABNT NBR 16143</v>
      </c>
    </row>
    <row r="606" spans="2:70" x14ac:dyDescent="0.25">
      <c r="B606" s="8" t="s">
        <v>1681</v>
      </c>
      <c r="C606" s="8" t="s">
        <v>71</v>
      </c>
      <c r="F606" s="11">
        <v>46002</v>
      </c>
      <c r="G606" s="11">
        <v>46003</v>
      </c>
      <c r="H606" s="11">
        <v>46009</v>
      </c>
      <c r="I606" s="8" t="s">
        <v>584</v>
      </c>
      <c r="J606" s="8" t="s">
        <v>1691</v>
      </c>
      <c r="K606" s="8" t="s">
        <v>144</v>
      </c>
      <c r="L606" s="8" t="s">
        <v>15</v>
      </c>
      <c r="M606" s="30" t="s">
        <v>585</v>
      </c>
      <c r="N606" s="8" t="s">
        <v>1165</v>
      </c>
      <c r="O606" s="8" t="s">
        <v>94</v>
      </c>
      <c r="P606" s="28" t="s">
        <v>77</v>
      </c>
      <c r="Q606" s="16" t="s">
        <v>1694</v>
      </c>
      <c r="X606" s="8" t="s">
        <v>79</v>
      </c>
      <c r="Y606" s="34">
        <f>IF(X606='Listas suspensas'!$A$21,'Listas suspensas'!$B$23,IF(X606='Listas suspensas'!$A$22,'Listas suspensas'!$B$23,IF(X606='Listas suspensas'!$A$23,'Listas suspensas'!$B$22,IF(X606='Listas suspensas'!$A$26,'Listas suspensas'!$B$22,IF(X606='Listas suspensas'!$A$32,'Listas suspensas'!$B$22,IF(X606='Listas suspensas'!$A$33,'Listas suspensas'!$B$21,IF(X606='Listas suspensas'!$A$24,'Listas suspensas'!$B$22,IF(X606='Listas suspensas'!$A$25,'Listas suspensas'!$B$21,IF(X606='Listas suspensas'!$A$30,'Listas suspensas'!$B$21,"")))))))))</f>
        <v>6.5</v>
      </c>
      <c r="Z606" s="8" t="s">
        <v>80</v>
      </c>
      <c r="AA606" s="8">
        <v>2</v>
      </c>
      <c r="AB606" s="8" t="str">
        <f>IF(AA606='Listas suspensas'!$A$2,'Listas suspensas'!$B$2,IF(AA606='Listas suspensas'!$A$3,'Listas suspensas'!$B$3,IF(AA606='Listas suspensas'!$A$4,'Listas suspensas'!$B$4,IF(AA606='Listas suspensas'!$A$5,'Listas suspensas'!$B$5,IF(AA606='Listas suspensas'!$A$6,'Listas suspensas'!$B$6,"")))))</f>
        <v>Profunda e irregular</v>
      </c>
      <c r="AC606" s="8" t="str">
        <f>IF(AA606='Listas suspensas'!$A$2,'Listas suspensas'!$C$2,IF(AA606='Listas suspensas'!$A$3,'Listas suspensas'!$C$3,IF(AA606='Listas suspensas'!$A$4,'Listas suspensas'!$C$4,IF(AA606='Listas suspensas'!$A$5,'Listas suspensas'!$C$5,IF(AA606='Listas suspensas'!$A$6,'Listas suspensas'!$C$6,"")))))</f>
        <v>Indica a penetração profunda, mas desuniforme em toda a extensão do alburno.</v>
      </c>
      <c r="BD606" s="13">
        <v>0.60699999999999998</v>
      </c>
      <c r="BE606" s="18">
        <f t="shared" si="99"/>
        <v>607</v>
      </c>
      <c r="BF606" s="8">
        <v>0.84499999999999997</v>
      </c>
      <c r="BG606" s="8">
        <v>0.32700000000000001</v>
      </c>
      <c r="BH606" s="8">
        <v>0.7</v>
      </c>
      <c r="BI606" s="13">
        <f t="shared" si="100"/>
        <v>1.8719999999999999</v>
      </c>
      <c r="BJ606" s="14">
        <v>45.1</v>
      </c>
      <c r="BK606" s="14">
        <v>17.5</v>
      </c>
      <c r="BL606" s="14">
        <v>37.4</v>
      </c>
      <c r="BM606" s="16">
        <f t="shared" si="94"/>
        <v>100</v>
      </c>
      <c r="BN606" s="21">
        <f t="shared" si="95"/>
        <v>5.13</v>
      </c>
      <c r="BO606" s="21">
        <f t="shared" si="96"/>
        <v>1.98</v>
      </c>
      <c r="BP606" s="21">
        <f t="shared" si="97"/>
        <v>4.25</v>
      </c>
      <c r="BQ606" s="14">
        <f t="shared" si="98"/>
        <v>11.36</v>
      </c>
      <c r="BR606" s="22" t="str">
        <f>IF(OR(AND(X606="Mourões", BQ606&gt;=6.5),AND(X606="Postes", BQ606&gt;=9.6),AND(X606="Dormentes", BQ606&gt;=9.6),AND(X606="Estacas - Solo", BQ606&gt;=6.5),AND(X606="Estacas - Suspenso", BQ606&gt;=4),AND(X606="Cruzetas", BQ606&gt;=6.5),AND(X606="Outros - Solo", BQ606&gt;=6.5),AND(X606="Outros - Suspenso",BQ606&gt;=4),AND(X606="Deck",BQ606&gt;=4)),'Listas suspensas'!$C$21,'Listas suspensas'!$C$22)</f>
        <v>Os resultados da análise química apresentaram uma retenção do produto de acordo com o padrão mínimo exigido pela norma ABNT NBR 16143</v>
      </c>
    </row>
    <row r="607" spans="2:70" x14ac:dyDescent="0.25">
      <c r="B607" s="8" t="s">
        <v>1682</v>
      </c>
      <c r="C607" s="8" t="s">
        <v>71</v>
      </c>
      <c r="F607" s="11">
        <v>46002</v>
      </c>
      <c r="G607" s="11">
        <v>46003</v>
      </c>
      <c r="H607" s="11">
        <v>46009</v>
      </c>
      <c r="I607" s="8" t="s">
        <v>584</v>
      </c>
      <c r="J607" s="8" t="s">
        <v>1691</v>
      </c>
      <c r="K607" s="8" t="s">
        <v>144</v>
      </c>
      <c r="L607" s="8" t="s">
        <v>15</v>
      </c>
      <c r="M607" s="30" t="s">
        <v>585</v>
      </c>
      <c r="N607" s="8" t="s">
        <v>1165</v>
      </c>
      <c r="O607" s="8" t="s">
        <v>94</v>
      </c>
      <c r="P607" s="28" t="s">
        <v>77</v>
      </c>
      <c r="Q607" s="16" t="s">
        <v>1695</v>
      </c>
      <c r="X607" s="8" t="s">
        <v>79</v>
      </c>
      <c r="Y607" s="34">
        <f>IF(X607='Listas suspensas'!$A$21,'Listas suspensas'!$B$23,IF(X607='Listas suspensas'!$A$22,'Listas suspensas'!$B$23,IF(X607='Listas suspensas'!$A$23,'Listas suspensas'!$B$22,IF(X607='Listas suspensas'!$A$26,'Listas suspensas'!$B$22,IF(X607='Listas suspensas'!$A$32,'Listas suspensas'!$B$22,IF(X607='Listas suspensas'!$A$33,'Listas suspensas'!$B$21,IF(X607='Listas suspensas'!$A$24,'Listas suspensas'!$B$22,IF(X607='Listas suspensas'!$A$25,'Listas suspensas'!$B$21,IF(X607='Listas suspensas'!$A$30,'Listas suspensas'!$B$21,"")))))))))</f>
        <v>6.5</v>
      </c>
      <c r="Z607" s="8" t="s">
        <v>80</v>
      </c>
      <c r="AA607" s="8">
        <v>2</v>
      </c>
      <c r="AB607" s="8" t="str">
        <f>IF(AA607='Listas suspensas'!$A$2,'Listas suspensas'!$B$2,IF(AA607='Listas suspensas'!$A$3,'Listas suspensas'!$B$3,IF(AA607='Listas suspensas'!$A$4,'Listas suspensas'!$B$4,IF(AA607='Listas suspensas'!$A$5,'Listas suspensas'!$B$5,IF(AA607='Listas suspensas'!$A$6,'Listas suspensas'!$B$6,"")))))</f>
        <v>Profunda e irregular</v>
      </c>
      <c r="AC607" s="8" t="str">
        <f>IF(AA607='Listas suspensas'!$A$2,'Listas suspensas'!$C$2,IF(AA607='Listas suspensas'!$A$3,'Listas suspensas'!$C$3,IF(AA607='Listas suspensas'!$A$4,'Listas suspensas'!$C$4,IF(AA607='Listas suspensas'!$A$5,'Listas suspensas'!$C$5,IF(AA607='Listas suspensas'!$A$6,'Listas suspensas'!$C$6,"")))))</f>
        <v>Indica a penetração profunda, mas desuniforme em toda a extensão do alburno.</v>
      </c>
      <c r="BD607" s="13">
        <v>0.78900000000000003</v>
      </c>
      <c r="BE607" s="18">
        <f t="shared" si="99"/>
        <v>789</v>
      </c>
      <c r="BF607" s="8">
        <v>0.78300000000000003</v>
      </c>
      <c r="BG607" s="8">
        <v>0.30299999999999999</v>
      </c>
      <c r="BH607" s="8">
        <v>0.64300000000000002</v>
      </c>
      <c r="BI607" s="13">
        <f t="shared" si="100"/>
        <v>1.7290000000000001</v>
      </c>
      <c r="BJ607" s="14">
        <v>45.3</v>
      </c>
      <c r="BK607" s="14">
        <v>17.5</v>
      </c>
      <c r="BL607" s="14">
        <v>37.200000000000003</v>
      </c>
      <c r="BM607" s="16">
        <f t="shared" si="94"/>
        <v>100</v>
      </c>
      <c r="BN607" s="21">
        <f t="shared" si="95"/>
        <v>6.18</v>
      </c>
      <c r="BO607" s="21">
        <f t="shared" si="96"/>
        <v>2.39</v>
      </c>
      <c r="BP607" s="21">
        <f t="shared" si="97"/>
        <v>5.07</v>
      </c>
      <c r="BQ607" s="14">
        <f t="shared" si="98"/>
        <v>13.64</v>
      </c>
      <c r="BR607" s="22" t="str">
        <f>IF(OR(AND(X607="Mourões", BQ607&gt;=6.5),AND(X607="Postes", BQ607&gt;=9.6),AND(X607="Dormentes", BQ607&gt;=9.6),AND(X607="Estacas - Solo", BQ607&gt;=6.5),AND(X607="Estacas - Suspenso", BQ607&gt;=4),AND(X607="Cruzetas", BQ607&gt;=6.5),AND(X607="Outros - Solo", BQ607&gt;=6.5),AND(X607="Outros - Suspenso",BQ607&gt;=4),AND(X607="Deck",BQ607&gt;=4)),'Listas suspensas'!$C$21,'Listas suspensas'!$C$22)</f>
        <v>Os resultados da análise química apresentaram uma retenção do produto de acordo com o padrão mínimo exigido pela norma ABNT NBR 16143</v>
      </c>
    </row>
    <row r="608" spans="2:70" x14ac:dyDescent="0.25">
      <c r="B608" s="8" t="s">
        <v>1683</v>
      </c>
      <c r="C608" s="8" t="s">
        <v>71</v>
      </c>
      <c r="F608" s="11">
        <v>46002</v>
      </c>
      <c r="G608" s="11">
        <v>46003</v>
      </c>
      <c r="H608" s="11">
        <v>46009</v>
      </c>
      <c r="I608" s="8" t="s">
        <v>584</v>
      </c>
      <c r="J608" s="8" t="s">
        <v>1691</v>
      </c>
      <c r="K608" s="8" t="s">
        <v>144</v>
      </c>
      <c r="L608" s="8" t="s">
        <v>15</v>
      </c>
      <c r="M608" s="30" t="s">
        <v>585</v>
      </c>
      <c r="N608" s="8" t="s">
        <v>1165</v>
      </c>
      <c r="O608" s="8" t="s">
        <v>94</v>
      </c>
      <c r="P608" s="28" t="s">
        <v>77</v>
      </c>
      <c r="Q608" s="16" t="s">
        <v>1696</v>
      </c>
      <c r="X608" s="8" t="s">
        <v>79</v>
      </c>
      <c r="Y608" s="34">
        <f>IF(X608='Listas suspensas'!$A$21,'Listas suspensas'!$B$23,IF(X608='Listas suspensas'!$A$22,'Listas suspensas'!$B$23,IF(X608='Listas suspensas'!$A$23,'Listas suspensas'!$B$22,IF(X608='Listas suspensas'!$A$26,'Listas suspensas'!$B$22,IF(X608='Listas suspensas'!$A$32,'Listas suspensas'!$B$22,IF(X608='Listas suspensas'!$A$33,'Listas suspensas'!$B$21,IF(X608='Listas suspensas'!$A$24,'Listas suspensas'!$B$22,IF(X608='Listas suspensas'!$A$25,'Listas suspensas'!$B$21,IF(X608='Listas suspensas'!$A$30,'Listas suspensas'!$B$21,"")))))))))</f>
        <v>6.5</v>
      </c>
      <c r="Z608" s="8" t="s">
        <v>80</v>
      </c>
      <c r="AA608" s="8">
        <v>2</v>
      </c>
      <c r="AB608" s="8" t="str">
        <f>IF(AA608='Listas suspensas'!$A$2,'Listas suspensas'!$B$2,IF(AA608='Listas suspensas'!$A$3,'Listas suspensas'!$B$3,IF(AA608='Listas suspensas'!$A$4,'Listas suspensas'!$B$4,IF(AA608='Listas suspensas'!$A$5,'Listas suspensas'!$B$5,IF(AA608='Listas suspensas'!$A$6,'Listas suspensas'!$B$6,"")))))</f>
        <v>Profunda e irregular</v>
      </c>
      <c r="AC608" s="8" t="str">
        <f>IF(AA608='Listas suspensas'!$A$2,'Listas suspensas'!$C$2,IF(AA608='Listas suspensas'!$A$3,'Listas suspensas'!$C$3,IF(AA608='Listas suspensas'!$A$4,'Listas suspensas'!$C$4,IF(AA608='Listas suspensas'!$A$5,'Listas suspensas'!$C$5,IF(AA608='Listas suspensas'!$A$6,'Listas suspensas'!$C$6,"")))))</f>
        <v>Indica a penetração profunda, mas desuniforme em toda a extensão do alburno.</v>
      </c>
      <c r="BD608" s="13">
        <v>0.52700000000000002</v>
      </c>
      <c r="BE608" s="18">
        <f t="shared" si="99"/>
        <v>527</v>
      </c>
      <c r="BF608" s="8">
        <v>1.079</v>
      </c>
      <c r="BG608" s="8">
        <v>0.40500000000000003</v>
      </c>
      <c r="BH608" s="8">
        <v>0.78</v>
      </c>
      <c r="BI608" s="13">
        <f t="shared" si="100"/>
        <v>2.2640000000000002</v>
      </c>
      <c r="BJ608" s="14">
        <v>47.7</v>
      </c>
      <c r="BK608" s="14">
        <v>17.899999999999999</v>
      </c>
      <c r="BL608" s="14">
        <v>34.4</v>
      </c>
      <c r="BM608" s="16">
        <f t="shared" si="94"/>
        <v>100</v>
      </c>
      <c r="BN608" s="21">
        <f t="shared" si="95"/>
        <v>5.69</v>
      </c>
      <c r="BO608" s="21">
        <f t="shared" si="96"/>
        <v>2.13</v>
      </c>
      <c r="BP608" s="21">
        <f t="shared" si="97"/>
        <v>4.1100000000000003</v>
      </c>
      <c r="BQ608" s="14">
        <f t="shared" si="98"/>
        <v>11.93</v>
      </c>
      <c r="BR608" s="22" t="str">
        <f>IF(OR(AND(X608="Mourões", BQ608&gt;=6.5),AND(X608="Postes", BQ608&gt;=9.6),AND(X608="Dormentes", BQ608&gt;=9.6),AND(X608="Estacas - Solo", BQ608&gt;=6.5),AND(X608="Estacas - Suspenso", BQ608&gt;=4),AND(X608="Cruzetas", BQ608&gt;=6.5),AND(X608="Outros - Solo", BQ608&gt;=6.5),AND(X608="Outros - Suspenso",BQ608&gt;=4),AND(X608="Deck",BQ608&gt;=4)),'Listas suspensas'!$C$21,'Listas suspensas'!$C$22)</f>
        <v>Os resultados da análise química apresentaram uma retenção do produto de acordo com o padrão mínimo exigido pela norma ABNT NBR 16143</v>
      </c>
    </row>
    <row r="609" spans="2:70" x14ac:dyDescent="0.25">
      <c r="B609" s="8" t="s">
        <v>1684</v>
      </c>
      <c r="C609" s="8" t="s">
        <v>71</v>
      </c>
      <c r="F609" s="11">
        <v>46002</v>
      </c>
      <c r="G609" s="11">
        <v>46003</v>
      </c>
      <c r="H609" s="11">
        <v>46009</v>
      </c>
      <c r="I609" s="8" t="s">
        <v>584</v>
      </c>
      <c r="J609" s="8" t="s">
        <v>1691</v>
      </c>
      <c r="K609" s="8" t="s">
        <v>144</v>
      </c>
      <c r="L609" s="8" t="s">
        <v>15</v>
      </c>
      <c r="M609" s="30" t="s">
        <v>585</v>
      </c>
      <c r="N609" s="8" t="s">
        <v>1165</v>
      </c>
      <c r="O609" s="8" t="s">
        <v>94</v>
      </c>
      <c r="P609" s="28" t="s">
        <v>77</v>
      </c>
      <c r="Q609" s="16" t="s">
        <v>1697</v>
      </c>
      <c r="X609" s="8" t="s">
        <v>79</v>
      </c>
      <c r="Y609" s="34">
        <f>IF(X609='Listas suspensas'!$A$21,'Listas suspensas'!$B$23,IF(X609='Listas suspensas'!$A$22,'Listas suspensas'!$B$23,IF(X609='Listas suspensas'!$A$23,'Listas suspensas'!$B$22,IF(X609='Listas suspensas'!$A$26,'Listas suspensas'!$B$22,IF(X609='Listas suspensas'!$A$32,'Listas suspensas'!$B$22,IF(X609='Listas suspensas'!$A$33,'Listas suspensas'!$B$21,IF(X609='Listas suspensas'!$A$24,'Listas suspensas'!$B$22,IF(X609='Listas suspensas'!$A$25,'Listas suspensas'!$B$21,IF(X609='Listas suspensas'!$A$30,'Listas suspensas'!$B$21,"")))))))))</f>
        <v>6.5</v>
      </c>
      <c r="Z609" s="8" t="s">
        <v>80</v>
      </c>
      <c r="AA609" s="8">
        <v>2</v>
      </c>
      <c r="AB609" s="8" t="str">
        <f>IF(AA609='Listas suspensas'!$A$2,'Listas suspensas'!$B$2,IF(AA609='Listas suspensas'!$A$3,'Listas suspensas'!$B$3,IF(AA609='Listas suspensas'!$A$4,'Listas suspensas'!$B$4,IF(AA609='Listas suspensas'!$A$5,'Listas suspensas'!$B$5,IF(AA609='Listas suspensas'!$A$6,'Listas suspensas'!$B$6,"")))))</f>
        <v>Profunda e irregular</v>
      </c>
      <c r="AC609" s="8" t="str">
        <f>IF(AA609='Listas suspensas'!$A$2,'Listas suspensas'!$C$2,IF(AA609='Listas suspensas'!$A$3,'Listas suspensas'!$C$3,IF(AA609='Listas suspensas'!$A$4,'Listas suspensas'!$C$4,IF(AA609='Listas suspensas'!$A$5,'Listas suspensas'!$C$5,IF(AA609='Listas suspensas'!$A$6,'Listas suspensas'!$C$6,"")))))</f>
        <v>Indica a penetração profunda, mas desuniforme em toda a extensão do alburno.</v>
      </c>
      <c r="BD609" s="13">
        <v>0.54</v>
      </c>
      <c r="BE609" s="18">
        <f t="shared" si="99"/>
        <v>540</v>
      </c>
      <c r="BF609" s="8">
        <v>0.79500000000000004</v>
      </c>
      <c r="BG609" s="8">
        <v>0.26900000000000002</v>
      </c>
      <c r="BH609" s="8">
        <v>0.61599999999999999</v>
      </c>
      <c r="BI609" s="13">
        <f t="shared" si="100"/>
        <v>1.6800000000000002</v>
      </c>
      <c r="BJ609" s="14">
        <v>47.3</v>
      </c>
      <c r="BK609" s="14">
        <v>16</v>
      </c>
      <c r="BL609" s="14">
        <v>36.700000000000003</v>
      </c>
      <c r="BM609" s="16">
        <f t="shared" si="94"/>
        <v>100</v>
      </c>
      <c r="BN609" s="21">
        <f t="shared" si="95"/>
        <v>4.29</v>
      </c>
      <c r="BO609" s="21">
        <f t="shared" si="96"/>
        <v>1.45</v>
      </c>
      <c r="BP609" s="21">
        <f t="shared" si="97"/>
        <v>3.33</v>
      </c>
      <c r="BQ609" s="14">
        <f t="shared" si="98"/>
        <v>9.07</v>
      </c>
      <c r="BR609" s="22" t="str">
        <f>IF(OR(AND(X609="Mourões", BQ609&gt;=6.5),AND(X609="Postes", BQ609&gt;=9.6),AND(X609="Dormentes", BQ609&gt;=9.6),AND(X609="Estacas - Solo", BQ609&gt;=6.5),AND(X609="Estacas - Suspenso", BQ609&gt;=4),AND(X609="Cruzetas", BQ609&gt;=6.5),AND(X609="Outros - Solo", BQ609&gt;=6.5),AND(X609="Outros - Suspenso",BQ609&gt;=4),AND(X609="Deck",BQ609&gt;=4)),'Listas suspensas'!$C$21,'Listas suspensas'!$C$22)</f>
        <v>Os resultados da análise química apresentaram uma retenção do produto de acordo com o padrão mínimo exigido pela norma ABNT NBR 16143</v>
      </c>
    </row>
    <row r="610" spans="2:70" x14ac:dyDescent="0.25">
      <c r="B610" s="8" t="s">
        <v>1685</v>
      </c>
      <c r="C610" s="8" t="s">
        <v>71</v>
      </c>
      <c r="F610" s="11">
        <v>46002</v>
      </c>
      <c r="G610" s="11">
        <v>46003</v>
      </c>
      <c r="H610" s="11">
        <v>46009</v>
      </c>
      <c r="I610" s="8" t="s">
        <v>584</v>
      </c>
      <c r="J610" s="8" t="s">
        <v>1691</v>
      </c>
      <c r="K610" s="8" t="s">
        <v>144</v>
      </c>
      <c r="L610" s="8" t="s">
        <v>15</v>
      </c>
      <c r="M610" s="30" t="s">
        <v>585</v>
      </c>
      <c r="N610" s="8" t="s">
        <v>1165</v>
      </c>
      <c r="O610" s="8" t="s">
        <v>94</v>
      </c>
      <c r="P610" s="28" t="s">
        <v>77</v>
      </c>
      <c r="Q610" s="16" t="s">
        <v>1698</v>
      </c>
      <c r="X610" s="8" t="s">
        <v>79</v>
      </c>
      <c r="Y610" s="34">
        <f>IF(X610='Listas suspensas'!$A$21,'Listas suspensas'!$B$23,IF(X610='Listas suspensas'!$A$22,'Listas suspensas'!$B$23,IF(X610='Listas suspensas'!$A$23,'Listas suspensas'!$B$22,IF(X610='Listas suspensas'!$A$26,'Listas suspensas'!$B$22,IF(X610='Listas suspensas'!$A$32,'Listas suspensas'!$B$22,IF(X610='Listas suspensas'!$A$33,'Listas suspensas'!$B$21,IF(X610='Listas suspensas'!$A$24,'Listas suspensas'!$B$22,IF(X610='Listas suspensas'!$A$25,'Listas suspensas'!$B$21,IF(X610='Listas suspensas'!$A$30,'Listas suspensas'!$B$21,"")))))))))</f>
        <v>6.5</v>
      </c>
      <c r="Z610" s="8" t="s">
        <v>80</v>
      </c>
      <c r="AA610" s="8">
        <v>2</v>
      </c>
      <c r="AB610" s="8" t="str">
        <f>IF(AA610='Listas suspensas'!$A$2,'Listas suspensas'!$B$2,IF(AA610='Listas suspensas'!$A$3,'Listas suspensas'!$B$3,IF(AA610='Listas suspensas'!$A$4,'Listas suspensas'!$B$4,IF(AA610='Listas suspensas'!$A$5,'Listas suspensas'!$B$5,IF(AA610='Listas suspensas'!$A$6,'Listas suspensas'!$B$6,"")))))</f>
        <v>Profunda e irregular</v>
      </c>
      <c r="AC610" s="8" t="str">
        <f>IF(AA610='Listas suspensas'!$A$2,'Listas suspensas'!$C$2,IF(AA610='Listas suspensas'!$A$3,'Listas suspensas'!$C$3,IF(AA610='Listas suspensas'!$A$4,'Listas suspensas'!$C$4,IF(AA610='Listas suspensas'!$A$5,'Listas suspensas'!$C$5,IF(AA610='Listas suspensas'!$A$6,'Listas suspensas'!$C$6,"")))))</f>
        <v>Indica a penetração profunda, mas desuniforme em toda a extensão do alburno.</v>
      </c>
      <c r="BD610" s="13">
        <v>0.56200000000000006</v>
      </c>
      <c r="BE610" s="18">
        <f t="shared" si="99"/>
        <v>562</v>
      </c>
      <c r="BF610" s="8">
        <v>1.252</v>
      </c>
      <c r="BG610" s="8">
        <v>0.26100000000000001</v>
      </c>
      <c r="BH610" s="8">
        <v>0.78</v>
      </c>
      <c r="BI610" s="13">
        <f t="shared" si="100"/>
        <v>2.2930000000000001</v>
      </c>
      <c r="BJ610" s="14">
        <v>54.6</v>
      </c>
      <c r="BK610" s="14">
        <v>11.4</v>
      </c>
      <c r="BL610" s="14">
        <v>34</v>
      </c>
      <c r="BM610" s="16">
        <f t="shared" si="94"/>
        <v>100</v>
      </c>
      <c r="BN610" s="21">
        <f t="shared" si="95"/>
        <v>7.04</v>
      </c>
      <c r="BO610" s="21">
        <f t="shared" si="96"/>
        <v>1.47</v>
      </c>
      <c r="BP610" s="21">
        <f t="shared" si="97"/>
        <v>4.38</v>
      </c>
      <c r="BQ610" s="14">
        <f t="shared" si="98"/>
        <v>12.89</v>
      </c>
      <c r="BR610" s="22" t="str">
        <f>IF(OR(AND(X610="Mourões", BQ610&gt;=6.5),AND(X610="Postes", BQ610&gt;=9.6),AND(X610="Dormentes", BQ610&gt;=9.6),AND(X610="Estacas - Solo", BQ610&gt;=6.5),AND(X610="Estacas - Suspenso", BQ610&gt;=4),AND(X610="Cruzetas", BQ610&gt;=6.5),AND(X610="Outros - Solo", BQ610&gt;=6.5),AND(X610="Outros - Suspenso",BQ610&gt;=4),AND(X610="Deck",BQ610&gt;=4)),'Listas suspensas'!$C$21,'Listas suspensas'!$C$22)</f>
        <v>Os resultados da análise química apresentaram uma retenção do produto de acordo com o padrão mínimo exigido pela norma ABNT NBR 16143</v>
      </c>
    </row>
    <row r="611" spans="2:70" x14ac:dyDescent="0.25">
      <c r="B611" s="8" t="s">
        <v>1686</v>
      </c>
      <c r="C611" s="8" t="s">
        <v>71</v>
      </c>
      <c r="F611" s="11">
        <v>46002</v>
      </c>
      <c r="G611" s="11">
        <v>46003</v>
      </c>
      <c r="H611" s="11">
        <v>46009</v>
      </c>
      <c r="I611" s="8" t="s">
        <v>584</v>
      </c>
      <c r="J611" s="8" t="s">
        <v>1691</v>
      </c>
      <c r="K611" s="8" t="s">
        <v>144</v>
      </c>
      <c r="L611" s="8" t="s">
        <v>15</v>
      </c>
      <c r="M611" s="30" t="s">
        <v>585</v>
      </c>
      <c r="N611" s="8" t="s">
        <v>1165</v>
      </c>
      <c r="O611" s="8" t="s">
        <v>94</v>
      </c>
      <c r="P611" s="28" t="s">
        <v>77</v>
      </c>
      <c r="Q611" s="16" t="s">
        <v>1699</v>
      </c>
      <c r="X611" s="8" t="s">
        <v>79</v>
      </c>
      <c r="Y611" s="34">
        <f>IF(X611='Listas suspensas'!$A$21,'Listas suspensas'!$B$23,IF(X611='Listas suspensas'!$A$22,'Listas suspensas'!$B$23,IF(X611='Listas suspensas'!$A$23,'Listas suspensas'!$B$22,IF(X611='Listas suspensas'!$A$26,'Listas suspensas'!$B$22,IF(X611='Listas suspensas'!$A$32,'Listas suspensas'!$B$22,IF(X611='Listas suspensas'!$A$33,'Listas suspensas'!$B$21,IF(X611='Listas suspensas'!$A$24,'Listas suspensas'!$B$22,IF(X611='Listas suspensas'!$A$25,'Listas suspensas'!$B$21,IF(X611='Listas suspensas'!$A$30,'Listas suspensas'!$B$21,"")))))))))</f>
        <v>6.5</v>
      </c>
      <c r="Z611" s="8" t="s">
        <v>80</v>
      </c>
      <c r="AA611" s="8">
        <v>2</v>
      </c>
      <c r="AB611" s="8" t="str">
        <f>IF(AA611='Listas suspensas'!$A$2,'Listas suspensas'!$B$2,IF(AA611='Listas suspensas'!$A$3,'Listas suspensas'!$B$3,IF(AA611='Listas suspensas'!$A$4,'Listas suspensas'!$B$4,IF(AA611='Listas suspensas'!$A$5,'Listas suspensas'!$B$5,IF(AA611='Listas suspensas'!$A$6,'Listas suspensas'!$B$6,"")))))</f>
        <v>Profunda e irregular</v>
      </c>
      <c r="AC611" s="8" t="str">
        <f>IF(AA611='Listas suspensas'!$A$2,'Listas suspensas'!$C$2,IF(AA611='Listas suspensas'!$A$3,'Listas suspensas'!$C$3,IF(AA611='Listas suspensas'!$A$4,'Listas suspensas'!$C$4,IF(AA611='Listas suspensas'!$A$5,'Listas suspensas'!$C$5,IF(AA611='Listas suspensas'!$A$6,'Listas suspensas'!$C$6,"")))))</f>
        <v>Indica a penetração profunda, mas desuniforme em toda a extensão do alburno.</v>
      </c>
      <c r="BD611" s="13">
        <v>0.53100000000000003</v>
      </c>
      <c r="BE611" s="18">
        <f t="shared" si="99"/>
        <v>531</v>
      </c>
      <c r="BF611" s="8">
        <v>0.83199999999999996</v>
      </c>
      <c r="BG611" s="8">
        <v>0.25</v>
      </c>
      <c r="BH611" s="8">
        <v>0.63400000000000001</v>
      </c>
      <c r="BI611" s="13">
        <f t="shared" si="100"/>
        <v>1.7159999999999997</v>
      </c>
      <c r="BJ611" s="14">
        <v>48.5</v>
      </c>
      <c r="BK611" s="14">
        <v>14.6</v>
      </c>
      <c r="BL611" s="14">
        <v>36.9</v>
      </c>
      <c r="BM611" s="16">
        <f t="shared" si="94"/>
        <v>100</v>
      </c>
      <c r="BN611" s="21">
        <f t="shared" si="95"/>
        <v>4.42</v>
      </c>
      <c r="BO611" s="21">
        <f t="shared" si="96"/>
        <v>1.33</v>
      </c>
      <c r="BP611" s="21">
        <f t="shared" si="97"/>
        <v>3.37</v>
      </c>
      <c r="BQ611" s="14">
        <f t="shared" si="98"/>
        <v>9.1199999999999992</v>
      </c>
      <c r="BR611" s="22" t="str">
        <f>IF(OR(AND(X611="Mourões", BQ611&gt;=6.5),AND(X611="Postes", BQ611&gt;=9.6),AND(X611="Dormentes", BQ611&gt;=9.6),AND(X611="Estacas - Solo", BQ611&gt;=6.5),AND(X611="Estacas - Suspenso", BQ611&gt;=4),AND(X611="Cruzetas", BQ611&gt;=6.5),AND(X611="Outros - Solo", BQ611&gt;=6.5),AND(X611="Outros - Suspenso",BQ611&gt;=4),AND(X611="Deck",BQ611&gt;=4)),'Listas suspensas'!$C$21,'Listas suspensas'!$C$22)</f>
        <v>Os resultados da análise química apresentaram uma retenção do produto de acordo com o padrão mínimo exigido pela norma ABNT NBR 16143</v>
      </c>
    </row>
    <row r="612" spans="2:70" x14ac:dyDescent="0.25">
      <c r="B612" s="8" t="s">
        <v>1687</v>
      </c>
      <c r="C612" s="8" t="s">
        <v>71</v>
      </c>
      <c r="F612" s="11">
        <v>46007</v>
      </c>
      <c r="G612" s="11">
        <v>46008</v>
      </c>
      <c r="H612" s="11">
        <v>46010</v>
      </c>
      <c r="I612" s="8" t="s">
        <v>1059</v>
      </c>
      <c r="J612" s="8" t="s">
        <v>1060</v>
      </c>
      <c r="K612" s="8" t="s">
        <v>619</v>
      </c>
      <c r="L612" s="8" t="s">
        <v>15</v>
      </c>
      <c r="M612" s="30" t="s">
        <v>1061</v>
      </c>
      <c r="N612" s="8" t="s">
        <v>1165</v>
      </c>
      <c r="O612" s="8" t="s">
        <v>94</v>
      </c>
      <c r="P612" s="28" t="s">
        <v>77</v>
      </c>
      <c r="Q612" s="16" t="s">
        <v>1701</v>
      </c>
      <c r="X612" s="8" t="s">
        <v>79</v>
      </c>
      <c r="Y612" s="34">
        <f>IF(X612='Listas suspensas'!$A$21,'Listas suspensas'!$B$23,IF(X612='Listas suspensas'!$A$22,'Listas suspensas'!$B$23,IF(X612='Listas suspensas'!$A$23,'Listas suspensas'!$B$22,IF(X612='Listas suspensas'!$A$26,'Listas suspensas'!$B$22,IF(X612='Listas suspensas'!$A$32,'Listas suspensas'!$B$22,IF(X612='Listas suspensas'!$A$33,'Listas suspensas'!$B$21,IF(X612='Listas suspensas'!$A$24,'Listas suspensas'!$B$22,IF(X612='Listas suspensas'!$A$25,'Listas suspensas'!$B$21,IF(X612='Listas suspensas'!$A$30,'Listas suspensas'!$B$21,"")))))))))</f>
        <v>6.5</v>
      </c>
      <c r="Z612" s="8" t="s">
        <v>80</v>
      </c>
      <c r="AA612" s="8">
        <v>2</v>
      </c>
      <c r="AB612" s="8" t="str">
        <f>IF(AA612='Listas suspensas'!$A$2,'Listas suspensas'!$B$2,IF(AA612='Listas suspensas'!$A$3,'Listas suspensas'!$B$3,IF(AA612='Listas suspensas'!$A$4,'Listas suspensas'!$B$4,IF(AA612='Listas suspensas'!$A$5,'Listas suspensas'!$B$5,IF(AA612='Listas suspensas'!$A$6,'Listas suspensas'!$B$6,"")))))</f>
        <v>Profunda e irregular</v>
      </c>
      <c r="AC612" s="8" t="str">
        <f>IF(AA612='Listas suspensas'!$A$2,'Listas suspensas'!$C$2,IF(AA612='Listas suspensas'!$A$3,'Listas suspensas'!$C$3,IF(AA612='Listas suspensas'!$A$4,'Listas suspensas'!$C$4,IF(AA612='Listas suspensas'!$A$5,'Listas suspensas'!$C$5,IF(AA612='Listas suspensas'!$A$6,'Listas suspensas'!$C$6,"")))))</f>
        <v>Indica a penetração profunda, mas desuniforme em toda a extensão do alburno.</v>
      </c>
      <c r="BD612" s="13">
        <v>0.70199999999999996</v>
      </c>
      <c r="BE612" s="18">
        <f t="shared" si="99"/>
        <v>702</v>
      </c>
      <c r="BF612" s="8">
        <v>0.27500000000000002</v>
      </c>
      <c r="BG612" s="8">
        <v>0.114</v>
      </c>
      <c r="BH612" s="8">
        <v>0.19700000000000001</v>
      </c>
      <c r="BI612" s="13">
        <f t="shared" si="100"/>
        <v>0.58600000000000008</v>
      </c>
      <c r="BJ612" s="14">
        <v>46.9</v>
      </c>
      <c r="BK612" s="14">
        <v>19.5</v>
      </c>
      <c r="BL612" s="14">
        <v>33.6</v>
      </c>
      <c r="BM612" s="16">
        <f t="shared" si="94"/>
        <v>100</v>
      </c>
      <c r="BN612" s="21">
        <f t="shared" si="95"/>
        <v>1.93</v>
      </c>
      <c r="BO612" s="21">
        <f t="shared" si="96"/>
        <v>0.8</v>
      </c>
      <c r="BP612" s="21">
        <f t="shared" si="97"/>
        <v>1.38</v>
      </c>
      <c r="BQ612" s="14">
        <f t="shared" si="98"/>
        <v>4.1100000000000003</v>
      </c>
      <c r="BR612" s="22" t="str">
        <f>IF(OR(AND(X612="Mourões", BQ612&gt;=6.5),AND(X612="Postes", BQ612&gt;=9.6),AND(X612="Dormentes", BQ612&gt;=9.6),AND(X612="Estacas - Solo", BQ612&gt;=6.5),AND(X612="Estacas - Suspenso", BQ612&gt;=4),AND(X612="Cruzetas", BQ612&gt;=6.5),AND(X612="Outros - Solo", BQ612&gt;=6.5),AND(X612="Outros - Suspenso",BQ612&gt;=4),AND(X612="Deck",BQ612&gt;=4)),'Listas suspensas'!$C$21,'Listas suspensas'!$C$22)</f>
        <v>Os resultados da análise química apresentaram uma retenção do produto inferior ao padrão mínimo exigido pela norma ABNT NBR 16143</v>
      </c>
    </row>
    <row r="613" spans="2:70" x14ac:dyDescent="0.25">
      <c r="B613" s="8" t="s">
        <v>1688</v>
      </c>
      <c r="C613" s="8" t="s">
        <v>71</v>
      </c>
      <c r="F613" s="11">
        <v>46007</v>
      </c>
      <c r="G613" s="11">
        <v>46008</v>
      </c>
      <c r="H613" s="11">
        <v>46010</v>
      </c>
      <c r="I613" s="8" t="s">
        <v>1059</v>
      </c>
      <c r="J613" s="8" t="s">
        <v>1060</v>
      </c>
      <c r="K613" s="8" t="s">
        <v>619</v>
      </c>
      <c r="L613" s="8" t="s">
        <v>15</v>
      </c>
      <c r="M613" s="30" t="s">
        <v>1061</v>
      </c>
      <c r="N613" s="8" t="s">
        <v>1165</v>
      </c>
      <c r="O613" s="8" t="s">
        <v>94</v>
      </c>
      <c r="P613" s="28" t="s">
        <v>77</v>
      </c>
      <c r="Q613" s="16" t="s">
        <v>1702</v>
      </c>
      <c r="X613" s="8" t="s">
        <v>79</v>
      </c>
      <c r="Y613" s="34">
        <f>IF(X613='Listas suspensas'!$A$21,'Listas suspensas'!$B$23,IF(X613='Listas suspensas'!$A$22,'Listas suspensas'!$B$23,IF(X613='Listas suspensas'!$A$23,'Listas suspensas'!$B$22,IF(X613='Listas suspensas'!$A$26,'Listas suspensas'!$B$22,IF(X613='Listas suspensas'!$A$32,'Listas suspensas'!$B$22,IF(X613='Listas suspensas'!$A$33,'Listas suspensas'!$B$21,IF(X613='Listas suspensas'!$A$24,'Listas suspensas'!$B$22,IF(X613='Listas suspensas'!$A$25,'Listas suspensas'!$B$21,IF(X613='Listas suspensas'!$A$30,'Listas suspensas'!$B$21,"")))))))))</f>
        <v>6.5</v>
      </c>
      <c r="Z613" s="8" t="s">
        <v>80</v>
      </c>
      <c r="AA613" s="8">
        <v>2</v>
      </c>
      <c r="AB613" s="8" t="str">
        <f>IF(AA613='Listas suspensas'!$A$2,'Listas suspensas'!$B$2,IF(AA613='Listas suspensas'!$A$3,'Listas suspensas'!$B$3,IF(AA613='Listas suspensas'!$A$4,'Listas suspensas'!$B$4,IF(AA613='Listas suspensas'!$A$5,'Listas suspensas'!$B$5,IF(AA613='Listas suspensas'!$A$6,'Listas suspensas'!$B$6,"")))))</f>
        <v>Profunda e irregular</v>
      </c>
      <c r="AC613" s="8" t="str">
        <f>IF(AA613='Listas suspensas'!$A$2,'Listas suspensas'!$C$2,IF(AA613='Listas suspensas'!$A$3,'Listas suspensas'!$C$3,IF(AA613='Listas suspensas'!$A$4,'Listas suspensas'!$C$4,IF(AA613='Listas suspensas'!$A$5,'Listas suspensas'!$C$5,IF(AA613='Listas suspensas'!$A$6,'Listas suspensas'!$C$6,"")))))</f>
        <v>Indica a penetração profunda, mas desuniforme em toda a extensão do alburno.</v>
      </c>
      <c r="BD613" s="13">
        <v>0.83399999999999996</v>
      </c>
      <c r="BE613" s="18">
        <f t="shared" si="99"/>
        <v>834</v>
      </c>
      <c r="BF613" s="8">
        <v>0.26700000000000002</v>
      </c>
      <c r="BG613" s="8">
        <v>0.126</v>
      </c>
      <c r="BH613" s="8">
        <v>0.219</v>
      </c>
      <c r="BI613" s="13">
        <f t="shared" si="100"/>
        <v>0.61199999999999999</v>
      </c>
      <c r="BJ613" s="14">
        <v>43.6</v>
      </c>
      <c r="BK613" s="14">
        <v>20.6</v>
      </c>
      <c r="BL613" s="14">
        <v>35.799999999999997</v>
      </c>
      <c r="BM613" s="16">
        <f t="shared" si="94"/>
        <v>100</v>
      </c>
      <c r="BN613" s="21">
        <f t="shared" si="95"/>
        <v>2.23</v>
      </c>
      <c r="BO613" s="21">
        <f t="shared" si="96"/>
        <v>1.05</v>
      </c>
      <c r="BP613" s="21">
        <f t="shared" si="97"/>
        <v>1.83</v>
      </c>
      <c r="BQ613" s="14">
        <f t="shared" si="98"/>
        <v>5.1100000000000003</v>
      </c>
      <c r="BR613" s="22" t="str">
        <f>IF(OR(AND(X613="Mourões", BQ613&gt;=6.5),AND(X613="Postes", BQ613&gt;=9.6),AND(X613="Dormentes", BQ613&gt;=9.6),AND(X613="Estacas - Solo", BQ613&gt;=6.5),AND(X613="Estacas - Suspenso", BQ613&gt;=4),AND(X613="Cruzetas", BQ613&gt;=6.5),AND(X613="Outros - Solo", BQ613&gt;=6.5),AND(X613="Outros - Suspenso",BQ613&gt;=4),AND(X613="Deck",BQ613&gt;=4)),'Listas suspensas'!$C$21,'Listas suspensas'!$C$22)</f>
        <v>Os resultados da análise química apresentaram uma retenção do produto inferior ao padrão mínimo exigido pela norma ABNT NBR 16143</v>
      </c>
    </row>
    <row r="614" spans="2:70" x14ac:dyDescent="0.25">
      <c r="B614" s="8" t="s">
        <v>1689</v>
      </c>
      <c r="C614" s="8" t="s">
        <v>71</v>
      </c>
      <c r="F614" s="11">
        <v>46007</v>
      </c>
      <c r="G614" s="11">
        <v>46008</v>
      </c>
      <c r="H614" s="11">
        <v>46010</v>
      </c>
      <c r="I614" s="8" t="s">
        <v>130</v>
      </c>
      <c r="J614" s="8" t="s">
        <v>1705</v>
      </c>
      <c r="K614" s="8" t="s">
        <v>74</v>
      </c>
      <c r="L614" s="8" t="s">
        <v>15</v>
      </c>
      <c r="N614" s="8" t="s">
        <v>1165</v>
      </c>
      <c r="O614" s="8" t="s">
        <v>76</v>
      </c>
      <c r="P614" s="28" t="s">
        <v>215</v>
      </c>
      <c r="Q614" s="16" t="s">
        <v>1706</v>
      </c>
      <c r="X614" s="8" t="s">
        <v>98</v>
      </c>
      <c r="Y614" s="34">
        <f>IF(X614='Listas suspensas'!$A$21,'Listas suspensas'!$B$23,IF(X614='Listas suspensas'!$A$22,'Listas suspensas'!$B$23,IF(X614='Listas suspensas'!$A$23,'Listas suspensas'!$B$22,IF(X614='Listas suspensas'!$A$26,'Listas suspensas'!$B$22,IF(X614='Listas suspensas'!$A$32,'Listas suspensas'!$B$22,IF(X614='Listas suspensas'!$A$33,'Listas suspensas'!$B$21,IF(X614='Listas suspensas'!$A$24,'Listas suspensas'!$B$22,IF(X614='Listas suspensas'!$A$25,'Listas suspensas'!$B$21,IF(X614='Listas suspensas'!$A$30,'Listas suspensas'!$B$21,"")))))))))</f>
        <v>9.6</v>
      </c>
      <c r="Z614" s="8" t="s">
        <v>80</v>
      </c>
      <c r="AA614" s="8">
        <v>4</v>
      </c>
      <c r="AB614" s="8" t="str">
        <f>IF(AA614='Listas suspensas'!$A$2,'Listas suspensas'!$B$2,IF(AA614='Listas suspensas'!$A$3,'Listas suspensas'!$B$3,IF(AA614='Listas suspensas'!$A$4,'Listas suspensas'!$B$4,IF(AA614='Listas suspensas'!$A$5,'Listas suspensas'!$B$5,IF(AA614='Listas suspensas'!$A$6,'Listas suspensas'!$B$6,"")))))</f>
        <v>Parcial e irregular</v>
      </c>
      <c r="AC614" s="8" t="str">
        <f>IF(AA614='Listas suspensas'!$A$2,'Listas suspensas'!$C$2,IF(AA614='Listas suspensas'!$A$3,'Listas suspensas'!$C$3,IF(AA614='Listas suspensas'!$A$4,'Listas suspensas'!$C$4,IF(AA614='Listas suspensas'!$A$5,'Listas suspensas'!$C$5,IF(AA614='Listas suspensas'!$A$6,'Listas suspensas'!$C$6,"")))))</f>
        <v>Indica a penetração desuniforme e não total pela extensão do alburno.</v>
      </c>
      <c r="BD614" s="13">
        <v>0.79200000000000004</v>
      </c>
      <c r="BE614" s="18">
        <f t="shared" si="99"/>
        <v>792</v>
      </c>
      <c r="BF614" s="8">
        <v>0.20599999999999999</v>
      </c>
      <c r="BG614" s="8">
        <v>9.4E-2</v>
      </c>
      <c r="BH614" s="8">
        <v>0.193</v>
      </c>
      <c r="BI614" s="13">
        <f t="shared" si="100"/>
        <v>0.49299999999999999</v>
      </c>
      <c r="BJ614" s="14">
        <v>41.8</v>
      </c>
      <c r="BK614" s="14">
        <v>19.100000000000001</v>
      </c>
      <c r="BL614" s="14">
        <v>39.1</v>
      </c>
      <c r="BM614" s="16">
        <f t="shared" si="94"/>
        <v>100</v>
      </c>
      <c r="BN614" s="21">
        <f t="shared" si="95"/>
        <v>1.63</v>
      </c>
      <c r="BO614" s="21">
        <f t="shared" si="96"/>
        <v>0.74</v>
      </c>
      <c r="BP614" s="21">
        <f t="shared" si="97"/>
        <v>1.53</v>
      </c>
      <c r="BQ614" s="14">
        <f t="shared" si="98"/>
        <v>3.9</v>
      </c>
      <c r="BR614" s="22" t="str">
        <f>IF(OR(AND(X614="Mourões", BQ614&gt;=6.5),AND(X614="Postes", BQ614&gt;=9.6),AND(X614="Dormentes", BQ614&gt;=9.6),AND(X614="Estacas - Solo", BQ614&gt;=6.5),AND(X614="Estacas - Suspenso", BQ614&gt;=4),AND(X614="Cruzetas", BQ614&gt;=6.5),AND(X614="Outros - Solo", BQ614&gt;=6.5),AND(X614="Outros - Suspenso",BQ614&gt;=4),AND(X614="Deck",BQ614&gt;=4)),'Listas suspensas'!$C$21,'Listas suspensas'!$C$22)</f>
        <v>Os resultados da análise química apresentaram uma retenção do produto inferior ao padrão mínimo exigido pela norma ABNT NBR 16143</v>
      </c>
    </row>
    <row r="615" spans="2:70" x14ac:dyDescent="0.25">
      <c r="B615" s="8" t="s">
        <v>1703</v>
      </c>
      <c r="C615" s="8" t="s">
        <v>71</v>
      </c>
      <c r="F615" s="11">
        <v>46007</v>
      </c>
      <c r="G615" s="11">
        <v>46008</v>
      </c>
      <c r="H615" s="11">
        <v>46010</v>
      </c>
      <c r="I615" s="8" t="s">
        <v>130</v>
      </c>
      <c r="J615" s="8" t="s">
        <v>1705</v>
      </c>
      <c r="K615" s="8" t="s">
        <v>74</v>
      </c>
      <c r="L615" s="8" t="s">
        <v>15</v>
      </c>
      <c r="N615" s="8" t="s">
        <v>1165</v>
      </c>
      <c r="O615" s="8" t="s">
        <v>76</v>
      </c>
      <c r="P615" s="28" t="s">
        <v>215</v>
      </c>
      <c r="Q615" s="16" t="s">
        <v>1708</v>
      </c>
      <c r="X615" s="8" t="s">
        <v>98</v>
      </c>
      <c r="Y615" s="34">
        <f>IF(X615='Listas suspensas'!$A$21,'Listas suspensas'!$B$23,IF(X615='Listas suspensas'!$A$22,'Listas suspensas'!$B$23,IF(X615='Listas suspensas'!$A$23,'Listas suspensas'!$B$22,IF(X615='Listas suspensas'!$A$26,'Listas suspensas'!$B$22,IF(X615='Listas suspensas'!$A$32,'Listas suspensas'!$B$22,IF(X615='Listas suspensas'!$A$33,'Listas suspensas'!$B$21,IF(X615='Listas suspensas'!$A$24,'Listas suspensas'!$B$22,IF(X615='Listas suspensas'!$A$25,'Listas suspensas'!$B$21,IF(X615='Listas suspensas'!$A$30,'Listas suspensas'!$B$21,"")))))))))</f>
        <v>9.6</v>
      </c>
      <c r="Z615" s="8" t="s">
        <v>80</v>
      </c>
      <c r="AA615" s="8">
        <v>4</v>
      </c>
      <c r="AB615" s="8" t="str">
        <f>IF(AA615='Listas suspensas'!$A$2,'Listas suspensas'!$B$2,IF(AA615='Listas suspensas'!$A$3,'Listas suspensas'!$B$3,IF(AA615='Listas suspensas'!$A$4,'Listas suspensas'!$B$4,IF(AA615='Listas suspensas'!$A$5,'Listas suspensas'!$B$5,IF(AA615='Listas suspensas'!$A$6,'Listas suspensas'!$B$6,"")))))</f>
        <v>Parcial e irregular</v>
      </c>
      <c r="AC615" s="8" t="str">
        <f>IF(AA615='Listas suspensas'!$A$2,'Listas suspensas'!$C$2,IF(AA615='Listas suspensas'!$A$3,'Listas suspensas'!$C$3,IF(AA615='Listas suspensas'!$A$4,'Listas suspensas'!$C$4,IF(AA615='Listas suspensas'!$A$5,'Listas suspensas'!$C$5,IF(AA615='Listas suspensas'!$A$6,'Listas suspensas'!$C$6,"")))))</f>
        <v>Indica a penetração desuniforme e não total pela extensão do alburno.</v>
      </c>
      <c r="BD615" s="13">
        <v>0.68500000000000005</v>
      </c>
      <c r="BE615" s="18">
        <f t="shared" si="99"/>
        <v>685</v>
      </c>
      <c r="BF615" s="8">
        <v>0.25700000000000001</v>
      </c>
      <c r="BG615" s="8">
        <v>0.106</v>
      </c>
      <c r="BH615" s="8">
        <v>0.20399999999999999</v>
      </c>
      <c r="BI615" s="13">
        <f t="shared" si="100"/>
        <v>0.56699999999999995</v>
      </c>
      <c r="BJ615" s="14">
        <v>45.3</v>
      </c>
      <c r="BK615" s="14">
        <v>18.7</v>
      </c>
      <c r="BL615" s="14">
        <v>36</v>
      </c>
      <c r="BM615" s="16">
        <f t="shared" ref="BM615:BM679" si="101">ROUND(SUM(BJ615:BL615),2)</f>
        <v>100</v>
      </c>
      <c r="BN615" s="21">
        <f t="shared" ref="BN615:BN679" si="102">ROUND((BF615/100)*BE615,2)</f>
        <v>1.76</v>
      </c>
      <c r="BO615" s="21">
        <f t="shared" ref="BO615:BO679" si="103">ROUND((BG615/100)*BE615,2)</f>
        <v>0.73</v>
      </c>
      <c r="BP615" s="21">
        <f t="shared" ref="BP615:BP679" si="104">ROUND((BH615/100)*BE615,2)</f>
        <v>1.4</v>
      </c>
      <c r="BQ615" s="14">
        <f t="shared" ref="BQ615:BQ679" si="105">ROUND(SUM(BN615:BP615),2)</f>
        <v>3.89</v>
      </c>
      <c r="BR615" s="22" t="str">
        <f>IF(OR(AND(X615="Mourões", BQ615&gt;=6.5),AND(X615="Postes", BQ615&gt;=9.6),AND(X615="Dormentes", BQ615&gt;=9.6),AND(X615="Estacas - Solo", BQ615&gt;=6.5),AND(X615="Estacas - Suspenso", BQ615&gt;=4),AND(X615="Cruzetas", BQ615&gt;=6.5),AND(X615="Outros - Solo", BQ615&gt;=6.5),AND(X615="Outros - Suspenso",BQ615&gt;=4),AND(X615="Deck",BQ615&gt;=4)),'Listas suspensas'!$C$21,'Listas suspensas'!$C$22)</f>
        <v>Os resultados da análise química apresentaram uma retenção do produto inferior ao padrão mínimo exigido pela norma ABNT NBR 16143</v>
      </c>
    </row>
    <row r="616" spans="2:70" x14ac:dyDescent="0.25">
      <c r="B616" s="8" t="s">
        <v>1704</v>
      </c>
      <c r="C616" s="8" t="s">
        <v>71</v>
      </c>
      <c r="F616" s="11">
        <v>46007</v>
      </c>
      <c r="G616" s="11">
        <v>46008</v>
      </c>
      <c r="H616" s="11">
        <v>46010</v>
      </c>
      <c r="I616" s="8" t="s">
        <v>130</v>
      </c>
      <c r="J616" s="8" t="s">
        <v>1705</v>
      </c>
      <c r="K616" s="8" t="s">
        <v>74</v>
      </c>
      <c r="L616" s="8" t="s">
        <v>15</v>
      </c>
      <c r="N616" s="8" t="s">
        <v>1165</v>
      </c>
      <c r="O616" s="8" t="s">
        <v>76</v>
      </c>
      <c r="P616" s="28" t="s">
        <v>215</v>
      </c>
      <c r="Q616" s="16" t="s">
        <v>1707</v>
      </c>
      <c r="X616" s="8" t="s">
        <v>98</v>
      </c>
      <c r="Y616" s="34">
        <f>IF(X616='Listas suspensas'!$A$21,'Listas suspensas'!$B$23,IF(X616='Listas suspensas'!$A$22,'Listas suspensas'!$B$23,IF(X616='Listas suspensas'!$A$23,'Listas suspensas'!$B$22,IF(X616='Listas suspensas'!$A$26,'Listas suspensas'!$B$22,IF(X616='Listas suspensas'!$A$32,'Listas suspensas'!$B$22,IF(X616='Listas suspensas'!$A$33,'Listas suspensas'!$B$21,IF(X616='Listas suspensas'!$A$24,'Listas suspensas'!$B$22,IF(X616='Listas suspensas'!$A$25,'Listas suspensas'!$B$21,IF(X616='Listas suspensas'!$A$30,'Listas suspensas'!$B$21,"")))))))))</f>
        <v>9.6</v>
      </c>
      <c r="Z616" s="8" t="s">
        <v>80</v>
      </c>
      <c r="AA616" s="8">
        <v>4</v>
      </c>
      <c r="AB616" s="8" t="str">
        <f>IF(AA616='Listas suspensas'!$A$2,'Listas suspensas'!$B$2,IF(AA616='Listas suspensas'!$A$3,'Listas suspensas'!$B$3,IF(AA616='Listas suspensas'!$A$4,'Listas suspensas'!$B$4,IF(AA616='Listas suspensas'!$A$5,'Listas suspensas'!$B$5,IF(AA616='Listas suspensas'!$A$6,'Listas suspensas'!$B$6,"")))))</f>
        <v>Parcial e irregular</v>
      </c>
      <c r="AC616" s="8" t="str">
        <f>IF(AA616='Listas suspensas'!$A$2,'Listas suspensas'!$C$2,IF(AA616='Listas suspensas'!$A$3,'Listas suspensas'!$C$3,IF(AA616='Listas suspensas'!$A$4,'Listas suspensas'!$C$4,IF(AA616='Listas suspensas'!$A$5,'Listas suspensas'!$C$5,IF(AA616='Listas suspensas'!$A$6,'Listas suspensas'!$C$6,"")))))</f>
        <v>Indica a penetração desuniforme e não total pela extensão do alburno.</v>
      </c>
      <c r="BD616" s="13">
        <v>0.83099999999999996</v>
      </c>
      <c r="BE616" s="18">
        <f t="shared" si="99"/>
        <v>831</v>
      </c>
      <c r="BF616" s="8">
        <v>0.21099999999999999</v>
      </c>
      <c r="BG616" s="8">
        <v>9.4E-2</v>
      </c>
      <c r="BH616" s="8">
        <v>0.20399999999999999</v>
      </c>
      <c r="BI616" s="13">
        <f t="shared" si="100"/>
        <v>0.50900000000000001</v>
      </c>
      <c r="BJ616" s="14">
        <v>41.5</v>
      </c>
      <c r="BK616" s="14">
        <v>18.5</v>
      </c>
      <c r="BL616" s="14">
        <v>40</v>
      </c>
      <c r="BM616" s="16">
        <f t="shared" si="101"/>
        <v>100</v>
      </c>
      <c r="BN616" s="21">
        <f t="shared" si="102"/>
        <v>1.75</v>
      </c>
      <c r="BO616" s="21">
        <f t="shared" si="103"/>
        <v>0.78</v>
      </c>
      <c r="BP616" s="21">
        <f t="shared" si="104"/>
        <v>1.7</v>
      </c>
      <c r="BQ616" s="14">
        <f t="shared" si="105"/>
        <v>4.2300000000000004</v>
      </c>
      <c r="BR616" s="22" t="str">
        <f>IF(OR(AND(X616="Mourões", BQ616&gt;=6.5),AND(X616="Postes", BQ616&gt;=9.6),AND(X616="Dormentes", BQ616&gt;=9.6),AND(X616="Estacas - Solo", BQ616&gt;=6.5),AND(X616="Estacas - Suspenso", BQ616&gt;=4),AND(X616="Cruzetas", BQ616&gt;=6.5),AND(X616="Outros - Solo", BQ616&gt;=6.5),AND(X616="Outros - Suspenso",BQ616&gt;=4),AND(X616="Deck",BQ616&gt;=4)),'Listas suspensas'!$C$21,'Listas suspensas'!$C$22)</f>
        <v>Os resultados da análise química apresentaram uma retenção do produto inferior ao padrão mínimo exigido pela norma ABNT NBR 16143</v>
      </c>
    </row>
    <row r="617" spans="2:70" x14ac:dyDescent="0.25">
      <c r="B617" s="8" t="s">
        <v>1710</v>
      </c>
      <c r="C617" s="8" t="s">
        <v>71</v>
      </c>
      <c r="F617" s="11">
        <v>46008</v>
      </c>
      <c r="G617" s="11">
        <v>46008</v>
      </c>
      <c r="H617" s="11">
        <v>46010</v>
      </c>
      <c r="I617" s="8" t="s">
        <v>521</v>
      </c>
      <c r="J617" s="8" t="s">
        <v>522</v>
      </c>
      <c r="K617" s="8" t="s">
        <v>1726</v>
      </c>
      <c r="L617" s="8" t="s">
        <v>15</v>
      </c>
      <c r="M617" s="30" t="s">
        <v>524</v>
      </c>
      <c r="N617" s="8" t="s">
        <v>1165</v>
      </c>
      <c r="O617" s="8" t="s">
        <v>94</v>
      </c>
      <c r="P617" s="28" t="s">
        <v>77</v>
      </c>
      <c r="Q617" s="16" t="s">
        <v>1727</v>
      </c>
      <c r="X617" s="8" t="s">
        <v>79</v>
      </c>
      <c r="Y617" s="34">
        <f>IF(X617='Listas suspensas'!$A$21,'Listas suspensas'!$B$23,IF(X617='Listas suspensas'!$A$22,'Listas suspensas'!$B$23,IF(X617='Listas suspensas'!$A$23,'Listas suspensas'!$B$22,IF(X617='Listas suspensas'!$A$26,'Listas suspensas'!$B$22,IF(X617='Listas suspensas'!$A$32,'Listas suspensas'!$B$22,IF(X617='Listas suspensas'!$A$33,'Listas suspensas'!$B$21,IF(X617='Listas suspensas'!$A$24,'Listas suspensas'!$B$22,IF(X617='Listas suspensas'!$A$25,'Listas suspensas'!$B$21,IF(X617='Listas suspensas'!$A$30,'Listas suspensas'!$B$21,"")))))))))</f>
        <v>6.5</v>
      </c>
      <c r="Z617" s="8" t="s">
        <v>80</v>
      </c>
      <c r="AA617" s="8">
        <v>2</v>
      </c>
      <c r="AB617" s="8" t="str">
        <f>IF(AA617='Listas suspensas'!$A$2,'Listas suspensas'!$B$2,IF(AA617='Listas suspensas'!$A$3,'Listas suspensas'!$B$3,IF(AA617='Listas suspensas'!$A$4,'Listas suspensas'!$B$4,IF(AA617='Listas suspensas'!$A$5,'Listas suspensas'!$B$5,IF(AA617='Listas suspensas'!$A$6,'Listas suspensas'!$B$6,"")))))</f>
        <v>Profunda e irregular</v>
      </c>
      <c r="AC617" s="8" t="str">
        <f>IF(AA617='Listas suspensas'!$A$2,'Listas suspensas'!$C$2,IF(AA617='Listas suspensas'!$A$3,'Listas suspensas'!$C$3,IF(AA617='Listas suspensas'!$A$4,'Listas suspensas'!$C$4,IF(AA617='Listas suspensas'!$A$5,'Listas suspensas'!$C$5,IF(AA617='Listas suspensas'!$A$6,'Listas suspensas'!$C$6,"")))))</f>
        <v>Indica a penetração profunda, mas desuniforme em toda a extensão do alburno.</v>
      </c>
      <c r="BD617" s="13">
        <v>0.752</v>
      </c>
      <c r="BE617" s="18">
        <f t="shared" si="99"/>
        <v>752</v>
      </c>
      <c r="BF617" s="8">
        <v>0.41199999999999998</v>
      </c>
      <c r="BG617" s="8">
        <v>0.17699999999999999</v>
      </c>
      <c r="BH617" s="8">
        <v>0.33</v>
      </c>
      <c r="BI617" s="13">
        <f t="shared" si="100"/>
        <v>0.91900000000000004</v>
      </c>
      <c r="BJ617" s="14">
        <v>44.8</v>
      </c>
      <c r="BK617" s="14">
        <v>19.3</v>
      </c>
      <c r="BL617" s="14">
        <v>35.9</v>
      </c>
      <c r="BM617" s="16">
        <f t="shared" si="101"/>
        <v>100</v>
      </c>
      <c r="BN617" s="21">
        <f t="shared" si="102"/>
        <v>3.1</v>
      </c>
      <c r="BO617" s="21">
        <f t="shared" si="103"/>
        <v>1.33</v>
      </c>
      <c r="BP617" s="21">
        <f t="shared" si="104"/>
        <v>2.48</v>
      </c>
      <c r="BQ617" s="14">
        <f t="shared" si="105"/>
        <v>6.91</v>
      </c>
      <c r="BR617" s="22" t="str">
        <f>IF(OR(AND(X617="Mourões", BQ617&gt;=6.5),AND(X617="Postes", BQ617&gt;=9.6),AND(X617="Dormentes", BQ617&gt;=9.6),AND(X617="Estacas - Solo", BQ617&gt;=6.5),AND(X617="Estacas - Suspenso", BQ617&gt;=4),AND(X617="Cruzetas", BQ617&gt;=6.5),AND(X617="Outros - Solo", BQ617&gt;=6.5),AND(X617="Outros - Suspenso",BQ617&gt;=4),AND(X617="Deck",BQ617&gt;=4)),'Listas suspensas'!$C$21,'Listas suspensas'!$C$22)</f>
        <v>Os resultados da análise química apresentaram uma retenção do produto de acordo com o padrão mínimo exigido pela norma ABNT NBR 16143</v>
      </c>
    </row>
    <row r="618" spans="2:70" x14ac:dyDescent="0.25">
      <c r="B618" s="8" t="s">
        <v>1711</v>
      </c>
      <c r="C618" s="8" t="s">
        <v>71</v>
      </c>
      <c r="F618" s="11">
        <v>46008</v>
      </c>
      <c r="G618" s="11">
        <v>46008</v>
      </c>
      <c r="H618" s="11">
        <v>46010</v>
      </c>
      <c r="I618" s="8" t="s">
        <v>521</v>
      </c>
      <c r="J618" s="8" t="s">
        <v>522</v>
      </c>
      <c r="K618" s="8" t="s">
        <v>1726</v>
      </c>
      <c r="L618" s="8" t="s">
        <v>15</v>
      </c>
      <c r="M618" s="30" t="s">
        <v>524</v>
      </c>
      <c r="N618" s="8" t="s">
        <v>1165</v>
      </c>
      <c r="O618" s="8" t="s">
        <v>94</v>
      </c>
      <c r="P618" s="28" t="s">
        <v>77</v>
      </c>
      <c r="Q618" s="16" t="s">
        <v>1728</v>
      </c>
      <c r="X618" s="8" t="s">
        <v>79</v>
      </c>
      <c r="Y618" s="34">
        <f>IF(X618='Listas suspensas'!$A$21,'Listas suspensas'!$B$23,IF(X618='Listas suspensas'!$A$22,'Listas suspensas'!$B$23,IF(X618='Listas suspensas'!$A$23,'Listas suspensas'!$B$22,IF(X618='Listas suspensas'!$A$26,'Listas suspensas'!$B$22,IF(X618='Listas suspensas'!$A$32,'Listas suspensas'!$B$22,IF(X618='Listas suspensas'!$A$33,'Listas suspensas'!$B$21,IF(X618='Listas suspensas'!$A$24,'Listas suspensas'!$B$22,IF(X618='Listas suspensas'!$A$25,'Listas suspensas'!$B$21,IF(X618='Listas suspensas'!$A$30,'Listas suspensas'!$B$21,"")))))))))</f>
        <v>6.5</v>
      </c>
      <c r="Z618" s="8" t="s">
        <v>80</v>
      </c>
      <c r="AA618" s="8">
        <v>2</v>
      </c>
      <c r="AB618" s="8" t="str">
        <f>IF(AA618='Listas suspensas'!$A$2,'Listas suspensas'!$B$2,IF(AA618='Listas suspensas'!$A$3,'Listas suspensas'!$B$3,IF(AA618='Listas suspensas'!$A$4,'Listas suspensas'!$B$4,IF(AA618='Listas suspensas'!$A$5,'Listas suspensas'!$B$5,IF(AA618='Listas suspensas'!$A$6,'Listas suspensas'!$B$6,"")))))</f>
        <v>Profunda e irregular</v>
      </c>
      <c r="AC618" s="8" t="str">
        <f>IF(AA618='Listas suspensas'!$A$2,'Listas suspensas'!$C$2,IF(AA618='Listas suspensas'!$A$3,'Listas suspensas'!$C$3,IF(AA618='Listas suspensas'!$A$4,'Listas suspensas'!$C$4,IF(AA618='Listas suspensas'!$A$5,'Listas suspensas'!$C$5,IF(AA618='Listas suspensas'!$A$6,'Listas suspensas'!$C$6,"")))))</f>
        <v>Indica a penetração profunda, mas desuniforme em toda a extensão do alburno.</v>
      </c>
      <c r="BD618" s="13">
        <v>0.73799999999999999</v>
      </c>
      <c r="BE618" s="18">
        <f t="shared" si="99"/>
        <v>738</v>
      </c>
      <c r="BF618" s="8">
        <v>0.60499999999999998</v>
      </c>
      <c r="BG618" s="8">
        <v>0.245</v>
      </c>
      <c r="BH618" s="8">
        <v>0.53600000000000003</v>
      </c>
      <c r="BI618" s="13">
        <f t="shared" si="100"/>
        <v>1.3860000000000001</v>
      </c>
      <c r="BJ618" s="14">
        <v>43.7</v>
      </c>
      <c r="BK618" s="14">
        <v>17.7</v>
      </c>
      <c r="BL618" s="14">
        <v>38.6</v>
      </c>
      <c r="BM618" s="16">
        <f t="shared" si="101"/>
        <v>100</v>
      </c>
      <c r="BN618" s="21">
        <f t="shared" si="102"/>
        <v>4.46</v>
      </c>
      <c r="BO618" s="21">
        <f t="shared" si="103"/>
        <v>1.81</v>
      </c>
      <c r="BP618" s="21">
        <f t="shared" si="104"/>
        <v>3.96</v>
      </c>
      <c r="BQ618" s="14">
        <f t="shared" si="105"/>
        <v>10.23</v>
      </c>
      <c r="BR618" s="22" t="str">
        <f>IF(OR(AND(X618="Mourões", BQ618&gt;=6.5),AND(X618="Postes", BQ618&gt;=9.6),AND(X618="Dormentes", BQ618&gt;=9.6),AND(X618="Estacas - Solo", BQ618&gt;=6.5),AND(X618="Estacas - Suspenso", BQ618&gt;=4),AND(X618="Cruzetas", BQ618&gt;=6.5),AND(X618="Outros - Solo", BQ618&gt;=6.5),AND(X618="Outros - Suspenso",BQ618&gt;=4),AND(X618="Deck",BQ618&gt;=4)),'Listas suspensas'!$C$21,'Listas suspensas'!$C$22)</f>
        <v>Os resultados da análise química apresentaram uma retenção do produto de acordo com o padrão mínimo exigido pela norma ABNT NBR 16143</v>
      </c>
    </row>
    <row r="619" spans="2:70" x14ac:dyDescent="0.25">
      <c r="B619" s="8" t="s">
        <v>1712</v>
      </c>
      <c r="C619" s="8" t="s">
        <v>71</v>
      </c>
      <c r="F619" s="11">
        <v>46008</v>
      </c>
      <c r="G619" s="11">
        <v>46008</v>
      </c>
      <c r="H619" s="11">
        <v>46010</v>
      </c>
      <c r="I619" s="8" t="s">
        <v>521</v>
      </c>
      <c r="J619" s="8" t="s">
        <v>522</v>
      </c>
      <c r="K619" s="8" t="s">
        <v>1726</v>
      </c>
      <c r="L619" s="8" t="s">
        <v>15</v>
      </c>
      <c r="M619" s="30" t="s">
        <v>524</v>
      </c>
      <c r="N619" s="8" t="s">
        <v>1165</v>
      </c>
      <c r="O619" s="8" t="s">
        <v>94</v>
      </c>
      <c r="P619" s="28" t="s">
        <v>77</v>
      </c>
      <c r="Q619" s="16" t="s">
        <v>1729</v>
      </c>
      <c r="X619" s="8" t="s">
        <v>79</v>
      </c>
      <c r="Y619" s="34">
        <f>IF(X619='Listas suspensas'!$A$21,'Listas suspensas'!$B$23,IF(X619='Listas suspensas'!$A$22,'Listas suspensas'!$B$23,IF(X619='Listas suspensas'!$A$23,'Listas suspensas'!$B$22,IF(X619='Listas suspensas'!$A$26,'Listas suspensas'!$B$22,IF(X619='Listas suspensas'!$A$32,'Listas suspensas'!$B$22,IF(X619='Listas suspensas'!$A$33,'Listas suspensas'!$B$21,IF(X619='Listas suspensas'!$A$24,'Listas suspensas'!$B$22,IF(X619='Listas suspensas'!$A$25,'Listas suspensas'!$B$21,IF(X619='Listas suspensas'!$A$30,'Listas suspensas'!$B$21,"")))))))))</f>
        <v>6.5</v>
      </c>
      <c r="Z619" s="8" t="s">
        <v>80</v>
      </c>
      <c r="AA619" s="8">
        <v>2</v>
      </c>
      <c r="AB619" s="8" t="str">
        <f>IF(AA619='Listas suspensas'!$A$2,'Listas suspensas'!$B$2,IF(AA619='Listas suspensas'!$A$3,'Listas suspensas'!$B$3,IF(AA619='Listas suspensas'!$A$4,'Listas suspensas'!$B$4,IF(AA619='Listas suspensas'!$A$5,'Listas suspensas'!$B$5,IF(AA619='Listas suspensas'!$A$6,'Listas suspensas'!$B$6,"")))))</f>
        <v>Profunda e irregular</v>
      </c>
      <c r="AC619" s="8" t="str">
        <f>IF(AA619='Listas suspensas'!$A$2,'Listas suspensas'!$C$2,IF(AA619='Listas suspensas'!$A$3,'Listas suspensas'!$C$3,IF(AA619='Listas suspensas'!$A$4,'Listas suspensas'!$C$4,IF(AA619='Listas suspensas'!$A$5,'Listas suspensas'!$C$5,IF(AA619='Listas suspensas'!$A$6,'Listas suspensas'!$C$6,"")))))</f>
        <v>Indica a penetração profunda, mas desuniforme em toda a extensão do alburno.</v>
      </c>
      <c r="BD619" s="13">
        <v>0.60599999999999998</v>
      </c>
      <c r="BE619" s="18">
        <f t="shared" si="99"/>
        <v>606</v>
      </c>
      <c r="BF619" s="8">
        <v>1.0409999999999999</v>
      </c>
      <c r="BG619" s="8">
        <v>0.41499999999999998</v>
      </c>
      <c r="BH619" s="8">
        <v>0.77900000000000003</v>
      </c>
      <c r="BI619" s="13">
        <f t="shared" si="100"/>
        <v>2.2349999999999999</v>
      </c>
      <c r="BJ619" s="14">
        <v>46.6</v>
      </c>
      <c r="BK619" s="14">
        <v>18.600000000000001</v>
      </c>
      <c r="BL619" s="14">
        <v>34.799999999999997</v>
      </c>
      <c r="BM619" s="16">
        <f t="shared" si="101"/>
        <v>100</v>
      </c>
      <c r="BN619" s="21">
        <f t="shared" si="102"/>
        <v>6.31</v>
      </c>
      <c r="BO619" s="21">
        <f t="shared" si="103"/>
        <v>2.5099999999999998</v>
      </c>
      <c r="BP619" s="21">
        <f t="shared" si="104"/>
        <v>4.72</v>
      </c>
      <c r="BQ619" s="14">
        <f t="shared" si="105"/>
        <v>13.54</v>
      </c>
      <c r="BR619" s="22" t="str">
        <f>IF(OR(AND(X619="Mourões", BQ619&gt;=6.5),AND(X619="Postes", BQ619&gt;=9.6),AND(X619="Dormentes", BQ619&gt;=9.6),AND(X619="Estacas - Solo", BQ619&gt;=6.5),AND(X619="Estacas - Suspenso", BQ619&gt;=4),AND(X619="Cruzetas", BQ619&gt;=6.5),AND(X619="Outros - Solo", BQ619&gt;=6.5),AND(X619="Outros - Suspenso",BQ619&gt;=4),AND(X619="Deck",BQ619&gt;=4)),'Listas suspensas'!$C$21,'Listas suspensas'!$C$22)</f>
        <v>Os resultados da análise química apresentaram uma retenção do produto de acordo com o padrão mínimo exigido pela norma ABNT NBR 16143</v>
      </c>
    </row>
    <row r="620" spans="2:70" x14ac:dyDescent="0.25">
      <c r="B620" s="8" t="s">
        <v>1713</v>
      </c>
      <c r="C620" s="8" t="s">
        <v>71</v>
      </c>
      <c r="F620" s="11">
        <v>46008</v>
      </c>
      <c r="G620" s="11">
        <v>46008</v>
      </c>
      <c r="H620" s="11">
        <v>46010</v>
      </c>
      <c r="I620" s="8" t="s">
        <v>521</v>
      </c>
      <c r="J620" s="8" t="s">
        <v>522</v>
      </c>
      <c r="K620" s="8" t="s">
        <v>1726</v>
      </c>
      <c r="L620" s="8" t="s">
        <v>15</v>
      </c>
      <c r="M620" s="30" t="s">
        <v>524</v>
      </c>
      <c r="N620" s="8" t="s">
        <v>1165</v>
      </c>
      <c r="O620" s="8" t="s">
        <v>94</v>
      </c>
      <c r="P620" s="28" t="s">
        <v>77</v>
      </c>
      <c r="Q620" s="16" t="s">
        <v>1730</v>
      </c>
      <c r="X620" s="8" t="s">
        <v>79</v>
      </c>
      <c r="Y620" s="34">
        <f>IF(X620='Listas suspensas'!$A$21,'Listas suspensas'!$B$23,IF(X620='Listas suspensas'!$A$22,'Listas suspensas'!$B$23,IF(X620='Listas suspensas'!$A$23,'Listas suspensas'!$B$22,IF(X620='Listas suspensas'!$A$26,'Listas suspensas'!$B$22,IF(X620='Listas suspensas'!$A$32,'Listas suspensas'!$B$22,IF(X620='Listas suspensas'!$A$33,'Listas suspensas'!$B$21,IF(X620='Listas suspensas'!$A$24,'Listas suspensas'!$B$22,IF(X620='Listas suspensas'!$A$25,'Listas suspensas'!$B$21,IF(X620='Listas suspensas'!$A$30,'Listas suspensas'!$B$21,"")))))))))</f>
        <v>6.5</v>
      </c>
      <c r="Z620" s="8" t="s">
        <v>80</v>
      </c>
      <c r="AA620" s="8">
        <v>2</v>
      </c>
      <c r="AB620" s="8" t="str">
        <f>IF(AA620='Listas suspensas'!$A$2,'Listas suspensas'!$B$2,IF(AA620='Listas suspensas'!$A$3,'Listas suspensas'!$B$3,IF(AA620='Listas suspensas'!$A$4,'Listas suspensas'!$B$4,IF(AA620='Listas suspensas'!$A$5,'Listas suspensas'!$B$5,IF(AA620='Listas suspensas'!$A$6,'Listas suspensas'!$B$6,"")))))</f>
        <v>Profunda e irregular</v>
      </c>
      <c r="AC620" s="8" t="str">
        <f>IF(AA620='Listas suspensas'!$A$2,'Listas suspensas'!$C$2,IF(AA620='Listas suspensas'!$A$3,'Listas suspensas'!$C$3,IF(AA620='Listas suspensas'!$A$4,'Listas suspensas'!$C$4,IF(AA620='Listas suspensas'!$A$5,'Listas suspensas'!$C$5,IF(AA620='Listas suspensas'!$A$6,'Listas suspensas'!$C$6,"")))))</f>
        <v>Indica a penetração profunda, mas desuniforme em toda a extensão do alburno.</v>
      </c>
      <c r="BD620" s="13">
        <v>0.78200000000000003</v>
      </c>
      <c r="BE620" s="18">
        <f t="shared" si="99"/>
        <v>782</v>
      </c>
      <c r="BF620" s="8">
        <v>0.70299999999999996</v>
      </c>
      <c r="BG620" s="8">
        <v>0.247</v>
      </c>
      <c r="BH620" s="8">
        <v>0.51100000000000001</v>
      </c>
      <c r="BI620" s="13">
        <f t="shared" si="100"/>
        <v>1.4609999999999999</v>
      </c>
      <c r="BJ620" s="14">
        <v>48.1</v>
      </c>
      <c r="BK620" s="14">
        <v>16.899999999999999</v>
      </c>
      <c r="BL620" s="14">
        <v>35</v>
      </c>
      <c r="BM620" s="16">
        <f t="shared" si="101"/>
        <v>100</v>
      </c>
      <c r="BN620" s="21">
        <f t="shared" si="102"/>
        <v>5.5</v>
      </c>
      <c r="BO620" s="21">
        <f t="shared" si="103"/>
        <v>1.93</v>
      </c>
      <c r="BP620" s="21">
        <f t="shared" si="104"/>
        <v>4</v>
      </c>
      <c r="BQ620" s="14">
        <f t="shared" si="105"/>
        <v>11.43</v>
      </c>
      <c r="BR620" s="22" t="str">
        <f>IF(OR(AND(X620="Mourões", BQ620&gt;=6.5),AND(X620="Postes", BQ620&gt;=9.6),AND(X620="Dormentes", BQ620&gt;=9.6),AND(X620="Estacas - Solo", BQ620&gt;=6.5),AND(X620="Estacas - Suspenso", BQ620&gt;=4),AND(X620="Cruzetas", BQ620&gt;=6.5),AND(X620="Outros - Solo", BQ620&gt;=6.5),AND(X620="Outros - Suspenso",BQ620&gt;=4),AND(X620="Deck",BQ620&gt;=4)),'Listas suspensas'!$C$21,'Listas suspensas'!$C$22)</f>
        <v>Os resultados da análise química apresentaram uma retenção do produto de acordo com o padrão mínimo exigido pela norma ABNT NBR 16143</v>
      </c>
    </row>
    <row r="621" spans="2:70" x14ac:dyDescent="0.25">
      <c r="B621" s="8" t="s">
        <v>1714</v>
      </c>
      <c r="C621" s="8" t="s">
        <v>71</v>
      </c>
      <c r="F621" s="11">
        <v>46008</v>
      </c>
      <c r="G621" s="11">
        <v>46008</v>
      </c>
      <c r="H621" s="11">
        <v>46010</v>
      </c>
      <c r="I621" s="8" t="s">
        <v>521</v>
      </c>
      <c r="J621" s="8" t="s">
        <v>522</v>
      </c>
      <c r="K621" s="8" t="s">
        <v>1726</v>
      </c>
      <c r="L621" s="8" t="s">
        <v>15</v>
      </c>
      <c r="M621" s="30" t="s">
        <v>524</v>
      </c>
      <c r="N621" s="8" t="s">
        <v>1165</v>
      </c>
      <c r="O621" s="8" t="s">
        <v>94</v>
      </c>
      <c r="P621" s="28" t="s">
        <v>77</v>
      </c>
      <c r="Q621" s="16" t="s">
        <v>1731</v>
      </c>
      <c r="X621" s="8" t="s">
        <v>79</v>
      </c>
      <c r="Y621" s="34">
        <f>IF(X621='Listas suspensas'!$A$21,'Listas suspensas'!$B$23,IF(X621='Listas suspensas'!$A$22,'Listas suspensas'!$B$23,IF(X621='Listas suspensas'!$A$23,'Listas suspensas'!$B$22,IF(X621='Listas suspensas'!$A$26,'Listas suspensas'!$B$22,IF(X621='Listas suspensas'!$A$32,'Listas suspensas'!$B$22,IF(X621='Listas suspensas'!$A$33,'Listas suspensas'!$B$21,IF(X621='Listas suspensas'!$A$24,'Listas suspensas'!$B$22,IF(X621='Listas suspensas'!$A$25,'Listas suspensas'!$B$21,IF(X621='Listas suspensas'!$A$30,'Listas suspensas'!$B$21,"")))))))))</f>
        <v>6.5</v>
      </c>
      <c r="Z621" s="8" t="s">
        <v>80</v>
      </c>
      <c r="AA621" s="8">
        <v>2</v>
      </c>
      <c r="AB621" s="8" t="str">
        <f>IF(AA621='Listas suspensas'!$A$2,'Listas suspensas'!$B$2,IF(AA621='Listas suspensas'!$A$3,'Listas suspensas'!$B$3,IF(AA621='Listas suspensas'!$A$4,'Listas suspensas'!$B$4,IF(AA621='Listas suspensas'!$A$5,'Listas suspensas'!$B$5,IF(AA621='Listas suspensas'!$A$6,'Listas suspensas'!$B$6,"")))))</f>
        <v>Profunda e irregular</v>
      </c>
      <c r="AC621" s="8" t="str">
        <f>IF(AA621='Listas suspensas'!$A$2,'Listas suspensas'!$C$2,IF(AA621='Listas suspensas'!$A$3,'Listas suspensas'!$C$3,IF(AA621='Listas suspensas'!$A$4,'Listas suspensas'!$C$4,IF(AA621='Listas suspensas'!$A$5,'Listas suspensas'!$C$5,IF(AA621='Listas suspensas'!$A$6,'Listas suspensas'!$C$6,"")))))</f>
        <v>Indica a penetração profunda, mas desuniforme em toda a extensão do alburno.</v>
      </c>
      <c r="BD621" s="13">
        <v>0.80400000000000005</v>
      </c>
      <c r="BE621" s="18">
        <f t="shared" si="99"/>
        <v>804</v>
      </c>
      <c r="BF621" s="8">
        <v>0.45800000000000002</v>
      </c>
      <c r="BG621" s="8">
        <v>0.20699999999999999</v>
      </c>
      <c r="BH621" s="8">
        <v>0.41899999999999998</v>
      </c>
      <c r="BI621" s="13">
        <f t="shared" si="100"/>
        <v>1.0840000000000001</v>
      </c>
      <c r="BJ621" s="14">
        <v>42.3</v>
      </c>
      <c r="BK621" s="14">
        <v>19.100000000000001</v>
      </c>
      <c r="BL621" s="14">
        <v>38.6</v>
      </c>
      <c r="BM621" s="16">
        <f t="shared" si="101"/>
        <v>100</v>
      </c>
      <c r="BN621" s="21">
        <f t="shared" si="102"/>
        <v>3.68</v>
      </c>
      <c r="BO621" s="21">
        <f t="shared" si="103"/>
        <v>1.66</v>
      </c>
      <c r="BP621" s="21">
        <f t="shared" si="104"/>
        <v>3.37</v>
      </c>
      <c r="BQ621" s="14">
        <f t="shared" si="105"/>
        <v>8.7100000000000009</v>
      </c>
      <c r="BR621" s="22" t="str">
        <f>IF(OR(AND(X621="Mourões", BQ621&gt;=6.5),AND(X621="Postes", BQ621&gt;=9.6),AND(X621="Dormentes", BQ621&gt;=9.6),AND(X621="Estacas - Solo", BQ621&gt;=6.5),AND(X621="Estacas - Suspenso", BQ621&gt;=4),AND(X621="Cruzetas", BQ621&gt;=6.5),AND(X621="Outros - Solo", BQ621&gt;=6.5),AND(X621="Outros - Suspenso",BQ621&gt;=4),AND(X621="Deck",BQ621&gt;=4)),'Listas suspensas'!$C$21,'Listas suspensas'!$C$22)</f>
        <v>Os resultados da análise química apresentaram uma retenção do produto de acordo com o padrão mínimo exigido pela norma ABNT NBR 16143</v>
      </c>
    </row>
    <row r="622" spans="2:70" x14ac:dyDescent="0.25">
      <c r="B622" s="8" t="s">
        <v>1715</v>
      </c>
      <c r="C622" s="8" t="s">
        <v>71</v>
      </c>
      <c r="F622" s="11">
        <v>46028</v>
      </c>
      <c r="G622" s="11">
        <v>45668</v>
      </c>
      <c r="H622" s="11">
        <v>46038</v>
      </c>
      <c r="I622" s="8" t="s">
        <v>1741</v>
      </c>
      <c r="J622" s="8" t="s">
        <v>242</v>
      </c>
      <c r="K622" s="8" t="s">
        <v>243</v>
      </c>
      <c r="L622" s="8" t="s">
        <v>15</v>
      </c>
      <c r="M622" s="30" t="s">
        <v>361</v>
      </c>
      <c r="N622" s="8" t="s">
        <v>1165</v>
      </c>
      <c r="O622" s="8" t="s">
        <v>94</v>
      </c>
      <c r="P622" s="28" t="s">
        <v>77</v>
      </c>
      <c r="Q622" s="16" t="s">
        <v>1742</v>
      </c>
      <c r="X622" s="8" t="s">
        <v>994</v>
      </c>
      <c r="Y622" s="34">
        <f>IF(X622='Listas suspensas'!$A$21,'Listas suspensas'!$B$23,IF(X622='Listas suspensas'!$A$22,'Listas suspensas'!$B$23,IF(X622='Listas suspensas'!$A$23,'Listas suspensas'!$B$22,IF(X622='Listas suspensas'!$A$26,'Listas suspensas'!$B$22,IF(X622='Listas suspensas'!$A$32,'Listas suspensas'!$B$22,IF(X622='Listas suspensas'!$A$33,'Listas suspensas'!$B$21,IF(X622='Listas suspensas'!$A$24,'Listas suspensas'!$B$22,IF(X622='Listas suspensas'!$A$25,'Listas suspensas'!$B$21,IF(X622='Listas suspensas'!$A$30,'Listas suspensas'!$B$21,"")))))))))</f>
        <v>4</v>
      </c>
      <c r="Z622" s="8" t="s">
        <v>80</v>
      </c>
      <c r="AA622" s="8">
        <v>2</v>
      </c>
      <c r="AB622" s="8" t="str">
        <f>IF(AA622='Listas suspensas'!$A$2,'Listas suspensas'!$B$2,IF(AA622='Listas suspensas'!$A$3,'Listas suspensas'!$B$3,IF(AA622='Listas suspensas'!$A$4,'Listas suspensas'!$B$4,IF(AA622='Listas suspensas'!$A$5,'Listas suspensas'!$B$5,IF(AA622='Listas suspensas'!$A$6,'Listas suspensas'!$B$6,"")))))</f>
        <v>Profunda e irregular</v>
      </c>
      <c r="AC622" s="8" t="str">
        <f>IF(AA622='Listas suspensas'!$A$2,'Listas suspensas'!$C$2,IF(AA622='Listas suspensas'!$A$3,'Listas suspensas'!$C$3,IF(AA622='Listas suspensas'!$A$4,'Listas suspensas'!$C$4,IF(AA622='Listas suspensas'!$A$5,'Listas suspensas'!$C$5,IF(AA622='Listas suspensas'!$A$6,'Listas suspensas'!$C$6,"")))))</f>
        <v>Indica a penetração profunda, mas desuniforme em toda a extensão do alburno.</v>
      </c>
      <c r="BD622" s="13">
        <v>0.70899999999999996</v>
      </c>
      <c r="BE622" s="18">
        <f t="shared" si="99"/>
        <v>709</v>
      </c>
      <c r="BF622" s="8">
        <v>0.4</v>
      </c>
      <c r="BG622" s="8">
        <v>0.17899999999999999</v>
      </c>
      <c r="BH622" s="8">
        <v>0.3</v>
      </c>
      <c r="BI622" s="13">
        <f t="shared" si="100"/>
        <v>0.879</v>
      </c>
      <c r="BJ622" s="14">
        <v>45.4</v>
      </c>
      <c r="BK622" s="14">
        <v>20.399999999999999</v>
      </c>
      <c r="BL622" s="14">
        <v>34.200000000000003</v>
      </c>
      <c r="BM622" s="16">
        <f t="shared" si="101"/>
        <v>100</v>
      </c>
      <c r="BN622" s="21">
        <f t="shared" si="102"/>
        <v>2.84</v>
      </c>
      <c r="BO622" s="21">
        <f t="shared" si="103"/>
        <v>1.27</v>
      </c>
      <c r="BP622" s="21">
        <f t="shared" si="104"/>
        <v>2.13</v>
      </c>
      <c r="BQ622" s="14">
        <f t="shared" si="105"/>
        <v>6.24</v>
      </c>
      <c r="BR622" s="22" t="str">
        <f>IF(OR(AND(X622="Mourões", BQ622&gt;=6.5),AND(X622="Postes", BQ622&gt;=9.6),AND(X622="Dormentes", BQ622&gt;=9.6),AND(X622="Estacas - Solo", BQ622&gt;=6.5),AND(X622="Estacas - Suspenso", BQ622&gt;=4),AND(X622="Cruzetas", BQ622&gt;=6.5),AND(X622="Outros - Solo", BQ622&gt;=6.5),AND(X622="Outros - Suspenso",BQ622&gt;=4),AND(X622="Deck",BQ622&gt;=4)),'Listas suspensas'!$C$21,'Listas suspensas'!$C$22)</f>
        <v>Os resultados da análise química apresentaram uma retenção do produto de acordo com o padrão mínimo exigido pela norma ABNT NBR 16143</v>
      </c>
    </row>
    <row r="623" spans="2:70" x14ac:dyDescent="0.25">
      <c r="B623" s="8" t="s">
        <v>1720</v>
      </c>
      <c r="C623" s="8" t="s">
        <v>71</v>
      </c>
      <c r="F623" s="11">
        <v>46028</v>
      </c>
      <c r="G623" s="11">
        <v>45668</v>
      </c>
      <c r="H623" s="11">
        <v>46038</v>
      </c>
      <c r="I623" s="8" t="s">
        <v>1741</v>
      </c>
      <c r="J623" s="8" t="s">
        <v>242</v>
      </c>
      <c r="K623" s="8" t="s">
        <v>243</v>
      </c>
      <c r="L623" s="8" t="s">
        <v>15</v>
      </c>
      <c r="M623" s="30" t="s">
        <v>361</v>
      </c>
      <c r="N623" s="8" t="s">
        <v>1165</v>
      </c>
      <c r="O623" s="8" t="s">
        <v>94</v>
      </c>
      <c r="P623" s="28" t="s">
        <v>77</v>
      </c>
      <c r="Q623" s="16" t="s">
        <v>1743</v>
      </c>
      <c r="X623" s="8" t="s">
        <v>994</v>
      </c>
      <c r="Y623" s="34">
        <f>IF(X623='Listas suspensas'!$A$21,'Listas suspensas'!$B$23,IF(X623='Listas suspensas'!$A$22,'Listas suspensas'!$B$23,IF(X623='Listas suspensas'!$A$23,'Listas suspensas'!$B$22,IF(X623='Listas suspensas'!$A$26,'Listas suspensas'!$B$22,IF(X623='Listas suspensas'!$A$32,'Listas suspensas'!$B$22,IF(X623='Listas suspensas'!$A$33,'Listas suspensas'!$B$21,IF(X623='Listas suspensas'!$A$24,'Listas suspensas'!$B$22,IF(X623='Listas suspensas'!$A$25,'Listas suspensas'!$B$21,IF(X623='Listas suspensas'!$A$30,'Listas suspensas'!$B$21,"")))))))))</f>
        <v>4</v>
      </c>
      <c r="Z623" s="8" t="s">
        <v>80</v>
      </c>
      <c r="AA623" s="8">
        <v>4</v>
      </c>
      <c r="AB623" s="8" t="str">
        <f>IF(AA623='Listas suspensas'!$A$2,'Listas suspensas'!$B$2,IF(AA623='Listas suspensas'!$A$3,'Listas suspensas'!$B$3,IF(AA623='Listas suspensas'!$A$4,'Listas suspensas'!$B$4,IF(AA623='Listas suspensas'!$A$5,'Listas suspensas'!$B$5,IF(AA623='Listas suspensas'!$A$6,'Listas suspensas'!$B$6,"")))))</f>
        <v>Parcial e irregular</v>
      </c>
      <c r="AC623" s="8" t="str">
        <f>IF(AA623='Listas suspensas'!$A$2,'Listas suspensas'!$C$2,IF(AA623='Listas suspensas'!$A$3,'Listas suspensas'!$C$3,IF(AA623='Listas suspensas'!$A$4,'Listas suspensas'!$C$4,IF(AA623='Listas suspensas'!$A$5,'Listas suspensas'!$C$5,IF(AA623='Listas suspensas'!$A$6,'Listas suspensas'!$C$6,"")))))</f>
        <v>Indica a penetração desuniforme e não total pela extensão do alburno.</v>
      </c>
      <c r="BD623" s="13">
        <v>0.63100000000000001</v>
      </c>
      <c r="BE623" s="18">
        <f t="shared" si="99"/>
        <v>631</v>
      </c>
      <c r="BF623" s="8">
        <v>0.34699999999999998</v>
      </c>
      <c r="BG623" s="8">
        <v>0.16200000000000001</v>
      </c>
      <c r="BH623" s="8">
        <v>0.24299999999999999</v>
      </c>
      <c r="BI623" s="13">
        <f t="shared" si="100"/>
        <v>0.752</v>
      </c>
      <c r="BJ623" s="14">
        <v>46.1</v>
      </c>
      <c r="BK623" s="14">
        <v>21.5</v>
      </c>
      <c r="BL623" s="14">
        <v>32.4</v>
      </c>
      <c r="BM623" s="16">
        <f t="shared" si="101"/>
        <v>100</v>
      </c>
      <c r="BN623" s="21">
        <f t="shared" si="102"/>
        <v>2.19</v>
      </c>
      <c r="BO623" s="21">
        <f t="shared" si="103"/>
        <v>1.02</v>
      </c>
      <c r="BP623" s="21">
        <f t="shared" si="104"/>
        <v>1.53</v>
      </c>
      <c r="BQ623" s="14">
        <f t="shared" si="105"/>
        <v>4.74</v>
      </c>
      <c r="BR623" s="22" t="str">
        <f>IF(OR(AND(X623="Mourões", BQ623&gt;=6.5),AND(X623="Postes", BQ623&gt;=9.6),AND(X623="Dormentes", BQ623&gt;=9.6),AND(X623="Estacas - Solo", BQ623&gt;=6.5),AND(X623="Estacas - Suspenso", BQ623&gt;=4),AND(X623="Cruzetas", BQ623&gt;=6.5),AND(X623="Outros - Solo", BQ623&gt;=6.5),AND(X623="Outros - Suspenso",BQ623&gt;=4),AND(X623="Deck",BQ623&gt;=4)),'Listas suspensas'!$C$21,'Listas suspensas'!$C$22)</f>
        <v>Os resultados da análise química apresentaram uma retenção do produto de acordo com o padrão mínimo exigido pela norma ABNT NBR 16143</v>
      </c>
    </row>
    <row r="624" spans="2:70" x14ac:dyDescent="0.25">
      <c r="B624" s="8" t="s">
        <v>1721</v>
      </c>
      <c r="C624" s="8" t="s">
        <v>71</v>
      </c>
      <c r="F624" s="11">
        <v>46028</v>
      </c>
      <c r="G624" s="11">
        <v>45668</v>
      </c>
      <c r="H624" s="11">
        <v>46038</v>
      </c>
      <c r="I624" s="8" t="s">
        <v>1741</v>
      </c>
      <c r="J624" s="8" t="s">
        <v>242</v>
      </c>
      <c r="K624" s="8" t="s">
        <v>243</v>
      </c>
      <c r="L624" s="8" t="s">
        <v>15</v>
      </c>
      <c r="M624" s="30" t="s">
        <v>361</v>
      </c>
      <c r="N624" s="8" t="s">
        <v>1165</v>
      </c>
      <c r="O624" s="8" t="s">
        <v>94</v>
      </c>
      <c r="P624" s="28" t="s">
        <v>77</v>
      </c>
      <c r="Q624" s="16" t="s">
        <v>1744</v>
      </c>
      <c r="X624" s="8" t="s">
        <v>994</v>
      </c>
      <c r="Y624" s="34">
        <f>IF(X624='Listas suspensas'!$A$21,'Listas suspensas'!$B$23,IF(X624='Listas suspensas'!$A$22,'Listas suspensas'!$B$23,IF(X624='Listas suspensas'!$A$23,'Listas suspensas'!$B$22,IF(X624='Listas suspensas'!$A$26,'Listas suspensas'!$B$22,IF(X624='Listas suspensas'!$A$32,'Listas suspensas'!$B$22,IF(X624='Listas suspensas'!$A$33,'Listas suspensas'!$B$21,IF(X624='Listas suspensas'!$A$24,'Listas suspensas'!$B$22,IF(X624='Listas suspensas'!$A$25,'Listas suspensas'!$B$21,IF(X624='Listas suspensas'!$A$30,'Listas suspensas'!$B$21,"")))))))))</f>
        <v>4</v>
      </c>
      <c r="Z624" s="8" t="s">
        <v>80</v>
      </c>
      <c r="AA624" s="8">
        <v>3</v>
      </c>
      <c r="AB624" s="8" t="str">
        <f>IF(AA624='Listas suspensas'!$A$2,'Listas suspensas'!$B$2,IF(AA624='Listas suspensas'!$A$3,'Listas suspensas'!$B$3,IF(AA624='Listas suspensas'!$A$4,'Listas suspensas'!$B$4,IF(AA624='Listas suspensas'!$A$5,'Listas suspensas'!$B$5,IF(AA624='Listas suspensas'!$A$6,'Listas suspensas'!$B$6,"")))))</f>
        <v xml:space="preserve"> Parcial e regular</v>
      </c>
      <c r="AC624" s="8" t="str">
        <f>IF(AA624='Listas suspensas'!$A$2,'Listas suspensas'!$C$2,IF(AA624='Listas suspensas'!$A$3,'Listas suspensas'!$C$3,IF(AA624='Listas suspensas'!$A$4,'Listas suspensas'!$C$4,IF(AA624='Listas suspensas'!$A$5,'Listas suspensas'!$C$5,IF(AA624='Listas suspensas'!$A$6,'Listas suspensas'!$C$6,"")))))</f>
        <v>Indica a penetração uniforme, mas não total pela extensão do alburno.</v>
      </c>
      <c r="BD624" s="13">
        <v>0.69299999999999995</v>
      </c>
      <c r="BE624" s="18">
        <f t="shared" si="99"/>
        <v>693</v>
      </c>
      <c r="BF624" s="8">
        <v>0.39700000000000002</v>
      </c>
      <c r="BG624" s="8">
        <v>0.19</v>
      </c>
      <c r="BH624" s="8">
        <v>0.36</v>
      </c>
      <c r="BI624" s="13">
        <f t="shared" si="100"/>
        <v>0.94699999999999995</v>
      </c>
      <c r="BJ624" s="14">
        <v>41.9</v>
      </c>
      <c r="BK624" s="14">
        <v>20</v>
      </c>
      <c r="BL624" s="14">
        <v>38.1</v>
      </c>
      <c r="BM624" s="16">
        <f t="shared" si="101"/>
        <v>100</v>
      </c>
      <c r="BN624" s="21">
        <f t="shared" si="102"/>
        <v>2.75</v>
      </c>
      <c r="BO624" s="21">
        <f t="shared" si="103"/>
        <v>1.32</v>
      </c>
      <c r="BP624" s="21">
        <f t="shared" si="104"/>
        <v>2.4900000000000002</v>
      </c>
      <c r="BQ624" s="14">
        <f t="shared" si="105"/>
        <v>6.56</v>
      </c>
      <c r="BR624" s="22" t="str">
        <f>IF(OR(AND(X624="Mourões", BQ624&gt;=6.5),AND(X624="Postes", BQ624&gt;=9.6),AND(X624="Dormentes", BQ624&gt;=9.6),AND(X624="Estacas - Solo", BQ624&gt;=6.5),AND(X624="Estacas - Suspenso", BQ624&gt;=4),AND(X624="Cruzetas", BQ624&gt;=6.5),AND(X624="Outros - Solo", BQ624&gt;=6.5),AND(X624="Outros - Suspenso",BQ624&gt;=4),AND(X624="Deck",BQ624&gt;=4)),'Listas suspensas'!$C$21,'Listas suspensas'!$C$22)</f>
        <v>Os resultados da análise química apresentaram uma retenção do produto de acordo com o padrão mínimo exigido pela norma ABNT NBR 16143</v>
      </c>
    </row>
    <row r="625" spans="2:70" x14ac:dyDescent="0.25">
      <c r="B625" s="8" t="s">
        <v>1722</v>
      </c>
      <c r="C625" s="8" t="s">
        <v>71</v>
      </c>
      <c r="F625" s="11">
        <v>46028</v>
      </c>
      <c r="G625" s="11">
        <v>45668</v>
      </c>
      <c r="H625" s="11">
        <v>46038</v>
      </c>
      <c r="I625" s="8" t="s">
        <v>1741</v>
      </c>
      <c r="J625" s="8" t="s">
        <v>242</v>
      </c>
      <c r="K625" s="8" t="s">
        <v>243</v>
      </c>
      <c r="L625" s="8" t="s">
        <v>15</v>
      </c>
      <c r="M625" s="30" t="s">
        <v>361</v>
      </c>
      <c r="N625" s="8" t="s">
        <v>1165</v>
      </c>
      <c r="O625" s="8" t="s">
        <v>94</v>
      </c>
      <c r="P625" s="28" t="s">
        <v>77</v>
      </c>
      <c r="Q625" s="16" t="s">
        <v>1745</v>
      </c>
      <c r="X625" s="8" t="s">
        <v>994</v>
      </c>
      <c r="Y625" s="34">
        <f>IF(X625='Listas suspensas'!$A$21,'Listas suspensas'!$B$23,IF(X625='Listas suspensas'!$A$22,'Listas suspensas'!$B$23,IF(X625='Listas suspensas'!$A$23,'Listas suspensas'!$B$22,IF(X625='Listas suspensas'!$A$26,'Listas suspensas'!$B$22,IF(X625='Listas suspensas'!$A$32,'Listas suspensas'!$B$22,IF(X625='Listas suspensas'!$A$33,'Listas suspensas'!$B$21,IF(X625='Listas suspensas'!$A$24,'Listas suspensas'!$B$22,IF(X625='Listas suspensas'!$A$25,'Listas suspensas'!$B$21,IF(X625='Listas suspensas'!$A$30,'Listas suspensas'!$B$21,"")))))))))</f>
        <v>4</v>
      </c>
      <c r="Z625" s="8" t="s">
        <v>80</v>
      </c>
      <c r="AA625" s="8">
        <v>3</v>
      </c>
      <c r="AB625" s="8" t="str">
        <f>IF(AA625='Listas suspensas'!$A$2,'Listas suspensas'!$B$2,IF(AA625='Listas suspensas'!$A$3,'Listas suspensas'!$B$3,IF(AA625='Listas suspensas'!$A$4,'Listas suspensas'!$B$4,IF(AA625='Listas suspensas'!$A$5,'Listas suspensas'!$B$5,IF(AA625='Listas suspensas'!$A$6,'Listas suspensas'!$B$6,"")))))</f>
        <v xml:space="preserve"> Parcial e regular</v>
      </c>
      <c r="AC625" s="8" t="str">
        <f>IF(AA625='Listas suspensas'!$A$2,'Listas suspensas'!$C$2,IF(AA625='Listas suspensas'!$A$3,'Listas suspensas'!$C$3,IF(AA625='Listas suspensas'!$A$4,'Listas suspensas'!$C$4,IF(AA625='Listas suspensas'!$A$5,'Listas suspensas'!$C$5,IF(AA625='Listas suspensas'!$A$6,'Listas suspensas'!$C$6,"")))))</f>
        <v>Indica a penetração uniforme, mas não total pela extensão do alburno.</v>
      </c>
      <c r="BD625" s="13">
        <v>0.88800000000000001</v>
      </c>
      <c r="BE625" s="18">
        <f t="shared" si="99"/>
        <v>888</v>
      </c>
      <c r="BF625" s="8">
        <v>0.224</v>
      </c>
      <c r="BG625" s="8">
        <v>0.113</v>
      </c>
      <c r="BH625" s="8">
        <v>0.20300000000000001</v>
      </c>
      <c r="BI625" s="13">
        <f t="shared" si="100"/>
        <v>0.54</v>
      </c>
      <c r="BJ625" s="14">
        <v>41.4</v>
      </c>
      <c r="BK625" s="14">
        <v>20.9</v>
      </c>
      <c r="BL625" s="14">
        <v>37.700000000000003</v>
      </c>
      <c r="BM625" s="16">
        <f t="shared" si="101"/>
        <v>100</v>
      </c>
      <c r="BN625" s="21">
        <f t="shared" si="102"/>
        <v>1.99</v>
      </c>
      <c r="BO625" s="21">
        <f t="shared" si="103"/>
        <v>1</v>
      </c>
      <c r="BP625" s="21">
        <f t="shared" si="104"/>
        <v>1.8</v>
      </c>
      <c r="BQ625" s="14">
        <f t="shared" si="105"/>
        <v>4.79</v>
      </c>
      <c r="BR625" s="22" t="str">
        <f>IF(OR(AND(X625="Mourões", BQ625&gt;=6.5),AND(X625="Postes", BQ625&gt;=9.6),AND(X625="Dormentes", BQ625&gt;=9.6),AND(X625="Estacas - Solo", BQ625&gt;=6.5),AND(X625="Estacas - Suspenso", BQ625&gt;=4),AND(X625="Cruzetas", BQ625&gt;=6.5),AND(X625="Outros - Solo", BQ625&gt;=6.5),AND(X625="Outros - Suspenso",BQ625&gt;=4),AND(X625="Deck",BQ625&gt;=4)),'Listas suspensas'!$C$21,'Listas suspensas'!$C$22)</f>
        <v>Os resultados da análise química apresentaram uma retenção do produto de acordo com o padrão mínimo exigido pela norma ABNT NBR 16143</v>
      </c>
    </row>
    <row r="626" spans="2:70" x14ac:dyDescent="0.25">
      <c r="B626" s="8" t="s">
        <v>1723</v>
      </c>
      <c r="C626" s="8" t="s">
        <v>71</v>
      </c>
      <c r="F626" s="11">
        <v>46028</v>
      </c>
      <c r="G626" s="11">
        <v>45668</v>
      </c>
      <c r="H626" s="11">
        <v>46038</v>
      </c>
      <c r="I626" s="8" t="s">
        <v>1741</v>
      </c>
      <c r="J626" s="8" t="s">
        <v>242</v>
      </c>
      <c r="K626" s="8" t="s">
        <v>243</v>
      </c>
      <c r="L626" s="8" t="s">
        <v>15</v>
      </c>
      <c r="M626" s="30" t="s">
        <v>361</v>
      </c>
      <c r="N626" s="8" t="s">
        <v>1165</v>
      </c>
      <c r="O626" s="8" t="s">
        <v>94</v>
      </c>
      <c r="P626" s="28" t="s">
        <v>77</v>
      </c>
      <c r="Q626" s="16" t="s">
        <v>1746</v>
      </c>
      <c r="X626" s="8" t="s">
        <v>994</v>
      </c>
      <c r="Y626" s="34">
        <f>IF(X626='Listas suspensas'!$A$21,'Listas suspensas'!$B$23,IF(X626='Listas suspensas'!$A$22,'Listas suspensas'!$B$23,IF(X626='Listas suspensas'!$A$23,'Listas suspensas'!$B$22,IF(X626='Listas suspensas'!$A$26,'Listas suspensas'!$B$22,IF(X626='Listas suspensas'!$A$32,'Listas suspensas'!$B$22,IF(X626='Listas suspensas'!$A$33,'Listas suspensas'!$B$21,IF(X626='Listas suspensas'!$A$24,'Listas suspensas'!$B$22,IF(X626='Listas suspensas'!$A$25,'Listas suspensas'!$B$21,IF(X626='Listas suspensas'!$A$30,'Listas suspensas'!$B$21,"")))))))))</f>
        <v>4</v>
      </c>
      <c r="Z626" s="8" t="s">
        <v>80</v>
      </c>
      <c r="AA626" s="8">
        <v>3</v>
      </c>
      <c r="AB626" s="8" t="str">
        <f>IF(AA626='Listas suspensas'!$A$2,'Listas suspensas'!$B$2,IF(AA626='Listas suspensas'!$A$3,'Listas suspensas'!$B$3,IF(AA626='Listas suspensas'!$A$4,'Listas suspensas'!$B$4,IF(AA626='Listas suspensas'!$A$5,'Listas suspensas'!$B$5,IF(AA626='Listas suspensas'!$A$6,'Listas suspensas'!$B$6,"")))))</f>
        <v xml:space="preserve"> Parcial e regular</v>
      </c>
      <c r="AC626" s="8" t="str">
        <f>IF(AA626='Listas suspensas'!$A$2,'Listas suspensas'!$C$2,IF(AA626='Listas suspensas'!$A$3,'Listas suspensas'!$C$3,IF(AA626='Listas suspensas'!$A$4,'Listas suspensas'!$C$4,IF(AA626='Listas suspensas'!$A$5,'Listas suspensas'!$C$5,IF(AA626='Listas suspensas'!$A$6,'Listas suspensas'!$C$6,"")))))</f>
        <v>Indica a penetração uniforme, mas não total pela extensão do alburno.</v>
      </c>
      <c r="BD626" s="13">
        <v>0.81499999999999995</v>
      </c>
      <c r="BE626" s="18">
        <f t="shared" si="99"/>
        <v>815</v>
      </c>
      <c r="BF626" s="8">
        <v>0.26300000000000001</v>
      </c>
      <c r="BG626" s="8">
        <v>0.158</v>
      </c>
      <c r="BH626" s="8">
        <v>0.27500000000000002</v>
      </c>
      <c r="BI626" s="13">
        <f t="shared" si="100"/>
        <v>0.69600000000000006</v>
      </c>
      <c r="BJ626" s="14">
        <v>37.700000000000003</v>
      </c>
      <c r="BK626" s="14">
        <v>22.8</v>
      </c>
      <c r="BL626" s="14">
        <v>39.5</v>
      </c>
      <c r="BM626" s="16">
        <f t="shared" si="101"/>
        <v>100</v>
      </c>
      <c r="BN626" s="21">
        <f t="shared" si="102"/>
        <v>2.14</v>
      </c>
      <c r="BO626" s="21">
        <f t="shared" si="103"/>
        <v>1.29</v>
      </c>
      <c r="BP626" s="21">
        <f t="shared" si="104"/>
        <v>2.2400000000000002</v>
      </c>
      <c r="BQ626" s="14">
        <f t="shared" si="105"/>
        <v>5.67</v>
      </c>
      <c r="BR626" s="22" t="str">
        <f>IF(OR(AND(X626="Mourões", BQ626&gt;=6.5),AND(X626="Postes", BQ626&gt;=9.6),AND(X626="Dormentes", BQ626&gt;=9.6),AND(X626="Estacas - Solo", BQ626&gt;=6.5),AND(X626="Estacas - Suspenso", BQ626&gt;=4),AND(X626="Cruzetas", BQ626&gt;=6.5),AND(X626="Outros - Solo", BQ626&gt;=6.5),AND(X626="Outros - Suspenso",BQ626&gt;=4),AND(X626="Deck",BQ626&gt;=4)),'Listas suspensas'!$C$21,'Listas suspensas'!$C$22)</f>
        <v>Os resultados da análise química apresentaram uma retenção do produto de acordo com o padrão mínimo exigido pela norma ABNT NBR 16143</v>
      </c>
    </row>
    <row r="627" spans="2:70" x14ac:dyDescent="0.25">
      <c r="B627" s="8" t="s">
        <v>1724</v>
      </c>
      <c r="C627" s="8" t="s">
        <v>71</v>
      </c>
      <c r="F627" s="11">
        <v>46028</v>
      </c>
      <c r="G627" s="11">
        <v>45668</v>
      </c>
      <c r="H627" s="11">
        <v>46038</v>
      </c>
      <c r="I627" s="8" t="s">
        <v>1741</v>
      </c>
      <c r="J627" s="8" t="s">
        <v>242</v>
      </c>
      <c r="K627" s="8" t="s">
        <v>243</v>
      </c>
      <c r="L627" s="8" t="s">
        <v>15</v>
      </c>
      <c r="M627" s="30" t="s">
        <v>361</v>
      </c>
      <c r="N627" s="8" t="s">
        <v>1165</v>
      </c>
      <c r="O627" s="8" t="s">
        <v>94</v>
      </c>
      <c r="P627" s="28" t="s">
        <v>77</v>
      </c>
      <c r="Q627" s="16" t="s">
        <v>1747</v>
      </c>
      <c r="X627" s="8" t="s">
        <v>994</v>
      </c>
      <c r="Y627" s="34">
        <f>IF(X627='Listas suspensas'!$A$21,'Listas suspensas'!$B$23,IF(X627='Listas suspensas'!$A$22,'Listas suspensas'!$B$23,IF(X627='Listas suspensas'!$A$23,'Listas suspensas'!$B$22,IF(X627='Listas suspensas'!$A$26,'Listas suspensas'!$B$22,IF(X627='Listas suspensas'!$A$32,'Listas suspensas'!$B$22,IF(X627='Listas suspensas'!$A$33,'Listas suspensas'!$B$21,IF(X627='Listas suspensas'!$A$24,'Listas suspensas'!$B$22,IF(X627='Listas suspensas'!$A$25,'Listas suspensas'!$B$21,IF(X627='Listas suspensas'!$A$30,'Listas suspensas'!$B$21,"")))))))))</f>
        <v>4</v>
      </c>
      <c r="Z627" s="8" t="s">
        <v>80</v>
      </c>
      <c r="AA627" s="8">
        <v>3</v>
      </c>
      <c r="AB627" s="8" t="str">
        <f>IF(AA627='Listas suspensas'!$A$2,'Listas suspensas'!$B$2,IF(AA627='Listas suspensas'!$A$3,'Listas suspensas'!$B$3,IF(AA627='Listas suspensas'!$A$4,'Listas suspensas'!$B$4,IF(AA627='Listas suspensas'!$A$5,'Listas suspensas'!$B$5,IF(AA627='Listas suspensas'!$A$6,'Listas suspensas'!$B$6,"")))))</f>
        <v xml:space="preserve"> Parcial e regular</v>
      </c>
      <c r="AC627" s="8" t="str">
        <f>IF(AA627='Listas suspensas'!$A$2,'Listas suspensas'!$C$2,IF(AA627='Listas suspensas'!$A$3,'Listas suspensas'!$C$3,IF(AA627='Listas suspensas'!$A$4,'Listas suspensas'!$C$4,IF(AA627='Listas suspensas'!$A$5,'Listas suspensas'!$C$5,IF(AA627='Listas suspensas'!$A$6,'Listas suspensas'!$C$6,"")))))</f>
        <v>Indica a penetração uniforme, mas não total pela extensão do alburno.</v>
      </c>
      <c r="BD627" s="13">
        <v>0.73099999999999998</v>
      </c>
      <c r="BE627" s="18">
        <f t="shared" si="99"/>
        <v>731</v>
      </c>
      <c r="BF627" s="8">
        <v>0.42299999999999999</v>
      </c>
      <c r="BG627" s="8">
        <v>0.191</v>
      </c>
      <c r="BH627" s="8">
        <v>0.32600000000000001</v>
      </c>
      <c r="BI627" s="13">
        <f t="shared" si="100"/>
        <v>0.94</v>
      </c>
      <c r="BJ627" s="14">
        <v>45</v>
      </c>
      <c r="BK627" s="14">
        <v>20.3</v>
      </c>
      <c r="BL627" s="14">
        <v>34.700000000000003</v>
      </c>
      <c r="BM627" s="16">
        <f t="shared" si="101"/>
        <v>100</v>
      </c>
      <c r="BN627" s="21">
        <f t="shared" si="102"/>
        <v>3.09</v>
      </c>
      <c r="BO627" s="21">
        <f t="shared" si="103"/>
        <v>1.4</v>
      </c>
      <c r="BP627" s="21">
        <f t="shared" si="104"/>
        <v>2.38</v>
      </c>
      <c r="BQ627" s="14">
        <f t="shared" si="105"/>
        <v>6.87</v>
      </c>
      <c r="BR627" s="22" t="str">
        <f>IF(OR(AND(X627="Mourões", BQ627&gt;=6.5),AND(X627="Postes", BQ627&gt;=9.6),AND(X627="Dormentes", BQ627&gt;=9.6),AND(X627="Estacas - Solo", BQ627&gt;=6.5),AND(X627="Estacas - Suspenso", BQ627&gt;=4),AND(X627="Cruzetas", BQ627&gt;=6.5),AND(X627="Outros - Solo", BQ627&gt;=6.5),AND(X627="Outros - Suspenso",BQ627&gt;=4),AND(X627="Deck",BQ627&gt;=4)),'Listas suspensas'!$C$21,'Listas suspensas'!$C$22)</f>
        <v>Os resultados da análise química apresentaram uma retenção do produto de acordo com o padrão mínimo exigido pela norma ABNT NBR 16143</v>
      </c>
    </row>
    <row r="628" spans="2:70" x14ac:dyDescent="0.25">
      <c r="B628" s="8" t="s">
        <v>1725</v>
      </c>
      <c r="C628" s="8" t="s">
        <v>71</v>
      </c>
      <c r="F628" s="11">
        <v>46028</v>
      </c>
      <c r="G628" s="11">
        <v>45668</v>
      </c>
      <c r="H628" s="11">
        <v>46038</v>
      </c>
      <c r="I628" s="8" t="s">
        <v>1741</v>
      </c>
      <c r="J628" s="8" t="s">
        <v>242</v>
      </c>
      <c r="K628" s="8" t="s">
        <v>243</v>
      </c>
      <c r="L628" s="8" t="s">
        <v>15</v>
      </c>
      <c r="M628" s="30" t="s">
        <v>361</v>
      </c>
      <c r="N628" s="8" t="s">
        <v>1165</v>
      </c>
      <c r="O628" s="8" t="s">
        <v>94</v>
      </c>
      <c r="P628" s="28" t="s">
        <v>77</v>
      </c>
      <c r="Q628" s="16" t="s">
        <v>1748</v>
      </c>
      <c r="X628" s="8" t="s">
        <v>994</v>
      </c>
      <c r="Y628" s="34">
        <f>IF(X628='Listas suspensas'!$A$21,'Listas suspensas'!$B$23,IF(X628='Listas suspensas'!$A$22,'Listas suspensas'!$B$23,IF(X628='Listas suspensas'!$A$23,'Listas suspensas'!$B$22,IF(X628='Listas suspensas'!$A$26,'Listas suspensas'!$B$22,IF(X628='Listas suspensas'!$A$32,'Listas suspensas'!$B$22,IF(X628='Listas suspensas'!$A$33,'Listas suspensas'!$B$21,IF(X628='Listas suspensas'!$A$24,'Listas suspensas'!$B$22,IF(X628='Listas suspensas'!$A$25,'Listas suspensas'!$B$21,IF(X628='Listas suspensas'!$A$30,'Listas suspensas'!$B$21,"")))))))))</f>
        <v>4</v>
      </c>
      <c r="Z628" s="8" t="s">
        <v>80</v>
      </c>
      <c r="AA628" s="8">
        <v>3</v>
      </c>
      <c r="AB628" s="8" t="str">
        <f>IF(AA628='Listas suspensas'!$A$2,'Listas suspensas'!$B$2,IF(AA628='Listas suspensas'!$A$3,'Listas suspensas'!$B$3,IF(AA628='Listas suspensas'!$A$4,'Listas suspensas'!$B$4,IF(AA628='Listas suspensas'!$A$5,'Listas suspensas'!$B$5,IF(AA628='Listas suspensas'!$A$6,'Listas suspensas'!$B$6,"")))))</f>
        <v xml:space="preserve"> Parcial e regular</v>
      </c>
      <c r="AC628" s="8" t="str">
        <f>IF(AA628='Listas suspensas'!$A$2,'Listas suspensas'!$C$2,IF(AA628='Listas suspensas'!$A$3,'Listas suspensas'!$C$3,IF(AA628='Listas suspensas'!$A$4,'Listas suspensas'!$C$4,IF(AA628='Listas suspensas'!$A$5,'Listas suspensas'!$C$5,IF(AA628='Listas suspensas'!$A$6,'Listas suspensas'!$C$6,"")))))</f>
        <v>Indica a penetração uniforme, mas não total pela extensão do alburno.</v>
      </c>
      <c r="BD628" s="13">
        <v>0.76500000000000001</v>
      </c>
      <c r="BE628" s="18">
        <f t="shared" si="99"/>
        <v>765</v>
      </c>
      <c r="BF628" s="8">
        <v>0.41199999999999998</v>
      </c>
      <c r="BG628" s="8">
        <v>0.224</v>
      </c>
      <c r="BH628" s="8">
        <v>0.42299999999999999</v>
      </c>
      <c r="BI628" s="13">
        <f t="shared" si="100"/>
        <v>1.0589999999999999</v>
      </c>
      <c r="BJ628" s="14">
        <v>38.9</v>
      </c>
      <c r="BK628" s="14">
        <v>21.2</v>
      </c>
      <c r="BL628" s="14">
        <v>39.9</v>
      </c>
      <c r="BM628" s="16">
        <f t="shared" si="101"/>
        <v>100</v>
      </c>
      <c r="BN628" s="21">
        <f t="shared" si="102"/>
        <v>3.15</v>
      </c>
      <c r="BO628" s="21">
        <f t="shared" si="103"/>
        <v>1.71</v>
      </c>
      <c r="BP628" s="21">
        <f t="shared" si="104"/>
        <v>3.24</v>
      </c>
      <c r="BQ628" s="14">
        <f t="shared" si="105"/>
        <v>8.1</v>
      </c>
      <c r="BR628" s="22" t="str">
        <f>IF(OR(AND(X628="Mourões", BQ628&gt;=6.5),AND(X628="Postes", BQ628&gt;=9.6),AND(X628="Dormentes", BQ628&gt;=9.6),AND(X628="Estacas - Solo", BQ628&gt;=6.5),AND(X628="Estacas - Suspenso", BQ628&gt;=4),AND(X628="Cruzetas", BQ628&gt;=6.5),AND(X628="Outros - Solo", BQ628&gt;=6.5),AND(X628="Outros - Suspenso",BQ628&gt;=4),AND(X628="Deck",BQ628&gt;=4)),'Listas suspensas'!$C$21,'Listas suspensas'!$C$22)</f>
        <v>Os resultados da análise química apresentaram uma retenção do produto de acordo com o padrão mínimo exigido pela norma ABNT NBR 16143</v>
      </c>
    </row>
    <row r="629" spans="2:70" x14ac:dyDescent="0.25">
      <c r="B629" s="8" t="s">
        <v>1751</v>
      </c>
      <c r="C629" s="8" t="s">
        <v>71</v>
      </c>
      <c r="F629" s="11">
        <v>46028</v>
      </c>
      <c r="G629" s="11">
        <v>45668</v>
      </c>
      <c r="H629" s="11">
        <v>46038</v>
      </c>
      <c r="I629" s="8" t="s">
        <v>1741</v>
      </c>
      <c r="J629" s="8" t="s">
        <v>242</v>
      </c>
      <c r="K629" s="8" t="s">
        <v>243</v>
      </c>
      <c r="L629" s="8" t="s">
        <v>15</v>
      </c>
      <c r="M629" s="30" t="s">
        <v>361</v>
      </c>
      <c r="N629" s="8" t="s">
        <v>1165</v>
      </c>
      <c r="O629" s="8" t="s">
        <v>94</v>
      </c>
      <c r="P629" s="28" t="s">
        <v>77</v>
      </c>
      <c r="Q629" s="16" t="s">
        <v>1749</v>
      </c>
      <c r="X629" s="8" t="s">
        <v>994</v>
      </c>
      <c r="Y629" s="34">
        <f>IF(X629='Listas suspensas'!$A$21,'Listas suspensas'!$B$23,IF(X629='Listas suspensas'!$A$22,'Listas suspensas'!$B$23,IF(X629='Listas suspensas'!$A$23,'Listas suspensas'!$B$22,IF(X629='Listas suspensas'!$A$26,'Listas suspensas'!$B$22,IF(X629='Listas suspensas'!$A$32,'Listas suspensas'!$B$22,IF(X629='Listas suspensas'!$A$33,'Listas suspensas'!$B$21,IF(X629='Listas suspensas'!$A$24,'Listas suspensas'!$B$22,IF(X629='Listas suspensas'!$A$25,'Listas suspensas'!$B$21,IF(X629='Listas suspensas'!$A$30,'Listas suspensas'!$B$21,"")))))))))</f>
        <v>4</v>
      </c>
      <c r="Z629" s="8" t="s">
        <v>80</v>
      </c>
      <c r="AA629" s="8">
        <v>4</v>
      </c>
      <c r="AB629" s="8" t="str">
        <f>IF(AA629='Listas suspensas'!$A$2,'Listas suspensas'!$B$2,IF(AA629='Listas suspensas'!$A$3,'Listas suspensas'!$B$3,IF(AA629='Listas suspensas'!$A$4,'Listas suspensas'!$B$4,IF(AA629='Listas suspensas'!$A$5,'Listas suspensas'!$B$5,IF(AA629='Listas suspensas'!$A$6,'Listas suspensas'!$B$6,"")))))</f>
        <v>Parcial e irregular</v>
      </c>
      <c r="AC629" s="8" t="str">
        <f>IF(AA629='Listas suspensas'!$A$2,'Listas suspensas'!$C$2,IF(AA629='Listas suspensas'!$A$3,'Listas suspensas'!$C$3,IF(AA629='Listas suspensas'!$A$4,'Listas suspensas'!$C$4,IF(AA629='Listas suspensas'!$A$5,'Listas suspensas'!$C$5,IF(AA629='Listas suspensas'!$A$6,'Listas suspensas'!$C$6,"")))))</f>
        <v>Indica a penetração desuniforme e não total pela extensão do alburno.</v>
      </c>
      <c r="BD629" s="13">
        <v>0.81899999999999995</v>
      </c>
      <c r="BE629" s="18">
        <f t="shared" si="99"/>
        <v>819</v>
      </c>
      <c r="BF629" s="8">
        <v>0.22900000000000001</v>
      </c>
      <c r="BG629" s="8">
        <v>0.13700000000000001</v>
      </c>
      <c r="BH629" s="8">
        <v>0.28100000000000003</v>
      </c>
      <c r="BI629" s="13">
        <f t="shared" si="100"/>
        <v>0.64700000000000002</v>
      </c>
      <c r="BJ629" s="14">
        <v>35.4</v>
      </c>
      <c r="BK629" s="14">
        <v>21.2</v>
      </c>
      <c r="BL629" s="14">
        <v>43.4</v>
      </c>
      <c r="BM629" s="16">
        <f t="shared" si="101"/>
        <v>100</v>
      </c>
      <c r="BN629" s="21">
        <f t="shared" si="102"/>
        <v>1.88</v>
      </c>
      <c r="BO629" s="21">
        <f t="shared" si="103"/>
        <v>1.1200000000000001</v>
      </c>
      <c r="BP629" s="21">
        <f t="shared" si="104"/>
        <v>2.2999999999999998</v>
      </c>
      <c r="BQ629" s="14">
        <f t="shared" si="105"/>
        <v>5.3</v>
      </c>
      <c r="BR629" s="22" t="str">
        <f>IF(OR(AND(X629="Mourões", BQ629&gt;=6.5),AND(X629="Postes", BQ629&gt;=9.6),AND(X629="Dormentes", BQ629&gt;=9.6),AND(X629="Estacas - Solo", BQ629&gt;=6.5),AND(X629="Estacas - Suspenso", BQ629&gt;=4),AND(X629="Cruzetas", BQ629&gt;=6.5),AND(X629="Outros - Solo", BQ629&gt;=6.5),AND(X629="Outros - Suspenso",BQ629&gt;=4),AND(X629="Deck",BQ629&gt;=4)),'Listas suspensas'!$C$21,'Listas suspensas'!$C$22)</f>
        <v>Os resultados da análise química apresentaram uma retenção do produto de acordo com o padrão mínimo exigido pela norma ABNT NBR 16143</v>
      </c>
    </row>
    <row r="630" spans="2:70" x14ac:dyDescent="0.25">
      <c r="B630" s="8" t="s">
        <v>1752</v>
      </c>
      <c r="C630" s="8" t="s">
        <v>71</v>
      </c>
      <c r="F630" s="11">
        <v>46028</v>
      </c>
      <c r="G630" s="11">
        <v>45668</v>
      </c>
      <c r="H630" s="11">
        <v>46038</v>
      </c>
      <c r="I630" s="8" t="s">
        <v>1741</v>
      </c>
      <c r="J630" s="8" t="s">
        <v>242</v>
      </c>
      <c r="K630" s="8" t="s">
        <v>243</v>
      </c>
      <c r="L630" s="8" t="s">
        <v>15</v>
      </c>
      <c r="M630" s="30" t="s">
        <v>361</v>
      </c>
      <c r="N630" s="8" t="s">
        <v>1165</v>
      </c>
      <c r="O630" s="8" t="s">
        <v>94</v>
      </c>
      <c r="P630" s="28" t="s">
        <v>77</v>
      </c>
      <c r="Q630" s="16" t="s">
        <v>1750</v>
      </c>
      <c r="X630" s="8" t="s">
        <v>994</v>
      </c>
      <c r="Y630" s="34">
        <f>IF(X630='Listas suspensas'!$A$21,'Listas suspensas'!$B$23,IF(X630='Listas suspensas'!$A$22,'Listas suspensas'!$B$23,IF(X630='Listas suspensas'!$A$23,'Listas suspensas'!$B$22,IF(X630='Listas suspensas'!$A$26,'Listas suspensas'!$B$22,IF(X630='Listas suspensas'!$A$32,'Listas suspensas'!$B$22,IF(X630='Listas suspensas'!$A$33,'Listas suspensas'!$B$21,IF(X630='Listas suspensas'!$A$24,'Listas suspensas'!$B$22,IF(X630='Listas suspensas'!$A$25,'Listas suspensas'!$B$21,IF(X630='Listas suspensas'!$A$30,'Listas suspensas'!$B$21,"")))))))))</f>
        <v>4</v>
      </c>
      <c r="Z630" s="8" t="s">
        <v>80</v>
      </c>
      <c r="AA630" s="8">
        <v>3</v>
      </c>
      <c r="AB630" s="8" t="str">
        <f>IF(AA630='Listas suspensas'!$A$2,'Listas suspensas'!$B$2,IF(AA630='Listas suspensas'!$A$3,'Listas suspensas'!$B$3,IF(AA630='Listas suspensas'!$A$4,'Listas suspensas'!$B$4,IF(AA630='Listas suspensas'!$A$5,'Listas suspensas'!$B$5,IF(AA630='Listas suspensas'!$A$6,'Listas suspensas'!$B$6,"")))))</f>
        <v xml:space="preserve"> Parcial e regular</v>
      </c>
      <c r="AC630" s="8" t="str">
        <f>IF(AA630='Listas suspensas'!$A$2,'Listas suspensas'!$C$2,IF(AA630='Listas suspensas'!$A$3,'Listas suspensas'!$C$3,IF(AA630='Listas suspensas'!$A$4,'Listas suspensas'!$C$4,IF(AA630='Listas suspensas'!$A$5,'Listas suspensas'!$C$5,IF(AA630='Listas suspensas'!$A$6,'Listas suspensas'!$C$6,"")))))</f>
        <v>Indica a penetração uniforme, mas não total pela extensão do alburno.</v>
      </c>
      <c r="BD630" s="13">
        <v>0.77900000000000003</v>
      </c>
      <c r="BE630" s="18">
        <f t="shared" si="99"/>
        <v>779</v>
      </c>
      <c r="BF630" s="8">
        <v>0.45600000000000002</v>
      </c>
      <c r="BG630" s="8">
        <v>0.16</v>
      </c>
      <c r="BH630" s="8">
        <v>0.32400000000000001</v>
      </c>
      <c r="BI630" s="13">
        <f t="shared" si="100"/>
        <v>0.94</v>
      </c>
      <c r="BJ630" s="14">
        <v>48.5</v>
      </c>
      <c r="BK630" s="14">
        <v>17</v>
      </c>
      <c r="BL630" s="14">
        <v>34.5</v>
      </c>
      <c r="BM630" s="16">
        <f t="shared" si="101"/>
        <v>100</v>
      </c>
      <c r="BN630" s="21">
        <f t="shared" si="102"/>
        <v>3.55</v>
      </c>
      <c r="BO630" s="21">
        <f t="shared" si="103"/>
        <v>1.25</v>
      </c>
      <c r="BP630" s="21">
        <f t="shared" si="104"/>
        <v>2.52</v>
      </c>
      <c r="BQ630" s="14">
        <f t="shared" si="105"/>
        <v>7.32</v>
      </c>
      <c r="BR630" s="22" t="str">
        <f>IF(OR(AND(X630="Mourões", BQ630&gt;=6.5),AND(X630="Postes", BQ630&gt;=9.6),AND(X630="Dormentes", BQ630&gt;=9.6),AND(X630="Estacas - Solo", BQ630&gt;=6.5),AND(X630="Estacas - Suspenso", BQ630&gt;=4),AND(X630="Cruzetas", BQ630&gt;=6.5),AND(X630="Outros - Solo", BQ630&gt;=6.5),AND(X630="Outros - Suspenso",BQ630&gt;=4),AND(X630="Deck",BQ630&gt;=4)),'Listas suspensas'!$C$21,'Listas suspensas'!$C$22)</f>
        <v>Os resultados da análise química apresentaram uma retenção do produto de acordo com o padrão mínimo exigido pela norma ABNT NBR 16143</v>
      </c>
    </row>
    <row r="631" spans="2:70" x14ac:dyDescent="0.25">
      <c r="B631" s="8" t="s">
        <v>1753</v>
      </c>
      <c r="C631" s="8" t="s">
        <v>71</v>
      </c>
      <c r="F631" s="11">
        <v>46028</v>
      </c>
      <c r="G631" s="11">
        <v>45668</v>
      </c>
      <c r="H631" s="11">
        <v>46038</v>
      </c>
      <c r="I631" s="8" t="s">
        <v>1581</v>
      </c>
      <c r="J631" s="8" t="s">
        <v>188</v>
      </c>
      <c r="K631" s="8" t="s">
        <v>189</v>
      </c>
      <c r="L631" s="8" t="s">
        <v>15</v>
      </c>
      <c r="M631" s="30" t="s">
        <v>190</v>
      </c>
      <c r="N631" s="8" t="s">
        <v>1165</v>
      </c>
      <c r="O631" s="8" t="s">
        <v>94</v>
      </c>
      <c r="P631" s="28" t="s">
        <v>77</v>
      </c>
      <c r="Q631" s="16" t="s">
        <v>1762</v>
      </c>
      <c r="X631" s="8" t="s">
        <v>79</v>
      </c>
      <c r="Y631" s="34">
        <f>IF(X631='Listas suspensas'!$A$21,'Listas suspensas'!$B$23,IF(X631='Listas suspensas'!$A$22,'Listas suspensas'!$B$23,IF(X631='Listas suspensas'!$A$23,'Listas suspensas'!$B$22,IF(X631='Listas suspensas'!$A$26,'Listas suspensas'!$B$22,IF(X631='Listas suspensas'!$A$32,'Listas suspensas'!$B$22,IF(X631='Listas suspensas'!$A$33,'Listas suspensas'!$B$21,IF(X631='Listas suspensas'!$A$24,'Listas suspensas'!$B$22,IF(X631='Listas suspensas'!$A$25,'Listas suspensas'!$B$21,IF(X631='Listas suspensas'!$A$30,'Listas suspensas'!$B$21,"")))))))))</f>
        <v>6.5</v>
      </c>
      <c r="Z631" s="8" t="s">
        <v>80</v>
      </c>
      <c r="AA631" s="8">
        <v>1</v>
      </c>
      <c r="AB631" s="8" t="str">
        <f>IF(AA631='Listas suspensas'!$A$2,'Listas suspensas'!$B$2,IF(AA631='Listas suspensas'!$A$3,'Listas suspensas'!$B$3,IF(AA631='Listas suspensas'!$A$4,'Listas suspensas'!$B$4,IF(AA631='Listas suspensas'!$A$5,'Listas suspensas'!$B$5,IF(AA631='Listas suspensas'!$A$6,'Listas suspensas'!$B$6,"")))))</f>
        <v>Profunda e regular</v>
      </c>
      <c r="AC631" s="8" t="str">
        <f>IF(AA631='Listas suspensas'!$A$2,'Listas suspensas'!$C$2,IF(AA631='Listas suspensas'!$A$3,'Listas suspensas'!$C$3,IF(AA631='Listas suspensas'!$A$4,'Listas suspensas'!$C$4,IF(AA631='Listas suspensas'!$A$5,'Listas suspensas'!$C$5,IF(AA631='Listas suspensas'!$A$6,'Listas suspensas'!$C$6,"")))))</f>
        <v>Indica a penetração profunda e uniforme em toda a extensão do alburno.</v>
      </c>
      <c r="BD631" s="13">
        <v>0.79</v>
      </c>
      <c r="BE631" s="18">
        <f t="shared" si="99"/>
        <v>790</v>
      </c>
      <c r="BF631" s="8">
        <v>0.53800000000000003</v>
      </c>
      <c r="BG631" s="8">
        <v>0.3</v>
      </c>
      <c r="BH631" s="8">
        <v>0.57799999999999996</v>
      </c>
      <c r="BI631" s="13">
        <f t="shared" si="100"/>
        <v>1.4159999999999999</v>
      </c>
      <c r="BJ631" s="14">
        <v>48.5</v>
      </c>
      <c r="BK631" s="14">
        <v>17</v>
      </c>
      <c r="BL631" s="14">
        <v>34.5</v>
      </c>
      <c r="BM631" s="16">
        <f t="shared" si="101"/>
        <v>100</v>
      </c>
      <c r="BN631" s="21">
        <f t="shared" si="102"/>
        <v>4.25</v>
      </c>
      <c r="BO631" s="21">
        <f t="shared" si="103"/>
        <v>2.37</v>
      </c>
      <c r="BP631" s="21">
        <f t="shared" si="104"/>
        <v>4.57</v>
      </c>
      <c r="BQ631" s="14">
        <f t="shared" si="105"/>
        <v>11.19</v>
      </c>
      <c r="BR631" s="22" t="str">
        <f>IF(OR(AND(X631="Mourões", BQ631&gt;=6.5),AND(X631="Postes", BQ631&gt;=9.6),AND(X631="Dormentes", BQ631&gt;=9.6),AND(X631="Estacas - Solo", BQ631&gt;=6.5),AND(X631="Estacas - Suspenso", BQ631&gt;=4),AND(X631="Cruzetas", BQ631&gt;=6.5),AND(X631="Outros - Solo", BQ631&gt;=6.5),AND(X631="Outros - Suspenso",BQ631&gt;=4),AND(X631="Deck",BQ631&gt;=4)),'Listas suspensas'!$C$21,'Listas suspensas'!$C$22)</f>
        <v>Os resultados da análise química apresentaram uma retenção do produto de acordo com o padrão mínimo exigido pela norma ABNT NBR 16143</v>
      </c>
    </row>
    <row r="632" spans="2:70" x14ac:dyDescent="0.25">
      <c r="B632" s="8" t="s">
        <v>1754</v>
      </c>
      <c r="C632" s="8" t="s">
        <v>71</v>
      </c>
      <c r="F632" s="11">
        <v>46028</v>
      </c>
      <c r="G632" s="11">
        <v>45668</v>
      </c>
      <c r="H632" s="11">
        <v>46038</v>
      </c>
      <c r="I632" s="8" t="s">
        <v>1059</v>
      </c>
      <c r="J632" s="8" t="s">
        <v>1060</v>
      </c>
      <c r="K632" s="8" t="s">
        <v>619</v>
      </c>
      <c r="L632" s="8" t="s">
        <v>15</v>
      </c>
      <c r="M632" s="30" t="s">
        <v>1061</v>
      </c>
      <c r="N632" s="8" t="s">
        <v>1165</v>
      </c>
      <c r="O632" s="8" t="s">
        <v>94</v>
      </c>
      <c r="P632" s="28" t="s">
        <v>77</v>
      </c>
      <c r="Q632" s="16" t="s">
        <v>1763</v>
      </c>
      <c r="X632" s="8" t="s">
        <v>98</v>
      </c>
      <c r="Y632" s="34">
        <f>IF(X632='Listas suspensas'!$A$21,'Listas suspensas'!$B$23,IF(X632='Listas suspensas'!$A$22,'Listas suspensas'!$B$23,IF(X632='Listas suspensas'!$A$23,'Listas suspensas'!$B$22,IF(X632='Listas suspensas'!$A$26,'Listas suspensas'!$B$22,IF(X632='Listas suspensas'!$A$32,'Listas suspensas'!$B$22,IF(X632='Listas suspensas'!$A$33,'Listas suspensas'!$B$21,IF(X632='Listas suspensas'!$A$24,'Listas suspensas'!$B$22,IF(X632='Listas suspensas'!$A$25,'Listas suspensas'!$B$21,IF(X632='Listas suspensas'!$A$30,'Listas suspensas'!$B$21,"")))))))))</f>
        <v>9.6</v>
      </c>
      <c r="Z632" s="8" t="s">
        <v>80</v>
      </c>
      <c r="AA632" s="8">
        <v>3</v>
      </c>
      <c r="AB632" s="8" t="str">
        <f>IF(AA632='Listas suspensas'!$A$2,'Listas suspensas'!$B$2,IF(AA632='Listas suspensas'!$A$3,'Listas suspensas'!$B$3,IF(AA632='Listas suspensas'!$A$4,'Listas suspensas'!$B$4,IF(AA632='Listas suspensas'!$A$5,'Listas suspensas'!$B$5,IF(AA632='Listas suspensas'!$A$6,'Listas suspensas'!$B$6,"")))))</f>
        <v xml:space="preserve"> Parcial e regular</v>
      </c>
      <c r="AC632" s="8" t="str">
        <f>IF(AA632='Listas suspensas'!$A$2,'Listas suspensas'!$C$2,IF(AA632='Listas suspensas'!$A$3,'Listas suspensas'!$C$3,IF(AA632='Listas suspensas'!$A$4,'Listas suspensas'!$C$4,IF(AA632='Listas suspensas'!$A$5,'Listas suspensas'!$C$5,IF(AA632='Listas suspensas'!$A$6,'Listas suspensas'!$C$6,"")))))</f>
        <v>Indica a penetração uniforme, mas não total pela extensão do alburno.</v>
      </c>
      <c r="BD632" s="13">
        <v>0.82499999999999996</v>
      </c>
      <c r="BE632" s="18">
        <f t="shared" ref="BE632:BE696" si="106">BD632*1000</f>
        <v>825</v>
      </c>
      <c r="BF632" s="8">
        <v>0.20599999999999999</v>
      </c>
      <c r="BG632" s="8">
        <v>0.08</v>
      </c>
      <c r="BH632" s="8">
        <v>0.13800000000000001</v>
      </c>
      <c r="BI632" s="13">
        <f t="shared" si="100"/>
        <v>0.42399999999999999</v>
      </c>
      <c r="BJ632" s="14">
        <v>48.6</v>
      </c>
      <c r="BK632" s="14">
        <v>18.899999999999999</v>
      </c>
      <c r="BL632" s="14">
        <v>32.5</v>
      </c>
      <c r="BM632" s="16">
        <f t="shared" si="101"/>
        <v>100</v>
      </c>
      <c r="BN632" s="21">
        <f t="shared" si="102"/>
        <v>1.7</v>
      </c>
      <c r="BO632" s="21">
        <f t="shared" si="103"/>
        <v>0.66</v>
      </c>
      <c r="BP632" s="21">
        <f t="shared" si="104"/>
        <v>1.1399999999999999</v>
      </c>
      <c r="BQ632" s="14">
        <f t="shared" si="105"/>
        <v>3.5</v>
      </c>
      <c r="BR632" s="22" t="str">
        <f>IF(OR(AND(X632="Mourões", BQ632&gt;=6.5),AND(X632="Postes", BQ632&gt;=9.6),AND(X632="Dormentes", BQ632&gt;=9.6),AND(X632="Estacas - Solo", BQ632&gt;=6.5),AND(X632="Estacas - Suspenso", BQ632&gt;=4),AND(X632="Cruzetas", BQ632&gt;=6.5),AND(X632="Outros - Solo", BQ632&gt;=6.5),AND(X632="Outros - Suspenso",BQ632&gt;=4),AND(X632="Deck",BQ632&gt;=4)),'Listas suspensas'!$C$21,'Listas suspensas'!$C$22)</f>
        <v>Os resultados da análise química apresentaram uma retenção do produto inferior ao padrão mínimo exigido pela norma ABNT NBR 16143</v>
      </c>
    </row>
    <row r="633" spans="2:70" x14ac:dyDescent="0.25">
      <c r="B633" s="8" t="s">
        <v>1755</v>
      </c>
      <c r="C633" s="8" t="s">
        <v>71</v>
      </c>
      <c r="F633" s="11">
        <v>46028</v>
      </c>
      <c r="G633" s="11">
        <v>45668</v>
      </c>
      <c r="H633" s="11">
        <v>46038</v>
      </c>
      <c r="I633" s="8" t="s">
        <v>1059</v>
      </c>
      <c r="J633" s="8" t="s">
        <v>1060</v>
      </c>
      <c r="K633" s="8" t="s">
        <v>619</v>
      </c>
      <c r="L633" s="8" t="s">
        <v>15</v>
      </c>
      <c r="M633" s="30" t="s">
        <v>1061</v>
      </c>
      <c r="N633" s="8" t="s">
        <v>1165</v>
      </c>
      <c r="O633" s="8" t="s">
        <v>94</v>
      </c>
      <c r="P633" s="28" t="s">
        <v>77</v>
      </c>
      <c r="Q633" s="16" t="s">
        <v>1764</v>
      </c>
      <c r="X633" s="8" t="s">
        <v>98</v>
      </c>
      <c r="Y633" s="34">
        <f>IF(X633='Listas suspensas'!$A$21,'Listas suspensas'!$B$23,IF(X633='Listas suspensas'!$A$22,'Listas suspensas'!$B$23,IF(X633='Listas suspensas'!$A$23,'Listas suspensas'!$B$22,IF(X633='Listas suspensas'!$A$26,'Listas suspensas'!$B$22,IF(X633='Listas suspensas'!$A$32,'Listas suspensas'!$B$22,IF(X633='Listas suspensas'!$A$33,'Listas suspensas'!$B$21,IF(X633='Listas suspensas'!$A$24,'Listas suspensas'!$B$22,IF(X633='Listas suspensas'!$A$25,'Listas suspensas'!$B$21,IF(X633='Listas suspensas'!$A$30,'Listas suspensas'!$B$21,"")))))))))</f>
        <v>9.6</v>
      </c>
      <c r="Z633" s="8" t="s">
        <v>80</v>
      </c>
      <c r="AA633" s="8">
        <v>2</v>
      </c>
      <c r="AB633" s="8" t="str">
        <f>IF(AA633='Listas suspensas'!$A$2,'Listas suspensas'!$B$2,IF(AA633='Listas suspensas'!$A$3,'Listas suspensas'!$B$3,IF(AA633='Listas suspensas'!$A$4,'Listas suspensas'!$B$4,IF(AA633='Listas suspensas'!$A$5,'Listas suspensas'!$B$5,IF(AA633='Listas suspensas'!$A$6,'Listas suspensas'!$B$6,"")))))</f>
        <v>Profunda e irregular</v>
      </c>
      <c r="AC633" s="8" t="str">
        <f>IF(AA633='Listas suspensas'!$A$2,'Listas suspensas'!$C$2,IF(AA633='Listas suspensas'!$A$3,'Listas suspensas'!$C$3,IF(AA633='Listas suspensas'!$A$4,'Listas suspensas'!$C$4,IF(AA633='Listas suspensas'!$A$5,'Listas suspensas'!$C$5,IF(AA633='Listas suspensas'!$A$6,'Listas suspensas'!$C$6,"")))))</f>
        <v>Indica a penetração profunda, mas desuniforme em toda a extensão do alburno.</v>
      </c>
      <c r="BD633" s="13">
        <v>0.75600000000000001</v>
      </c>
      <c r="BE633" s="18">
        <f t="shared" si="106"/>
        <v>756</v>
      </c>
      <c r="BF633" s="8">
        <v>0.40400000000000003</v>
      </c>
      <c r="BG633" s="8">
        <v>0.14799999999999999</v>
      </c>
      <c r="BH633" s="8">
        <v>0.23599999999999999</v>
      </c>
      <c r="BI633" s="13">
        <f t="shared" si="100"/>
        <v>0.78800000000000003</v>
      </c>
      <c r="BJ633" s="14">
        <v>51.3</v>
      </c>
      <c r="BK633" s="14">
        <v>18.7</v>
      </c>
      <c r="BL633" s="14">
        <v>30</v>
      </c>
      <c r="BM633" s="16">
        <f t="shared" si="101"/>
        <v>100</v>
      </c>
      <c r="BN633" s="21">
        <f t="shared" si="102"/>
        <v>3.05</v>
      </c>
      <c r="BO633" s="21">
        <f t="shared" si="103"/>
        <v>1.1200000000000001</v>
      </c>
      <c r="BP633" s="21">
        <f t="shared" si="104"/>
        <v>1.78</v>
      </c>
      <c r="BQ633" s="14">
        <f t="shared" si="105"/>
        <v>5.95</v>
      </c>
      <c r="BR633" s="22" t="str">
        <f>IF(OR(AND(X633="Mourões", BQ633&gt;=6.5),AND(X633="Postes", BQ633&gt;=9.6),AND(X633="Dormentes", BQ633&gt;=9.6),AND(X633="Estacas - Solo", BQ633&gt;=6.5),AND(X633="Estacas - Suspenso", BQ633&gt;=4),AND(X633="Cruzetas", BQ633&gt;=6.5),AND(X633="Outros - Solo", BQ633&gt;=6.5),AND(X633="Outros - Suspenso",BQ633&gt;=4),AND(X633="Deck",BQ633&gt;=4)),'Listas suspensas'!$C$21,'Listas suspensas'!$C$22)</f>
        <v>Os resultados da análise química apresentaram uma retenção do produto inferior ao padrão mínimo exigido pela norma ABNT NBR 16143</v>
      </c>
    </row>
    <row r="634" spans="2:70" x14ac:dyDescent="0.25">
      <c r="B634" s="8" t="s">
        <v>1756</v>
      </c>
      <c r="C634" s="8" t="s">
        <v>71</v>
      </c>
      <c r="F634" s="11">
        <v>46035</v>
      </c>
      <c r="G634" s="11">
        <v>46036</v>
      </c>
      <c r="H634" s="11">
        <v>46038</v>
      </c>
      <c r="I634" s="8" t="s">
        <v>1741</v>
      </c>
      <c r="J634" s="8" t="s">
        <v>242</v>
      </c>
      <c r="K634" s="8" t="s">
        <v>243</v>
      </c>
      <c r="L634" s="8" t="s">
        <v>15</v>
      </c>
      <c r="M634" s="30" t="s">
        <v>361</v>
      </c>
      <c r="N634" s="8" t="s">
        <v>1165</v>
      </c>
      <c r="O634" s="8" t="s">
        <v>94</v>
      </c>
      <c r="P634" s="28" t="s">
        <v>77</v>
      </c>
      <c r="Q634" s="16" t="s">
        <v>1768</v>
      </c>
      <c r="X634" s="8" t="s">
        <v>994</v>
      </c>
      <c r="Y634" s="34">
        <f>IF(X634='Listas suspensas'!$A$21,'Listas suspensas'!$B$23,IF(X634='Listas suspensas'!$A$22,'Listas suspensas'!$B$23,IF(X634='Listas suspensas'!$A$23,'Listas suspensas'!$B$22,IF(X634='Listas suspensas'!$A$26,'Listas suspensas'!$B$22,IF(X634='Listas suspensas'!$A$32,'Listas suspensas'!$B$22,IF(X634='Listas suspensas'!$A$33,'Listas suspensas'!$B$21,IF(X634='Listas suspensas'!$A$24,'Listas suspensas'!$B$22,IF(X634='Listas suspensas'!$A$25,'Listas suspensas'!$B$21,IF(X634='Listas suspensas'!$A$30,'Listas suspensas'!$B$21,"")))))))))</f>
        <v>4</v>
      </c>
      <c r="Z634" s="8" t="s">
        <v>80</v>
      </c>
      <c r="AA634" s="8">
        <v>2</v>
      </c>
      <c r="AB634" s="8" t="str">
        <f>IF(AA634='Listas suspensas'!$A$2,'Listas suspensas'!$B$2,IF(AA634='Listas suspensas'!$A$3,'Listas suspensas'!$B$3,IF(AA634='Listas suspensas'!$A$4,'Listas suspensas'!$B$4,IF(AA634='Listas suspensas'!$A$5,'Listas suspensas'!$B$5,IF(AA634='Listas suspensas'!$A$6,'Listas suspensas'!$B$6,"")))))</f>
        <v>Profunda e irregular</v>
      </c>
      <c r="AC634" s="8" t="str">
        <f>IF(AA634='Listas suspensas'!$A$2,'Listas suspensas'!$C$2,IF(AA634='Listas suspensas'!$A$3,'Listas suspensas'!$C$3,IF(AA634='Listas suspensas'!$A$4,'Listas suspensas'!$C$4,IF(AA634='Listas suspensas'!$A$5,'Listas suspensas'!$C$5,IF(AA634='Listas suspensas'!$A$6,'Listas suspensas'!$C$6,"")))))</f>
        <v>Indica a penetração profunda, mas desuniforme em toda a extensão do alburno.</v>
      </c>
      <c r="BD634" s="13">
        <v>0.88700000000000001</v>
      </c>
      <c r="BE634" s="18">
        <f t="shared" si="106"/>
        <v>887</v>
      </c>
      <c r="BF634" s="8">
        <v>0.21199999999999999</v>
      </c>
      <c r="BG634" s="8">
        <v>0.111</v>
      </c>
      <c r="BH634" s="8">
        <v>0.219</v>
      </c>
      <c r="BI634" s="13">
        <f t="shared" si="100"/>
        <v>0.54200000000000004</v>
      </c>
      <c r="BJ634" s="14">
        <v>39.1</v>
      </c>
      <c r="BK634" s="14">
        <v>20.5</v>
      </c>
      <c r="BL634" s="14">
        <v>40.4</v>
      </c>
      <c r="BM634" s="16">
        <f t="shared" si="101"/>
        <v>100</v>
      </c>
      <c r="BN634" s="21">
        <f t="shared" si="102"/>
        <v>1.88</v>
      </c>
      <c r="BO634" s="21">
        <f t="shared" si="103"/>
        <v>0.98</v>
      </c>
      <c r="BP634" s="21">
        <f t="shared" si="104"/>
        <v>1.94</v>
      </c>
      <c r="BQ634" s="14">
        <f t="shared" si="105"/>
        <v>4.8</v>
      </c>
      <c r="BR634" s="22" t="str">
        <f>IF(OR(AND(X634="Mourões", BQ634&gt;=6.5),AND(X634="Postes", BQ634&gt;=9.6),AND(X634="Dormentes", BQ634&gt;=9.6),AND(X634="Estacas - Solo", BQ634&gt;=6.5),AND(X634="Estacas - Suspenso", BQ634&gt;=4),AND(X634="Cruzetas", BQ634&gt;=6.5),AND(X634="Outros - Solo", BQ634&gt;=6.5),AND(X634="Outros - Suspenso",BQ634&gt;=4),AND(X634="Deck",BQ634&gt;=4)),'Listas suspensas'!$C$21,'Listas suspensas'!$C$22)</f>
        <v>Os resultados da análise química apresentaram uma retenção do produto de acordo com o padrão mínimo exigido pela norma ABNT NBR 16143</v>
      </c>
    </row>
    <row r="635" spans="2:70" x14ac:dyDescent="0.25">
      <c r="B635" s="8" t="s">
        <v>1757</v>
      </c>
      <c r="C635" s="8" t="s">
        <v>71</v>
      </c>
      <c r="F635" s="11">
        <v>46035</v>
      </c>
      <c r="G635" s="11">
        <v>46036</v>
      </c>
      <c r="H635" s="11">
        <v>46038</v>
      </c>
      <c r="I635" s="8" t="s">
        <v>1741</v>
      </c>
      <c r="J635" s="8" t="s">
        <v>242</v>
      </c>
      <c r="K635" s="8" t="s">
        <v>243</v>
      </c>
      <c r="L635" s="8" t="s">
        <v>15</v>
      </c>
      <c r="M635" s="30" t="s">
        <v>361</v>
      </c>
      <c r="N635" s="8" t="s">
        <v>1165</v>
      </c>
      <c r="O635" s="8" t="s">
        <v>94</v>
      </c>
      <c r="P635" s="28" t="s">
        <v>77</v>
      </c>
      <c r="Q635" s="16" t="s">
        <v>1767</v>
      </c>
      <c r="X635" s="8" t="s">
        <v>994</v>
      </c>
      <c r="Y635" s="34">
        <f>IF(X635='Listas suspensas'!$A$21,'Listas suspensas'!$B$23,IF(X635='Listas suspensas'!$A$22,'Listas suspensas'!$B$23,IF(X635='Listas suspensas'!$A$23,'Listas suspensas'!$B$22,IF(X635='Listas suspensas'!$A$26,'Listas suspensas'!$B$22,IF(X635='Listas suspensas'!$A$32,'Listas suspensas'!$B$22,IF(X635='Listas suspensas'!$A$33,'Listas suspensas'!$B$21,IF(X635='Listas suspensas'!$A$24,'Listas suspensas'!$B$22,IF(X635='Listas suspensas'!$A$25,'Listas suspensas'!$B$21,IF(X635='Listas suspensas'!$A$30,'Listas suspensas'!$B$21,"")))))))))</f>
        <v>4</v>
      </c>
      <c r="Z635" s="8" t="s">
        <v>80</v>
      </c>
      <c r="AA635" s="8">
        <v>3</v>
      </c>
      <c r="AB635" s="8" t="str">
        <f>IF(AA635='Listas suspensas'!$A$2,'Listas suspensas'!$B$2,IF(AA635='Listas suspensas'!$A$3,'Listas suspensas'!$B$3,IF(AA635='Listas suspensas'!$A$4,'Listas suspensas'!$B$4,IF(AA635='Listas suspensas'!$A$5,'Listas suspensas'!$B$5,IF(AA635='Listas suspensas'!$A$6,'Listas suspensas'!$B$6,"")))))</f>
        <v xml:space="preserve"> Parcial e regular</v>
      </c>
      <c r="AC635" s="8" t="str">
        <f>IF(AA635='Listas suspensas'!$A$2,'Listas suspensas'!$C$2,IF(AA635='Listas suspensas'!$A$3,'Listas suspensas'!$C$3,IF(AA635='Listas suspensas'!$A$4,'Listas suspensas'!$C$4,IF(AA635='Listas suspensas'!$A$5,'Listas suspensas'!$C$5,IF(AA635='Listas suspensas'!$A$6,'Listas suspensas'!$C$6,"")))))</f>
        <v>Indica a penetração uniforme, mas não total pela extensão do alburno.</v>
      </c>
      <c r="BD635" s="13">
        <v>0.86499999999999999</v>
      </c>
      <c r="BE635" s="18">
        <f t="shared" si="106"/>
        <v>865</v>
      </c>
      <c r="BF635" s="8">
        <v>0.29899999999999999</v>
      </c>
      <c r="BG635" s="8">
        <v>0.16300000000000001</v>
      </c>
      <c r="BH635" s="8">
        <v>0.36099999999999999</v>
      </c>
      <c r="BI635" s="13">
        <f t="shared" si="100"/>
        <v>0.82299999999999995</v>
      </c>
      <c r="BJ635" s="14">
        <v>36.299999999999997</v>
      </c>
      <c r="BK635" s="14">
        <v>19.8</v>
      </c>
      <c r="BL635" s="14">
        <v>43.9</v>
      </c>
      <c r="BM635" s="16">
        <f t="shared" si="101"/>
        <v>100</v>
      </c>
      <c r="BN635" s="21">
        <f t="shared" si="102"/>
        <v>2.59</v>
      </c>
      <c r="BO635" s="21">
        <f t="shared" si="103"/>
        <v>1.41</v>
      </c>
      <c r="BP635" s="21">
        <f t="shared" si="104"/>
        <v>3.12</v>
      </c>
      <c r="BQ635" s="14">
        <f t="shared" si="105"/>
        <v>7.12</v>
      </c>
      <c r="BR635" s="22" t="str">
        <f>IF(OR(AND(X635="Mourões", BQ635&gt;=6.5),AND(X635="Postes", BQ635&gt;=9.6),AND(X635="Dormentes", BQ635&gt;=9.6),AND(X635="Estacas - Solo", BQ635&gt;=6.5),AND(X635="Estacas - Suspenso", BQ635&gt;=4),AND(X635="Cruzetas", BQ635&gt;=6.5),AND(X635="Outros - Solo", BQ635&gt;=6.5),AND(X635="Outros - Suspenso",BQ635&gt;=4),AND(X635="Deck",BQ635&gt;=4)),'Listas suspensas'!$C$21,'Listas suspensas'!$C$22)</f>
        <v>Os resultados da análise química apresentaram uma retenção do produto de acordo com o padrão mínimo exigido pela norma ABNT NBR 16143</v>
      </c>
    </row>
    <row r="636" spans="2:70" x14ac:dyDescent="0.25">
      <c r="B636" s="8" t="s">
        <v>1758</v>
      </c>
      <c r="C636" s="8" t="s">
        <v>71</v>
      </c>
      <c r="F636" s="11">
        <v>46035</v>
      </c>
      <c r="G636" s="11">
        <v>46036</v>
      </c>
      <c r="H636" s="11">
        <v>46038</v>
      </c>
      <c r="I636" s="8" t="s">
        <v>1741</v>
      </c>
      <c r="J636" s="8" t="s">
        <v>242</v>
      </c>
      <c r="K636" s="8" t="s">
        <v>243</v>
      </c>
      <c r="L636" s="8" t="s">
        <v>15</v>
      </c>
      <c r="M636" s="30" t="s">
        <v>361</v>
      </c>
      <c r="N636" s="8" t="s">
        <v>1165</v>
      </c>
      <c r="O636" s="8" t="s">
        <v>94</v>
      </c>
      <c r="P636" s="28" t="s">
        <v>77</v>
      </c>
      <c r="Q636" s="16" t="s">
        <v>1766</v>
      </c>
      <c r="X636" s="8" t="s">
        <v>994</v>
      </c>
      <c r="Y636" s="34">
        <f>IF(X636='Listas suspensas'!$A$21,'Listas suspensas'!$B$23,IF(X636='Listas suspensas'!$A$22,'Listas suspensas'!$B$23,IF(X636='Listas suspensas'!$A$23,'Listas suspensas'!$B$22,IF(X636='Listas suspensas'!$A$26,'Listas suspensas'!$B$22,IF(X636='Listas suspensas'!$A$32,'Listas suspensas'!$B$22,IF(X636='Listas suspensas'!$A$33,'Listas suspensas'!$B$21,IF(X636='Listas suspensas'!$A$24,'Listas suspensas'!$B$22,IF(X636='Listas suspensas'!$A$25,'Listas suspensas'!$B$21,IF(X636='Listas suspensas'!$A$30,'Listas suspensas'!$B$21,"")))))))))</f>
        <v>4</v>
      </c>
      <c r="Z636" s="8" t="s">
        <v>80</v>
      </c>
      <c r="AA636" s="8">
        <v>2</v>
      </c>
      <c r="AB636" s="8" t="str">
        <f>IF(AA636='Listas suspensas'!$A$2,'Listas suspensas'!$B$2,IF(AA636='Listas suspensas'!$A$3,'Listas suspensas'!$B$3,IF(AA636='Listas suspensas'!$A$4,'Listas suspensas'!$B$4,IF(AA636='Listas suspensas'!$A$5,'Listas suspensas'!$B$5,IF(AA636='Listas suspensas'!$A$6,'Listas suspensas'!$B$6,"")))))</f>
        <v>Profunda e irregular</v>
      </c>
      <c r="AC636" s="8" t="str">
        <f>IF(AA636='Listas suspensas'!$A$2,'Listas suspensas'!$C$2,IF(AA636='Listas suspensas'!$A$3,'Listas suspensas'!$C$3,IF(AA636='Listas suspensas'!$A$4,'Listas suspensas'!$C$4,IF(AA636='Listas suspensas'!$A$5,'Listas suspensas'!$C$5,IF(AA636='Listas suspensas'!$A$6,'Listas suspensas'!$C$6,"")))))</f>
        <v>Indica a penetração profunda, mas desuniforme em toda a extensão do alburno.</v>
      </c>
      <c r="BD636" s="13">
        <v>0.94199999999999995</v>
      </c>
      <c r="BE636" s="18">
        <f t="shared" si="106"/>
        <v>942</v>
      </c>
      <c r="BF636" s="8">
        <v>0.14699999999999999</v>
      </c>
      <c r="BG636" s="8">
        <v>8.6999999999999994E-2</v>
      </c>
      <c r="BH636" s="8">
        <v>0.218</v>
      </c>
      <c r="BI636" s="13">
        <f t="shared" si="100"/>
        <v>0.45199999999999996</v>
      </c>
      <c r="BJ636" s="14">
        <v>32.5</v>
      </c>
      <c r="BK636" s="14">
        <v>19.2</v>
      </c>
      <c r="BL636" s="14">
        <v>48.3</v>
      </c>
      <c r="BM636" s="16">
        <f t="shared" si="101"/>
        <v>100</v>
      </c>
      <c r="BN636" s="21">
        <f t="shared" si="102"/>
        <v>1.38</v>
      </c>
      <c r="BO636" s="21">
        <f t="shared" si="103"/>
        <v>0.82</v>
      </c>
      <c r="BP636" s="21">
        <f t="shared" si="104"/>
        <v>2.0499999999999998</v>
      </c>
      <c r="BQ636" s="14">
        <f t="shared" si="105"/>
        <v>4.25</v>
      </c>
      <c r="BR636" s="22" t="str">
        <f>IF(OR(AND(X636="Mourões", BQ636&gt;=6.5),AND(X636="Postes", BQ636&gt;=9.6),AND(X636="Dormentes", BQ636&gt;=9.6),AND(X636="Estacas - Solo", BQ636&gt;=6.5),AND(X636="Estacas - Suspenso", BQ636&gt;=4),AND(X636="Cruzetas", BQ636&gt;=6.5),AND(X636="Outros - Solo", BQ636&gt;=6.5),AND(X636="Outros - Suspenso",BQ636&gt;=4),AND(X636="Deck",BQ636&gt;=4)),'Listas suspensas'!$C$21,'Listas suspensas'!$C$22)</f>
        <v>Os resultados da análise química apresentaram uma retenção do produto de acordo com o padrão mínimo exigido pela norma ABNT NBR 16143</v>
      </c>
    </row>
    <row r="637" spans="2:70" x14ac:dyDescent="0.25">
      <c r="B637" s="8" t="s">
        <v>1759</v>
      </c>
      <c r="C637" s="8" t="s">
        <v>71</v>
      </c>
      <c r="F637" s="11">
        <v>46035</v>
      </c>
      <c r="G637" s="11">
        <v>46036</v>
      </c>
      <c r="H637" s="11">
        <v>46038</v>
      </c>
      <c r="I637" s="8" t="s">
        <v>1741</v>
      </c>
      <c r="J637" s="8" t="s">
        <v>242</v>
      </c>
      <c r="K637" s="8" t="s">
        <v>243</v>
      </c>
      <c r="L637" s="8" t="s">
        <v>15</v>
      </c>
      <c r="M637" s="30" t="s">
        <v>361</v>
      </c>
      <c r="N637" s="8" t="s">
        <v>1165</v>
      </c>
      <c r="O637" s="8" t="s">
        <v>94</v>
      </c>
      <c r="P637" s="28" t="s">
        <v>77</v>
      </c>
      <c r="Q637" s="16" t="s">
        <v>1769</v>
      </c>
      <c r="X637" s="8" t="s">
        <v>994</v>
      </c>
      <c r="Y637" s="34">
        <f>IF(X637='Listas suspensas'!$A$21,'Listas suspensas'!$B$23,IF(X637='Listas suspensas'!$A$22,'Listas suspensas'!$B$23,IF(X637='Listas suspensas'!$A$23,'Listas suspensas'!$B$22,IF(X637='Listas suspensas'!$A$26,'Listas suspensas'!$B$22,IF(X637='Listas suspensas'!$A$32,'Listas suspensas'!$B$22,IF(X637='Listas suspensas'!$A$33,'Listas suspensas'!$B$21,IF(X637='Listas suspensas'!$A$24,'Listas suspensas'!$B$22,IF(X637='Listas suspensas'!$A$25,'Listas suspensas'!$B$21,IF(X637='Listas suspensas'!$A$30,'Listas suspensas'!$B$21,"")))))))))</f>
        <v>4</v>
      </c>
      <c r="Z637" s="8" t="s">
        <v>80</v>
      </c>
      <c r="AA637" s="8">
        <v>3</v>
      </c>
      <c r="AB637" s="8" t="str">
        <f>IF(AA637='Listas suspensas'!$A$2,'Listas suspensas'!$B$2,IF(AA637='Listas suspensas'!$A$3,'Listas suspensas'!$B$3,IF(AA637='Listas suspensas'!$A$4,'Listas suspensas'!$B$4,IF(AA637='Listas suspensas'!$A$5,'Listas suspensas'!$B$5,IF(AA637='Listas suspensas'!$A$6,'Listas suspensas'!$B$6,"")))))</f>
        <v xml:space="preserve"> Parcial e regular</v>
      </c>
      <c r="AC637" s="8" t="str">
        <f>IF(AA637='Listas suspensas'!$A$2,'Listas suspensas'!$C$2,IF(AA637='Listas suspensas'!$A$3,'Listas suspensas'!$C$3,IF(AA637='Listas suspensas'!$A$4,'Listas suspensas'!$C$4,IF(AA637='Listas suspensas'!$A$5,'Listas suspensas'!$C$5,IF(AA637='Listas suspensas'!$A$6,'Listas suspensas'!$C$6,"")))))</f>
        <v>Indica a penetração uniforme, mas não total pela extensão do alburno.</v>
      </c>
      <c r="BD637" s="13">
        <v>0.85399999999999998</v>
      </c>
      <c r="BE637" s="18">
        <f t="shared" si="106"/>
        <v>854</v>
      </c>
      <c r="BF637" s="8">
        <v>0.26600000000000001</v>
      </c>
      <c r="BG637" s="8">
        <v>0.13900000000000001</v>
      </c>
      <c r="BH637" s="8">
        <v>0.311</v>
      </c>
      <c r="BI637" s="13">
        <f t="shared" si="100"/>
        <v>0.71599999999999997</v>
      </c>
      <c r="BJ637" s="14">
        <v>37.1</v>
      </c>
      <c r="BK637" s="14">
        <v>19.5</v>
      </c>
      <c r="BL637" s="14">
        <v>43.4</v>
      </c>
      <c r="BM637" s="16">
        <f t="shared" si="101"/>
        <v>100</v>
      </c>
      <c r="BN637" s="21">
        <f t="shared" si="102"/>
        <v>2.27</v>
      </c>
      <c r="BO637" s="21">
        <f t="shared" si="103"/>
        <v>1.19</v>
      </c>
      <c r="BP637" s="21">
        <f t="shared" si="104"/>
        <v>2.66</v>
      </c>
      <c r="BQ637" s="14">
        <f t="shared" si="105"/>
        <v>6.12</v>
      </c>
      <c r="BR637" s="22" t="str">
        <f>IF(OR(AND(X637="Mourões", BQ637&gt;=6.5),AND(X637="Postes", BQ637&gt;=9.6),AND(X637="Dormentes", BQ637&gt;=9.6),AND(X637="Estacas - Solo", BQ637&gt;=6.5),AND(X637="Estacas - Suspenso", BQ637&gt;=4),AND(X637="Cruzetas", BQ637&gt;=6.5),AND(X637="Outros - Solo", BQ637&gt;=6.5),AND(X637="Outros - Suspenso",BQ637&gt;=4),AND(X637="Deck",BQ637&gt;=4)),'Listas suspensas'!$C$21,'Listas suspensas'!$C$22)</f>
        <v>Os resultados da análise química apresentaram uma retenção do produto de acordo com o padrão mínimo exigido pela norma ABNT NBR 16143</v>
      </c>
    </row>
    <row r="638" spans="2:70" x14ac:dyDescent="0.25">
      <c r="B638" s="8" t="s">
        <v>1760</v>
      </c>
      <c r="C638" s="8" t="s">
        <v>71</v>
      </c>
      <c r="F638" s="11">
        <v>46035</v>
      </c>
      <c r="G638" s="11">
        <v>46036</v>
      </c>
      <c r="H638" s="11">
        <v>46038</v>
      </c>
      <c r="I638" s="8" t="s">
        <v>1741</v>
      </c>
      <c r="J638" s="8" t="s">
        <v>242</v>
      </c>
      <c r="K638" s="8" t="s">
        <v>243</v>
      </c>
      <c r="L638" s="8" t="s">
        <v>15</v>
      </c>
      <c r="M638" s="30" t="s">
        <v>361</v>
      </c>
      <c r="N638" s="8" t="s">
        <v>1165</v>
      </c>
      <c r="O638" s="8" t="s">
        <v>94</v>
      </c>
      <c r="P638" s="28" t="s">
        <v>77</v>
      </c>
      <c r="Q638" s="16" t="s">
        <v>1770</v>
      </c>
      <c r="X638" s="8" t="s">
        <v>994</v>
      </c>
      <c r="Y638" s="34">
        <f>IF(X638='Listas suspensas'!$A$21,'Listas suspensas'!$B$23,IF(X638='Listas suspensas'!$A$22,'Listas suspensas'!$B$23,IF(X638='Listas suspensas'!$A$23,'Listas suspensas'!$B$22,IF(X638='Listas suspensas'!$A$26,'Listas suspensas'!$B$22,IF(X638='Listas suspensas'!$A$32,'Listas suspensas'!$B$22,IF(X638='Listas suspensas'!$A$33,'Listas suspensas'!$B$21,IF(X638='Listas suspensas'!$A$24,'Listas suspensas'!$B$22,IF(X638='Listas suspensas'!$A$25,'Listas suspensas'!$B$21,IF(X638='Listas suspensas'!$A$30,'Listas suspensas'!$B$21,"")))))))))</f>
        <v>4</v>
      </c>
      <c r="Z638" s="8" t="s">
        <v>80</v>
      </c>
      <c r="AA638" s="8">
        <v>4</v>
      </c>
      <c r="AB638" s="8" t="str">
        <f>IF(AA638='Listas suspensas'!$A$2,'Listas suspensas'!$B$2,IF(AA638='Listas suspensas'!$A$3,'Listas suspensas'!$B$3,IF(AA638='Listas suspensas'!$A$4,'Listas suspensas'!$B$4,IF(AA638='Listas suspensas'!$A$5,'Listas suspensas'!$B$5,IF(AA638='Listas suspensas'!$A$6,'Listas suspensas'!$B$6,"")))))</f>
        <v>Parcial e irregular</v>
      </c>
      <c r="AC638" s="8" t="str">
        <f>IF(AA638='Listas suspensas'!$A$2,'Listas suspensas'!$C$2,IF(AA638='Listas suspensas'!$A$3,'Listas suspensas'!$C$3,IF(AA638='Listas suspensas'!$A$4,'Listas suspensas'!$C$4,IF(AA638='Listas suspensas'!$A$5,'Listas suspensas'!$C$5,IF(AA638='Listas suspensas'!$A$6,'Listas suspensas'!$C$6,"")))))</f>
        <v>Indica a penetração desuniforme e não total pela extensão do alburno.</v>
      </c>
      <c r="BD638" s="13">
        <v>0.85899999999999999</v>
      </c>
      <c r="BE638" s="18">
        <f t="shared" si="106"/>
        <v>859</v>
      </c>
      <c r="BF638" s="8">
        <v>0.36499999999999999</v>
      </c>
      <c r="BG638" s="8">
        <v>0.18</v>
      </c>
      <c r="BH638" s="8">
        <v>0.34699999999999998</v>
      </c>
      <c r="BI638" s="13">
        <f t="shared" si="100"/>
        <v>0.8919999999999999</v>
      </c>
      <c r="BJ638" s="14">
        <v>40.9</v>
      </c>
      <c r="BK638" s="14">
        <v>20.2</v>
      </c>
      <c r="BL638" s="14">
        <v>38.9</v>
      </c>
      <c r="BM638" s="16">
        <f t="shared" si="101"/>
        <v>100</v>
      </c>
      <c r="BN638" s="21">
        <f t="shared" si="102"/>
        <v>3.14</v>
      </c>
      <c r="BO638" s="21">
        <f t="shared" si="103"/>
        <v>1.55</v>
      </c>
      <c r="BP638" s="21">
        <f t="shared" si="104"/>
        <v>2.98</v>
      </c>
      <c r="BQ638" s="14">
        <f t="shared" si="105"/>
        <v>7.67</v>
      </c>
      <c r="BR638" s="22" t="str">
        <f>IF(OR(AND(X638="Mourões", BQ638&gt;=6.5),AND(X638="Postes", BQ638&gt;=9.6),AND(X638="Dormentes", BQ638&gt;=9.6),AND(X638="Estacas - Solo", BQ638&gt;=6.5),AND(X638="Estacas - Suspenso", BQ638&gt;=4),AND(X638="Cruzetas", BQ638&gt;=6.5),AND(X638="Outros - Solo", BQ638&gt;=6.5),AND(X638="Outros - Suspenso",BQ638&gt;=4),AND(X638="Deck",BQ638&gt;=4)),'Listas suspensas'!$C$21,'Listas suspensas'!$C$22)</f>
        <v>Os resultados da análise química apresentaram uma retenção do produto de acordo com o padrão mínimo exigido pela norma ABNT NBR 16143</v>
      </c>
    </row>
    <row r="639" spans="2:70" x14ac:dyDescent="0.25">
      <c r="B639" s="8" t="s">
        <v>1761</v>
      </c>
      <c r="C639" s="8" t="s">
        <v>71</v>
      </c>
      <c r="F639" s="11">
        <v>46035</v>
      </c>
      <c r="G639" s="11">
        <v>46036</v>
      </c>
      <c r="H639" s="11">
        <v>46038</v>
      </c>
      <c r="I639" s="8" t="s">
        <v>1741</v>
      </c>
      <c r="J639" s="8" t="s">
        <v>242</v>
      </c>
      <c r="K639" s="8" t="s">
        <v>243</v>
      </c>
      <c r="L639" s="8" t="s">
        <v>15</v>
      </c>
      <c r="M639" s="30" t="s">
        <v>361</v>
      </c>
      <c r="N639" s="8" t="s">
        <v>1165</v>
      </c>
      <c r="O639" s="8" t="s">
        <v>94</v>
      </c>
      <c r="P639" s="28" t="s">
        <v>77</v>
      </c>
      <c r="Q639" s="16" t="s">
        <v>1771</v>
      </c>
      <c r="X639" s="8" t="s">
        <v>994</v>
      </c>
      <c r="Y639" s="34">
        <f>IF(X639='Listas suspensas'!$A$21,'Listas suspensas'!$B$23,IF(X639='Listas suspensas'!$A$22,'Listas suspensas'!$B$23,IF(X639='Listas suspensas'!$A$23,'Listas suspensas'!$B$22,IF(X639='Listas suspensas'!$A$26,'Listas suspensas'!$B$22,IF(X639='Listas suspensas'!$A$32,'Listas suspensas'!$B$22,IF(X639='Listas suspensas'!$A$33,'Listas suspensas'!$B$21,IF(X639='Listas suspensas'!$A$24,'Listas suspensas'!$B$22,IF(X639='Listas suspensas'!$A$25,'Listas suspensas'!$B$21,IF(X639='Listas suspensas'!$A$30,'Listas suspensas'!$B$21,"")))))))))</f>
        <v>4</v>
      </c>
      <c r="Z639" s="8" t="s">
        <v>80</v>
      </c>
      <c r="AA639" s="8">
        <v>3</v>
      </c>
      <c r="AB639" s="8" t="str">
        <f>IF(AA639='Listas suspensas'!$A$2,'Listas suspensas'!$B$2,IF(AA639='Listas suspensas'!$A$3,'Listas suspensas'!$B$3,IF(AA639='Listas suspensas'!$A$4,'Listas suspensas'!$B$4,IF(AA639='Listas suspensas'!$A$5,'Listas suspensas'!$B$5,IF(AA639='Listas suspensas'!$A$6,'Listas suspensas'!$B$6,"")))))</f>
        <v xml:space="preserve"> Parcial e regular</v>
      </c>
      <c r="AC639" s="8" t="str">
        <f>IF(AA639='Listas suspensas'!$A$2,'Listas suspensas'!$C$2,IF(AA639='Listas suspensas'!$A$3,'Listas suspensas'!$C$3,IF(AA639='Listas suspensas'!$A$4,'Listas suspensas'!$C$4,IF(AA639='Listas suspensas'!$A$5,'Listas suspensas'!$C$5,IF(AA639='Listas suspensas'!$A$6,'Listas suspensas'!$C$6,"")))))</f>
        <v>Indica a penetração uniforme, mas não total pela extensão do alburno.</v>
      </c>
      <c r="BD639" s="13">
        <v>0.86299999999999999</v>
      </c>
      <c r="BE639" s="18">
        <f t="shared" si="106"/>
        <v>863</v>
      </c>
      <c r="BF639" s="8">
        <v>0.32600000000000001</v>
      </c>
      <c r="BG639" s="8">
        <v>0.12</v>
      </c>
      <c r="BH639" s="8">
        <v>0.222</v>
      </c>
      <c r="BI639" s="13">
        <f t="shared" si="100"/>
        <v>0.66800000000000004</v>
      </c>
      <c r="BJ639" s="14">
        <v>48.9</v>
      </c>
      <c r="BK639" s="14">
        <v>17.899999999999999</v>
      </c>
      <c r="BL639" s="14">
        <v>33.200000000000003</v>
      </c>
      <c r="BM639" s="16">
        <f t="shared" si="101"/>
        <v>100</v>
      </c>
      <c r="BN639" s="21">
        <f t="shared" si="102"/>
        <v>2.81</v>
      </c>
      <c r="BO639" s="21">
        <f t="shared" si="103"/>
        <v>1.04</v>
      </c>
      <c r="BP639" s="21">
        <f t="shared" si="104"/>
        <v>1.92</v>
      </c>
      <c r="BQ639" s="14">
        <f t="shared" si="105"/>
        <v>5.77</v>
      </c>
      <c r="BR639" s="22" t="str">
        <f>IF(OR(AND(X639="Mourões", BQ639&gt;=6.5),AND(X639="Postes", BQ639&gt;=9.6),AND(X639="Dormentes", BQ639&gt;=9.6),AND(X639="Estacas - Solo", BQ639&gt;=6.5),AND(X639="Estacas - Suspenso", BQ639&gt;=4),AND(X639="Cruzetas", BQ639&gt;=6.5),AND(X639="Outros - Solo", BQ639&gt;=6.5),AND(X639="Outros - Suspenso",BQ639&gt;=4),AND(X639="Deck",BQ639&gt;=4)),'Listas suspensas'!$C$21,'Listas suspensas'!$C$22)</f>
        <v>Os resultados da análise química apresentaram uma retenção do produto de acordo com o padrão mínimo exigido pela norma ABNT NBR 16143</v>
      </c>
    </row>
    <row r="640" spans="2:70" x14ac:dyDescent="0.25">
      <c r="B640" s="8" t="s">
        <v>1772</v>
      </c>
      <c r="C640" s="8" t="s">
        <v>71</v>
      </c>
      <c r="F640" s="11">
        <v>46041</v>
      </c>
      <c r="G640" s="11">
        <v>46042</v>
      </c>
      <c r="H640" s="11">
        <v>46045</v>
      </c>
      <c r="I640" s="8" t="s">
        <v>1783</v>
      </c>
      <c r="J640" s="8" t="s">
        <v>1784</v>
      </c>
      <c r="K640" s="8" t="s">
        <v>1785</v>
      </c>
      <c r="L640" s="8" t="s">
        <v>15</v>
      </c>
      <c r="M640" s="30" t="s">
        <v>1786</v>
      </c>
      <c r="N640" s="8" t="s">
        <v>1165</v>
      </c>
      <c r="O640" s="8" t="s">
        <v>94</v>
      </c>
      <c r="P640" s="28" t="s">
        <v>77</v>
      </c>
      <c r="Q640" s="16" t="s">
        <v>1787</v>
      </c>
      <c r="X640" s="8" t="s">
        <v>994</v>
      </c>
      <c r="Y640" s="34">
        <f>IF(X640='Listas suspensas'!$A$21,'Listas suspensas'!$B$23,IF(X640='Listas suspensas'!$A$22,'Listas suspensas'!$B$23,IF(X640='Listas suspensas'!$A$23,'Listas suspensas'!$B$22,IF(X640='Listas suspensas'!$A$26,'Listas suspensas'!$B$22,IF(X640='Listas suspensas'!$A$32,'Listas suspensas'!$B$22,IF(X640='Listas suspensas'!$A$33,'Listas suspensas'!$B$21,IF(X640='Listas suspensas'!$A$24,'Listas suspensas'!$B$22,IF(X640='Listas suspensas'!$A$25,'Listas suspensas'!$B$21,IF(X640='Listas suspensas'!$A$30,'Listas suspensas'!$B$21,"")))))))))</f>
        <v>4</v>
      </c>
      <c r="Z640" s="8" t="s">
        <v>80</v>
      </c>
      <c r="AA640" s="8">
        <v>2</v>
      </c>
      <c r="AB640" s="8" t="str">
        <f>IF(AA640='Listas suspensas'!$A$2,'Listas suspensas'!$B$2,IF(AA640='Listas suspensas'!$A$3,'Listas suspensas'!$B$3,IF(AA640='Listas suspensas'!$A$4,'Listas suspensas'!$B$4,IF(AA640='Listas suspensas'!$A$5,'Listas suspensas'!$B$5,IF(AA640='Listas suspensas'!$A$6,'Listas suspensas'!$B$6,"")))))</f>
        <v>Profunda e irregular</v>
      </c>
      <c r="AC640" s="8" t="str">
        <f>IF(AA640='Listas suspensas'!$A$2,'Listas suspensas'!$C$2,IF(AA640='Listas suspensas'!$A$3,'Listas suspensas'!$C$3,IF(AA640='Listas suspensas'!$A$4,'Listas suspensas'!$C$4,IF(AA640='Listas suspensas'!$A$5,'Listas suspensas'!$C$5,IF(AA640='Listas suspensas'!$A$6,'Listas suspensas'!$C$6,"")))))</f>
        <v>Indica a penetração profunda, mas desuniforme em toda a extensão do alburno.</v>
      </c>
      <c r="BD640" s="13">
        <v>0.7</v>
      </c>
      <c r="BE640" s="18">
        <f t="shared" si="106"/>
        <v>700</v>
      </c>
      <c r="BF640" s="8">
        <v>0.48699999999999999</v>
      </c>
      <c r="BG640" s="8">
        <v>0.23699999999999999</v>
      </c>
      <c r="BH640" s="8">
        <v>0.44400000000000001</v>
      </c>
      <c r="BI640" s="13">
        <f t="shared" si="100"/>
        <v>1.1679999999999999</v>
      </c>
      <c r="BJ640" s="14">
        <v>41.7</v>
      </c>
      <c r="BK640" s="14">
        <v>20.3</v>
      </c>
      <c r="BL640" s="14">
        <v>38</v>
      </c>
      <c r="BM640" s="16">
        <f t="shared" si="101"/>
        <v>100</v>
      </c>
      <c r="BN640" s="21">
        <f t="shared" si="102"/>
        <v>3.41</v>
      </c>
      <c r="BO640" s="21">
        <f t="shared" si="103"/>
        <v>1.66</v>
      </c>
      <c r="BP640" s="21">
        <f t="shared" si="104"/>
        <v>3.11</v>
      </c>
      <c r="BQ640" s="14">
        <f t="shared" si="105"/>
        <v>8.18</v>
      </c>
      <c r="BR640" s="22" t="str">
        <f>IF(OR(AND(X640="Mourões", BQ640&gt;=6.5),AND(X640="Postes", BQ640&gt;=9.6),AND(X640="Dormentes", BQ640&gt;=9.6),AND(X640="Estacas - Solo", BQ640&gt;=6.5),AND(X640="Estacas - Suspenso", BQ640&gt;=4),AND(X640="Cruzetas", BQ640&gt;=6.5),AND(X640="Outros - Solo", BQ640&gt;=6.5),AND(X640="Outros - Suspenso",BQ640&gt;=4),AND(X640="Deck",BQ640&gt;=4)),'Listas suspensas'!$C$21,'Listas suspensas'!$C$22)</f>
        <v>Os resultados da análise química apresentaram uma retenção do produto de acordo com o padrão mínimo exigido pela norma ABNT NBR 16143</v>
      </c>
    </row>
    <row r="641" spans="2:70" x14ac:dyDescent="0.25">
      <c r="B641" s="8" t="s">
        <v>1773</v>
      </c>
      <c r="C641" s="8" t="s">
        <v>71</v>
      </c>
      <c r="F641" s="11">
        <v>46041</v>
      </c>
      <c r="G641" s="11">
        <v>46042</v>
      </c>
      <c r="H641" s="11">
        <v>46045</v>
      </c>
      <c r="I641" s="8" t="s">
        <v>1783</v>
      </c>
      <c r="J641" s="8" t="s">
        <v>1784</v>
      </c>
      <c r="K641" s="8" t="s">
        <v>1785</v>
      </c>
      <c r="L641" s="8" t="s">
        <v>15</v>
      </c>
      <c r="M641" s="30" t="s">
        <v>1786</v>
      </c>
      <c r="N641" s="8" t="s">
        <v>1165</v>
      </c>
      <c r="O641" s="8" t="s">
        <v>94</v>
      </c>
      <c r="P641" s="28" t="s">
        <v>77</v>
      </c>
      <c r="Q641" s="16" t="s">
        <v>1788</v>
      </c>
      <c r="X641" s="8" t="s">
        <v>994</v>
      </c>
      <c r="Y641" s="34">
        <f>IF(X641='Listas suspensas'!$A$21,'Listas suspensas'!$B$23,IF(X641='Listas suspensas'!$A$22,'Listas suspensas'!$B$23,IF(X641='Listas suspensas'!$A$23,'Listas suspensas'!$B$22,IF(X641='Listas suspensas'!$A$26,'Listas suspensas'!$B$22,IF(X641='Listas suspensas'!$A$32,'Listas suspensas'!$B$22,IF(X641='Listas suspensas'!$A$33,'Listas suspensas'!$B$21,IF(X641='Listas suspensas'!$A$24,'Listas suspensas'!$B$22,IF(X641='Listas suspensas'!$A$25,'Listas suspensas'!$B$21,IF(X641='Listas suspensas'!$A$30,'Listas suspensas'!$B$21,"")))))))))</f>
        <v>4</v>
      </c>
      <c r="Z641" s="8" t="s">
        <v>80</v>
      </c>
      <c r="AA641" s="8">
        <v>3</v>
      </c>
      <c r="AB641" s="8" t="str">
        <f>IF(AA641='Listas suspensas'!$A$2,'Listas suspensas'!$B$2,IF(AA641='Listas suspensas'!$A$3,'Listas suspensas'!$B$3,IF(AA641='Listas suspensas'!$A$4,'Listas suspensas'!$B$4,IF(AA641='Listas suspensas'!$A$5,'Listas suspensas'!$B$5,IF(AA641='Listas suspensas'!$A$6,'Listas suspensas'!$B$6,"")))))</f>
        <v xml:space="preserve"> Parcial e regular</v>
      </c>
      <c r="AC641" s="8" t="str">
        <f>IF(AA641='Listas suspensas'!$A$2,'Listas suspensas'!$C$2,IF(AA641='Listas suspensas'!$A$3,'Listas suspensas'!$C$3,IF(AA641='Listas suspensas'!$A$4,'Listas suspensas'!$C$4,IF(AA641='Listas suspensas'!$A$5,'Listas suspensas'!$C$5,IF(AA641='Listas suspensas'!$A$6,'Listas suspensas'!$C$6,"")))))</f>
        <v>Indica a penetração uniforme, mas não total pela extensão do alburno.</v>
      </c>
      <c r="BD641" s="13">
        <v>0.66900000000000004</v>
      </c>
      <c r="BE641" s="18">
        <f t="shared" si="106"/>
        <v>669</v>
      </c>
      <c r="BF641" s="8">
        <v>0.48</v>
      </c>
      <c r="BG641" s="8">
        <v>0.20499999999999999</v>
      </c>
      <c r="BH641" s="8">
        <v>0.34699999999999998</v>
      </c>
      <c r="BI641" s="13">
        <f t="shared" si="100"/>
        <v>1.032</v>
      </c>
      <c r="BJ641" s="14">
        <v>46.5</v>
      </c>
      <c r="BK641" s="14">
        <v>19.899999999999999</v>
      </c>
      <c r="BL641" s="14">
        <v>33.6</v>
      </c>
      <c r="BM641" s="16">
        <f t="shared" si="101"/>
        <v>100</v>
      </c>
      <c r="BN641" s="21">
        <f t="shared" si="102"/>
        <v>3.21</v>
      </c>
      <c r="BO641" s="21">
        <f t="shared" si="103"/>
        <v>1.37</v>
      </c>
      <c r="BP641" s="21">
        <f t="shared" si="104"/>
        <v>2.3199999999999998</v>
      </c>
      <c r="BQ641" s="14">
        <f t="shared" si="105"/>
        <v>6.9</v>
      </c>
      <c r="BR641" s="22" t="str">
        <f>IF(OR(AND(X641="Mourões", BQ641&gt;=6.5),AND(X641="Postes", BQ641&gt;=9.6),AND(X641="Dormentes", BQ641&gt;=9.6),AND(X641="Estacas - Solo", BQ641&gt;=6.5),AND(X641="Estacas - Suspenso", BQ641&gt;=4),AND(X641="Cruzetas", BQ641&gt;=6.5),AND(X641="Outros - Solo", BQ641&gt;=6.5),AND(X641="Outros - Suspenso",BQ641&gt;=4),AND(X641="Deck",BQ641&gt;=4)),'Listas suspensas'!$C$21,'Listas suspensas'!$C$22)</f>
        <v>Os resultados da análise química apresentaram uma retenção do produto de acordo com o padrão mínimo exigido pela norma ABNT NBR 16143</v>
      </c>
    </row>
    <row r="642" spans="2:70" x14ac:dyDescent="0.25">
      <c r="B642" s="8" t="s">
        <v>1774</v>
      </c>
      <c r="C642" s="8" t="s">
        <v>71</v>
      </c>
      <c r="F642" s="11">
        <v>46042</v>
      </c>
      <c r="G642" s="11">
        <v>46043</v>
      </c>
      <c r="H642" s="11">
        <v>46045</v>
      </c>
      <c r="I642" s="8" t="s">
        <v>1789</v>
      </c>
      <c r="J642" s="8" t="s">
        <v>522</v>
      </c>
      <c r="K642" s="8" t="s">
        <v>1726</v>
      </c>
      <c r="L642" s="8" t="s">
        <v>15</v>
      </c>
      <c r="M642" s="30" t="s">
        <v>524</v>
      </c>
      <c r="N642" s="8" t="s">
        <v>1165</v>
      </c>
      <c r="O642" s="8" t="s">
        <v>94</v>
      </c>
      <c r="P642" s="28" t="s">
        <v>77</v>
      </c>
      <c r="Q642" s="16" t="s">
        <v>1793</v>
      </c>
      <c r="X642" s="8" t="s">
        <v>79</v>
      </c>
      <c r="Y642" s="34">
        <f>IF(X642='Listas suspensas'!$A$21,'Listas suspensas'!$B$23,IF(X642='Listas suspensas'!$A$22,'Listas suspensas'!$B$23,IF(X642='Listas suspensas'!$A$23,'Listas suspensas'!$B$22,IF(X642='Listas suspensas'!$A$26,'Listas suspensas'!$B$22,IF(X642='Listas suspensas'!$A$32,'Listas suspensas'!$B$22,IF(X642='Listas suspensas'!$A$33,'Listas suspensas'!$B$21,IF(X642='Listas suspensas'!$A$24,'Listas suspensas'!$B$22,IF(X642='Listas suspensas'!$A$25,'Listas suspensas'!$B$21,IF(X642='Listas suspensas'!$A$30,'Listas suspensas'!$B$21,"")))))))))</f>
        <v>6.5</v>
      </c>
      <c r="Z642" s="8" t="s">
        <v>80</v>
      </c>
      <c r="AA642" s="8">
        <v>3</v>
      </c>
      <c r="AB642" s="8" t="str">
        <f>IF(AA642='Listas suspensas'!$A$2,'Listas suspensas'!$B$2,IF(AA642='Listas suspensas'!$A$3,'Listas suspensas'!$B$3,IF(AA642='Listas suspensas'!$A$4,'Listas suspensas'!$B$4,IF(AA642='Listas suspensas'!$A$5,'Listas suspensas'!$B$5,IF(AA642='Listas suspensas'!$A$6,'Listas suspensas'!$B$6,"")))))</f>
        <v xml:space="preserve"> Parcial e regular</v>
      </c>
      <c r="AC642" s="8" t="str">
        <f>IF(AA642='Listas suspensas'!$A$2,'Listas suspensas'!$C$2,IF(AA642='Listas suspensas'!$A$3,'Listas suspensas'!$C$3,IF(AA642='Listas suspensas'!$A$4,'Listas suspensas'!$C$4,IF(AA642='Listas suspensas'!$A$5,'Listas suspensas'!$C$5,IF(AA642='Listas suspensas'!$A$6,'Listas suspensas'!$C$6,"")))))</f>
        <v>Indica a penetração uniforme, mas não total pela extensão do alburno.</v>
      </c>
      <c r="BD642" s="13">
        <v>0.90100000000000002</v>
      </c>
      <c r="BE642" s="18">
        <f t="shared" si="106"/>
        <v>901</v>
      </c>
      <c r="BF642" s="8">
        <v>0.33300000000000002</v>
      </c>
      <c r="BG642" s="8">
        <v>0.159</v>
      </c>
      <c r="BH642" s="8">
        <v>0.36</v>
      </c>
      <c r="BI642" s="13">
        <f t="shared" ref="BI642:BI706" si="107">SUM(BF642:BH642)</f>
        <v>0.85199999999999998</v>
      </c>
      <c r="BJ642" s="14">
        <v>39.1</v>
      </c>
      <c r="BK642" s="14">
        <v>18.600000000000001</v>
      </c>
      <c r="BL642" s="14">
        <v>42.3</v>
      </c>
      <c r="BM642" s="16">
        <f t="shared" si="101"/>
        <v>100</v>
      </c>
      <c r="BN642" s="21">
        <f t="shared" si="102"/>
        <v>3</v>
      </c>
      <c r="BO642" s="21">
        <f t="shared" si="103"/>
        <v>1.43</v>
      </c>
      <c r="BP642" s="21">
        <f t="shared" si="104"/>
        <v>3.24</v>
      </c>
      <c r="BQ642" s="14">
        <f t="shared" si="105"/>
        <v>7.67</v>
      </c>
      <c r="BR642" s="22" t="str">
        <f>IF(OR(AND(X642="Mourões", BQ642&gt;=6.5),AND(X642="Postes", BQ642&gt;=9.6),AND(X642="Dormentes", BQ642&gt;=9.6),AND(X642="Estacas - Solo", BQ642&gt;=6.5),AND(X642="Estacas - Suspenso", BQ642&gt;=4),AND(X642="Cruzetas", BQ642&gt;=6.5),AND(X642="Outros - Solo", BQ642&gt;=6.5),AND(X642="Outros - Suspenso",BQ642&gt;=4),AND(X642="Deck",BQ642&gt;=4)),'Listas suspensas'!$C$21,'Listas suspensas'!$C$22)</f>
        <v>Os resultados da análise química apresentaram uma retenção do produto de acordo com o padrão mínimo exigido pela norma ABNT NBR 16143</v>
      </c>
    </row>
    <row r="643" spans="2:70" x14ac:dyDescent="0.25">
      <c r="B643" s="8" t="s">
        <v>1775</v>
      </c>
      <c r="C643" s="8" t="s">
        <v>71</v>
      </c>
      <c r="F643" s="11">
        <v>46042</v>
      </c>
      <c r="G643" s="11">
        <v>46043</v>
      </c>
      <c r="H643" s="11">
        <v>46045</v>
      </c>
      <c r="I643" s="8" t="s">
        <v>1789</v>
      </c>
      <c r="J643" s="8" t="s">
        <v>522</v>
      </c>
      <c r="K643" s="8" t="s">
        <v>1726</v>
      </c>
      <c r="L643" s="8" t="s">
        <v>15</v>
      </c>
      <c r="M643" s="30" t="s">
        <v>524</v>
      </c>
      <c r="N643" s="8" t="s">
        <v>1165</v>
      </c>
      <c r="O643" s="8" t="s">
        <v>94</v>
      </c>
      <c r="P643" s="28" t="s">
        <v>77</v>
      </c>
      <c r="Q643" s="16" t="s">
        <v>1792</v>
      </c>
      <c r="X643" s="8" t="s">
        <v>79</v>
      </c>
      <c r="Y643" s="34">
        <f>IF(X643='Listas suspensas'!$A$21,'Listas suspensas'!$B$23,IF(X643='Listas suspensas'!$A$22,'Listas suspensas'!$B$23,IF(X643='Listas suspensas'!$A$23,'Listas suspensas'!$B$22,IF(X643='Listas suspensas'!$A$26,'Listas suspensas'!$B$22,IF(X643='Listas suspensas'!$A$32,'Listas suspensas'!$B$22,IF(X643='Listas suspensas'!$A$33,'Listas suspensas'!$B$21,IF(X643='Listas suspensas'!$A$24,'Listas suspensas'!$B$22,IF(X643='Listas suspensas'!$A$25,'Listas suspensas'!$B$21,IF(X643='Listas suspensas'!$A$30,'Listas suspensas'!$B$21,"")))))))))</f>
        <v>6.5</v>
      </c>
      <c r="Z643" s="8" t="s">
        <v>80</v>
      </c>
      <c r="AA643" s="8">
        <v>3</v>
      </c>
      <c r="AB643" s="8" t="str">
        <f>IF(AA643='Listas suspensas'!$A$2,'Listas suspensas'!$B$2,IF(AA643='Listas suspensas'!$A$3,'Listas suspensas'!$B$3,IF(AA643='Listas suspensas'!$A$4,'Listas suspensas'!$B$4,IF(AA643='Listas suspensas'!$A$5,'Listas suspensas'!$B$5,IF(AA643='Listas suspensas'!$A$6,'Listas suspensas'!$B$6,"")))))</f>
        <v xml:space="preserve"> Parcial e regular</v>
      </c>
      <c r="AC643" s="8" t="str">
        <f>IF(AA643='Listas suspensas'!$A$2,'Listas suspensas'!$C$2,IF(AA643='Listas suspensas'!$A$3,'Listas suspensas'!$C$3,IF(AA643='Listas suspensas'!$A$4,'Listas suspensas'!$C$4,IF(AA643='Listas suspensas'!$A$5,'Listas suspensas'!$C$5,IF(AA643='Listas suspensas'!$A$6,'Listas suspensas'!$C$6,"")))))</f>
        <v>Indica a penetração uniforme, mas não total pela extensão do alburno.</v>
      </c>
      <c r="BD643" s="13">
        <v>0.76900000000000002</v>
      </c>
      <c r="BE643" s="18">
        <f t="shared" si="106"/>
        <v>769</v>
      </c>
      <c r="BF643" s="8">
        <v>0.47499999999999998</v>
      </c>
      <c r="BG643" s="8">
        <v>0.222</v>
      </c>
      <c r="BH643" s="8">
        <v>0.46</v>
      </c>
      <c r="BI643" s="13">
        <f t="shared" si="107"/>
        <v>1.157</v>
      </c>
      <c r="BJ643" s="14">
        <v>41.1</v>
      </c>
      <c r="BK643" s="14">
        <v>19.2</v>
      </c>
      <c r="BL643" s="14">
        <v>39.700000000000003</v>
      </c>
      <c r="BM643" s="16">
        <f t="shared" si="101"/>
        <v>100</v>
      </c>
      <c r="BN643" s="21">
        <f t="shared" si="102"/>
        <v>3.65</v>
      </c>
      <c r="BO643" s="21">
        <f t="shared" si="103"/>
        <v>1.71</v>
      </c>
      <c r="BP643" s="21">
        <f t="shared" si="104"/>
        <v>3.54</v>
      </c>
      <c r="BQ643" s="14">
        <f t="shared" si="105"/>
        <v>8.9</v>
      </c>
      <c r="BR643" s="22" t="str">
        <f>IF(OR(AND(X643="Mourões", BQ643&gt;=6.5),AND(X643="Postes", BQ643&gt;=9.6),AND(X643="Dormentes", BQ643&gt;=9.6),AND(X643="Estacas - Solo", BQ643&gt;=6.5),AND(X643="Estacas - Suspenso", BQ643&gt;=4),AND(X643="Cruzetas", BQ643&gt;=6.5),AND(X643="Outros - Solo", BQ643&gt;=6.5),AND(X643="Outros - Suspenso",BQ643&gt;=4),AND(X643="Deck",BQ643&gt;=4)),'Listas suspensas'!$C$21,'Listas suspensas'!$C$22)</f>
        <v>Os resultados da análise química apresentaram uma retenção do produto de acordo com o padrão mínimo exigido pela norma ABNT NBR 16143</v>
      </c>
    </row>
    <row r="644" spans="2:70" x14ac:dyDescent="0.25">
      <c r="B644" s="8" t="s">
        <v>1776</v>
      </c>
      <c r="C644" s="8" t="s">
        <v>71</v>
      </c>
      <c r="F644" s="11">
        <v>46042</v>
      </c>
      <c r="G644" s="11">
        <v>46043</v>
      </c>
      <c r="H644" s="11">
        <v>46045</v>
      </c>
      <c r="I644" s="8" t="s">
        <v>1789</v>
      </c>
      <c r="J644" s="8" t="s">
        <v>522</v>
      </c>
      <c r="K644" s="8" t="s">
        <v>1726</v>
      </c>
      <c r="L644" s="8" t="s">
        <v>15</v>
      </c>
      <c r="M644" s="30" t="s">
        <v>524</v>
      </c>
      <c r="N644" s="8" t="s">
        <v>1165</v>
      </c>
      <c r="O644" s="8" t="s">
        <v>94</v>
      </c>
      <c r="P644" s="28" t="s">
        <v>77</v>
      </c>
      <c r="Q644" s="16" t="s">
        <v>1791</v>
      </c>
      <c r="X644" s="8" t="s">
        <v>79</v>
      </c>
      <c r="Y644" s="34">
        <f>IF(X644='Listas suspensas'!$A$21,'Listas suspensas'!$B$23,IF(X644='Listas suspensas'!$A$22,'Listas suspensas'!$B$23,IF(X644='Listas suspensas'!$A$23,'Listas suspensas'!$B$22,IF(X644='Listas suspensas'!$A$26,'Listas suspensas'!$B$22,IF(X644='Listas suspensas'!$A$32,'Listas suspensas'!$B$22,IF(X644='Listas suspensas'!$A$33,'Listas suspensas'!$B$21,IF(X644='Listas suspensas'!$A$24,'Listas suspensas'!$B$22,IF(X644='Listas suspensas'!$A$25,'Listas suspensas'!$B$21,IF(X644='Listas suspensas'!$A$30,'Listas suspensas'!$B$21,"")))))))))</f>
        <v>6.5</v>
      </c>
      <c r="Z644" s="8" t="s">
        <v>80</v>
      </c>
      <c r="AA644" s="8">
        <v>2</v>
      </c>
      <c r="AB644" s="8" t="str">
        <f>IF(AA644='Listas suspensas'!$A$2,'Listas suspensas'!$B$2,IF(AA644='Listas suspensas'!$A$3,'Listas suspensas'!$B$3,IF(AA644='Listas suspensas'!$A$4,'Listas suspensas'!$B$4,IF(AA644='Listas suspensas'!$A$5,'Listas suspensas'!$B$5,IF(AA644='Listas suspensas'!$A$6,'Listas suspensas'!$B$6,"")))))</f>
        <v>Profunda e irregular</v>
      </c>
      <c r="AC644" s="8" t="str">
        <f>IF(AA644='Listas suspensas'!$A$2,'Listas suspensas'!$C$2,IF(AA644='Listas suspensas'!$A$3,'Listas suspensas'!$C$3,IF(AA644='Listas suspensas'!$A$4,'Listas suspensas'!$C$4,IF(AA644='Listas suspensas'!$A$5,'Listas suspensas'!$C$5,IF(AA644='Listas suspensas'!$A$6,'Listas suspensas'!$C$6,"")))))</f>
        <v>Indica a penetração profunda, mas desuniforme em toda a extensão do alburno.</v>
      </c>
      <c r="BD644" s="13">
        <v>0.74</v>
      </c>
      <c r="BE644" s="18">
        <f t="shared" si="106"/>
        <v>740</v>
      </c>
      <c r="BF644" s="8">
        <v>0.55100000000000005</v>
      </c>
      <c r="BG644" s="8">
        <v>0.23699999999999999</v>
      </c>
      <c r="BH644" s="8">
        <v>0.45800000000000002</v>
      </c>
      <c r="BI644" s="13">
        <f t="shared" si="107"/>
        <v>1.246</v>
      </c>
      <c r="BJ644" s="14">
        <v>44.2</v>
      </c>
      <c r="BK644" s="14">
        <v>19</v>
      </c>
      <c r="BL644" s="14">
        <v>36.799999999999997</v>
      </c>
      <c r="BM644" s="16">
        <f t="shared" si="101"/>
        <v>100</v>
      </c>
      <c r="BN644" s="21">
        <f t="shared" si="102"/>
        <v>4.08</v>
      </c>
      <c r="BO644" s="21">
        <f t="shared" si="103"/>
        <v>1.75</v>
      </c>
      <c r="BP644" s="21">
        <f t="shared" si="104"/>
        <v>3.39</v>
      </c>
      <c r="BQ644" s="14">
        <f t="shared" si="105"/>
        <v>9.2200000000000006</v>
      </c>
      <c r="BR644" s="22" t="str">
        <f>IF(OR(AND(X644="Mourões", BQ644&gt;=6.5),AND(X644="Postes", BQ644&gt;=9.6),AND(X644="Dormentes", BQ644&gt;=9.6),AND(X644="Estacas - Solo", BQ644&gt;=6.5),AND(X644="Estacas - Suspenso", BQ644&gt;=4),AND(X644="Cruzetas", BQ644&gt;=6.5),AND(X644="Outros - Solo", BQ644&gt;=6.5),AND(X644="Outros - Suspenso",BQ644&gt;=4),AND(X644="Deck",BQ644&gt;=4)),'Listas suspensas'!$C$21,'Listas suspensas'!$C$22)</f>
        <v>Os resultados da análise química apresentaram uma retenção do produto de acordo com o padrão mínimo exigido pela norma ABNT NBR 16143</v>
      </c>
    </row>
    <row r="645" spans="2:70" x14ac:dyDescent="0.25">
      <c r="B645" s="8" t="s">
        <v>1777</v>
      </c>
      <c r="C645" s="8" t="s">
        <v>71</v>
      </c>
      <c r="F645" s="11">
        <v>46042</v>
      </c>
      <c r="G645" s="11">
        <v>46043</v>
      </c>
      <c r="H645" s="11">
        <v>46045</v>
      </c>
      <c r="I645" s="8" t="s">
        <v>1789</v>
      </c>
      <c r="J645" s="8" t="s">
        <v>522</v>
      </c>
      <c r="K645" s="8" t="s">
        <v>1726</v>
      </c>
      <c r="L645" s="8" t="s">
        <v>15</v>
      </c>
      <c r="M645" s="30" t="s">
        <v>524</v>
      </c>
      <c r="N645" s="8" t="s">
        <v>1165</v>
      </c>
      <c r="O645" s="8" t="s">
        <v>94</v>
      </c>
      <c r="P645" s="28" t="s">
        <v>77</v>
      </c>
      <c r="Q645" s="16" t="s">
        <v>1790</v>
      </c>
      <c r="X645" s="8" t="s">
        <v>79</v>
      </c>
      <c r="Y645" s="34">
        <f>IF(X645='Listas suspensas'!$A$21,'Listas suspensas'!$B$23,IF(X645='Listas suspensas'!$A$22,'Listas suspensas'!$B$23,IF(X645='Listas suspensas'!$A$23,'Listas suspensas'!$B$22,IF(X645='Listas suspensas'!$A$26,'Listas suspensas'!$B$22,IF(X645='Listas suspensas'!$A$32,'Listas suspensas'!$B$22,IF(X645='Listas suspensas'!$A$33,'Listas suspensas'!$B$21,IF(X645='Listas suspensas'!$A$24,'Listas suspensas'!$B$22,IF(X645='Listas suspensas'!$A$25,'Listas suspensas'!$B$21,IF(X645='Listas suspensas'!$A$30,'Listas suspensas'!$B$21,"")))))))))</f>
        <v>6.5</v>
      </c>
      <c r="Z645" s="8" t="s">
        <v>80</v>
      </c>
      <c r="AA645" s="8">
        <v>3</v>
      </c>
      <c r="AB645" s="8" t="str">
        <f>IF(AA645='Listas suspensas'!$A$2,'Listas suspensas'!$B$2,IF(AA645='Listas suspensas'!$A$3,'Listas suspensas'!$B$3,IF(AA645='Listas suspensas'!$A$4,'Listas suspensas'!$B$4,IF(AA645='Listas suspensas'!$A$5,'Listas suspensas'!$B$5,IF(AA645='Listas suspensas'!$A$6,'Listas suspensas'!$B$6,"")))))</f>
        <v xml:space="preserve"> Parcial e regular</v>
      </c>
      <c r="AC645" s="8" t="str">
        <f>IF(AA645='Listas suspensas'!$A$2,'Listas suspensas'!$C$2,IF(AA645='Listas suspensas'!$A$3,'Listas suspensas'!$C$3,IF(AA645='Listas suspensas'!$A$4,'Listas suspensas'!$C$4,IF(AA645='Listas suspensas'!$A$5,'Listas suspensas'!$C$5,IF(AA645='Listas suspensas'!$A$6,'Listas suspensas'!$C$6,"")))))</f>
        <v>Indica a penetração uniforme, mas não total pela extensão do alburno.</v>
      </c>
      <c r="BD645" s="13">
        <v>0.78800000000000003</v>
      </c>
      <c r="BE645" s="18">
        <f t="shared" si="106"/>
        <v>788</v>
      </c>
      <c r="BF645" s="8">
        <v>0.61399999999999999</v>
      </c>
      <c r="BG645" s="8">
        <v>0.23100000000000001</v>
      </c>
      <c r="BH645" s="8">
        <v>0.44</v>
      </c>
      <c r="BI645" s="13">
        <f t="shared" si="107"/>
        <v>1.2849999999999999</v>
      </c>
      <c r="BJ645" s="14">
        <v>47.8</v>
      </c>
      <c r="BK645" s="14">
        <v>18</v>
      </c>
      <c r="BL645" s="14">
        <v>34.200000000000003</v>
      </c>
      <c r="BM645" s="16">
        <f t="shared" si="101"/>
        <v>100</v>
      </c>
      <c r="BN645" s="21">
        <f t="shared" si="102"/>
        <v>4.84</v>
      </c>
      <c r="BO645" s="21">
        <f t="shared" si="103"/>
        <v>1.82</v>
      </c>
      <c r="BP645" s="21">
        <f t="shared" si="104"/>
        <v>3.47</v>
      </c>
      <c r="BQ645" s="14">
        <f t="shared" si="105"/>
        <v>10.130000000000001</v>
      </c>
      <c r="BR645" s="22" t="str">
        <f>IF(OR(AND(X645="Mourões", BQ645&gt;=6.5),AND(X645="Postes", BQ645&gt;=9.6),AND(X645="Dormentes", BQ645&gt;=9.6),AND(X645="Estacas - Solo", BQ645&gt;=6.5),AND(X645="Estacas - Suspenso", BQ645&gt;=4),AND(X645="Cruzetas", BQ645&gt;=6.5),AND(X645="Outros - Solo", BQ645&gt;=6.5),AND(X645="Outros - Suspenso",BQ645&gt;=4),AND(X645="Deck",BQ645&gt;=4)),'Listas suspensas'!$C$21,'Listas suspensas'!$C$22)</f>
        <v>Os resultados da análise química apresentaram uma retenção do produto de acordo com o padrão mínimo exigido pela norma ABNT NBR 16143</v>
      </c>
    </row>
    <row r="646" spans="2:70" x14ac:dyDescent="0.25">
      <c r="B646" s="8" t="s">
        <v>1778</v>
      </c>
      <c r="C646" s="8" t="s">
        <v>71</v>
      </c>
      <c r="F646" s="11">
        <v>46042</v>
      </c>
      <c r="G646" s="11">
        <v>46043</v>
      </c>
      <c r="H646" s="11">
        <v>46045</v>
      </c>
      <c r="I646" s="8" t="s">
        <v>1789</v>
      </c>
      <c r="J646" s="8" t="s">
        <v>522</v>
      </c>
      <c r="K646" s="8" t="s">
        <v>1726</v>
      </c>
      <c r="L646" s="8" t="s">
        <v>15</v>
      </c>
      <c r="M646" s="30" t="s">
        <v>524</v>
      </c>
      <c r="N646" s="8" t="s">
        <v>1165</v>
      </c>
      <c r="O646" s="8" t="s">
        <v>94</v>
      </c>
      <c r="P646" s="28" t="s">
        <v>77</v>
      </c>
      <c r="Q646" s="16" t="s">
        <v>1794</v>
      </c>
      <c r="X646" s="8" t="s">
        <v>79</v>
      </c>
      <c r="Y646" s="34">
        <f>IF(X646='Listas suspensas'!$A$21,'Listas suspensas'!$B$23,IF(X646='Listas suspensas'!$A$22,'Listas suspensas'!$B$23,IF(X646='Listas suspensas'!$A$23,'Listas suspensas'!$B$22,IF(X646='Listas suspensas'!$A$26,'Listas suspensas'!$B$22,IF(X646='Listas suspensas'!$A$32,'Listas suspensas'!$B$22,IF(X646='Listas suspensas'!$A$33,'Listas suspensas'!$B$21,IF(X646='Listas suspensas'!$A$24,'Listas suspensas'!$B$22,IF(X646='Listas suspensas'!$A$25,'Listas suspensas'!$B$21,IF(X646='Listas suspensas'!$A$30,'Listas suspensas'!$B$21,"")))))))))</f>
        <v>6.5</v>
      </c>
      <c r="Z646" s="8" t="s">
        <v>80</v>
      </c>
      <c r="AA646" s="8">
        <v>3</v>
      </c>
      <c r="AB646" s="8" t="str">
        <f>IF(AA646='Listas suspensas'!$A$2,'Listas suspensas'!$B$2,IF(AA646='Listas suspensas'!$A$3,'Listas suspensas'!$B$3,IF(AA646='Listas suspensas'!$A$4,'Listas suspensas'!$B$4,IF(AA646='Listas suspensas'!$A$5,'Listas suspensas'!$B$5,IF(AA646='Listas suspensas'!$A$6,'Listas suspensas'!$B$6,"")))))</f>
        <v xml:space="preserve"> Parcial e regular</v>
      </c>
      <c r="AC646" s="8" t="str">
        <f>IF(AA646='Listas suspensas'!$A$2,'Listas suspensas'!$C$2,IF(AA646='Listas suspensas'!$A$3,'Listas suspensas'!$C$3,IF(AA646='Listas suspensas'!$A$4,'Listas suspensas'!$C$4,IF(AA646='Listas suspensas'!$A$5,'Listas suspensas'!$C$5,IF(AA646='Listas suspensas'!$A$6,'Listas suspensas'!$C$6,"")))))</f>
        <v>Indica a penetração uniforme, mas não total pela extensão do alburno.</v>
      </c>
      <c r="BD646" s="13">
        <v>0.59</v>
      </c>
      <c r="BE646" s="18">
        <f t="shared" si="106"/>
        <v>590</v>
      </c>
      <c r="BF646" s="8">
        <v>0.78500000000000003</v>
      </c>
      <c r="BG646" s="8">
        <v>0.33100000000000002</v>
      </c>
      <c r="BH646" s="8">
        <v>0.72199999999999998</v>
      </c>
      <c r="BI646" s="13">
        <f t="shared" si="107"/>
        <v>1.8380000000000001</v>
      </c>
      <c r="BJ646" s="14">
        <v>42.7</v>
      </c>
      <c r="BK646" s="14">
        <v>18</v>
      </c>
      <c r="BL646" s="14">
        <v>39.299999999999997</v>
      </c>
      <c r="BM646" s="16">
        <f t="shared" si="101"/>
        <v>100</v>
      </c>
      <c r="BN646" s="21">
        <f t="shared" si="102"/>
        <v>4.63</v>
      </c>
      <c r="BO646" s="21">
        <f t="shared" si="103"/>
        <v>1.95</v>
      </c>
      <c r="BP646" s="21">
        <f t="shared" si="104"/>
        <v>4.26</v>
      </c>
      <c r="BQ646" s="14">
        <f t="shared" si="105"/>
        <v>10.84</v>
      </c>
      <c r="BR646" s="22" t="str">
        <f>IF(OR(AND(X646="Mourões", BQ646&gt;=6.5),AND(X646="Postes", BQ646&gt;=9.6),AND(X646="Dormentes", BQ646&gt;=9.6),AND(X646="Estacas - Solo", BQ646&gt;=6.5),AND(X646="Estacas - Suspenso", BQ646&gt;=4),AND(X646="Cruzetas", BQ646&gt;=6.5),AND(X646="Outros - Solo", BQ646&gt;=6.5),AND(X646="Outros - Suspenso",BQ646&gt;=4),AND(X646="Deck",BQ646&gt;=4)),'Listas suspensas'!$C$21,'Listas suspensas'!$C$22)</f>
        <v>Os resultados da análise química apresentaram uma retenção do produto de acordo com o padrão mínimo exigido pela norma ABNT NBR 16143</v>
      </c>
    </row>
    <row r="647" spans="2:70" x14ac:dyDescent="0.25">
      <c r="B647" s="8" t="s">
        <v>1779</v>
      </c>
      <c r="C647" s="8" t="s">
        <v>71</v>
      </c>
      <c r="F647" s="11">
        <v>46042</v>
      </c>
      <c r="G647" s="11">
        <v>46043</v>
      </c>
      <c r="H647" s="11">
        <v>46045</v>
      </c>
      <c r="I647" s="8" t="s">
        <v>1789</v>
      </c>
      <c r="J647" s="8" t="s">
        <v>522</v>
      </c>
      <c r="K647" s="8" t="s">
        <v>1726</v>
      </c>
      <c r="L647" s="8" t="s">
        <v>15</v>
      </c>
      <c r="M647" s="30" t="s">
        <v>524</v>
      </c>
      <c r="N647" s="8" t="s">
        <v>1165</v>
      </c>
      <c r="O647" s="8" t="s">
        <v>94</v>
      </c>
      <c r="P647" s="28" t="s">
        <v>77</v>
      </c>
      <c r="Q647" s="16" t="s">
        <v>1795</v>
      </c>
      <c r="X647" s="8" t="s">
        <v>79</v>
      </c>
      <c r="Y647" s="34">
        <f>IF(X647='Listas suspensas'!$A$21,'Listas suspensas'!$B$23,IF(X647='Listas suspensas'!$A$22,'Listas suspensas'!$B$23,IF(X647='Listas suspensas'!$A$23,'Listas suspensas'!$B$22,IF(X647='Listas suspensas'!$A$26,'Listas suspensas'!$B$22,IF(X647='Listas suspensas'!$A$32,'Listas suspensas'!$B$22,IF(X647='Listas suspensas'!$A$33,'Listas suspensas'!$B$21,IF(X647='Listas suspensas'!$A$24,'Listas suspensas'!$B$22,IF(X647='Listas suspensas'!$A$25,'Listas suspensas'!$B$21,IF(X647='Listas suspensas'!$A$30,'Listas suspensas'!$B$21,"")))))))))</f>
        <v>6.5</v>
      </c>
      <c r="Z647" s="8" t="s">
        <v>80</v>
      </c>
      <c r="AA647" s="8">
        <v>4</v>
      </c>
      <c r="AB647" s="8" t="str">
        <f>IF(AA647='Listas suspensas'!$A$2,'Listas suspensas'!$B$2,IF(AA647='Listas suspensas'!$A$3,'Listas suspensas'!$B$3,IF(AA647='Listas suspensas'!$A$4,'Listas suspensas'!$B$4,IF(AA647='Listas suspensas'!$A$5,'Listas suspensas'!$B$5,IF(AA647='Listas suspensas'!$A$6,'Listas suspensas'!$B$6,"")))))</f>
        <v>Parcial e irregular</v>
      </c>
      <c r="AC647" s="8" t="str">
        <f>IF(AA647='Listas suspensas'!$A$2,'Listas suspensas'!$C$2,IF(AA647='Listas suspensas'!$A$3,'Listas suspensas'!$C$3,IF(AA647='Listas suspensas'!$A$4,'Listas suspensas'!$C$4,IF(AA647='Listas suspensas'!$A$5,'Listas suspensas'!$C$5,IF(AA647='Listas suspensas'!$A$6,'Listas suspensas'!$C$6,"")))))</f>
        <v>Indica a penetração desuniforme e não total pela extensão do alburno.</v>
      </c>
      <c r="BD647" s="13">
        <v>0.91700000000000004</v>
      </c>
      <c r="BE647" s="18">
        <f t="shared" si="106"/>
        <v>917</v>
      </c>
      <c r="BF647" s="8">
        <v>0.44500000000000001</v>
      </c>
      <c r="BG647" s="8">
        <v>0.158</v>
      </c>
      <c r="BH647" s="8">
        <v>0.316</v>
      </c>
      <c r="BI647" s="13">
        <f t="shared" si="107"/>
        <v>0.91900000000000004</v>
      </c>
      <c r="BJ647" s="14">
        <v>48.4</v>
      </c>
      <c r="BK647" s="14">
        <v>17.2</v>
      </c>
      <c r="BL647" s="14">
        <v>34.4</v>
      </c>
      <c r="BM647" s="16">
        <f t="shared" si="101"/>
        <v>100</v>
      </c>
      <c r="BN647" s="21">
        <f t="shared" si="102"/>
        <v>4.08</v>
      </c>
      <c r="BO647" s="21">
        <f t="shared" si="103"/>
        <v>1.45</v>
      </c>
      <c r="BP647" s="21">
        <f t="shared" si="104"/>
        <v>2.9</v>
      </c>
      <c r="BQ647" s="14">
        <f t="shared" si="105"/>
        <v>8.43</v>
      </c>
      <c r="BR647" s="22" t="str">
        <f>IF(OR(AND(X647="Mourões", BQ647&gt;=6.5),AND(X647="Postes", BQ647&gt;=9.6),AND(X647="Dormentes", BQ647&gt;=9.6),AND(X647="Estacas - Solo", BQ647&gt;=6.5),AND(X647="Estacas - Suspenso", BQ647&gt;=4),AND(X647="Cruzetas", BQ647&gt;=6.5),AND(X647="Outros - Solo", BQ647&gt;=6.5),AND(X647="Outros - Suspenso",BQ647&gt;=4),AND(X647="Deck",BQ647&gt;=4)),'Listas suspensas'!$C$21,'Listas suspensas'!$C$22)</f>
        <v>Os resultados da análise química apresentaram uma retenção do produto de acordo com o padrão mínimo exigido pela norma ABNT NBR 16143</v>
      </c>
    </row>
    <row r="648" spans="2:70" x14ac:dyDescent="0.25">
      <c r="B648" s="8" t="s">
        <v>1780</v>
      </c>
      <c r="C648" s="8" t="s">
        <v>71</v>
      </c>
      <c r="F648" s="11">
        <v>46042</v>
      </c>
      <c r="G648" s="11">
        <v>46043</v>
      </c>
      <c r="H648" s="11">
        <v>46045</v>
      </c>
      <c r="I648" s="8" t="s">
        <v>1789</v>
      </c>
      <c r="J648" s="8" t="s">
        <v>522</v>
      </c>
      <c r="K648" s="8" t="s">
        <v>1726</v>
      </c>
      <c r="L648" s="8" t="s">
        <v>15</v>
      </c>
      <c r="M648" s="30" t="s">
        <v>524</v>
      </c>
      <c r="N648" s="8" t="s">
        <v>1165</v>
      </c>
      <c r="O648" s="8" t="s">
        <v>94</v>
      </c>
      <c r="P648" s="28" t="s">
        <v>77</v>
      </c>
      <c r="Q648" s="16" t="s">
        <v>1796</v>
      </c>
      <c r="X648" s="8" t="s">
        <v>79</v>
      </c>
      <c r="Y648" s="34">
        <f>IF(X648='Listas suspensas'!$A$21,'Listas suspensas'!$B$23,IF(X648='Listas suspensas'!$A$22,'Listas suspensas'!$B$23,IF(X648='Listas suspensas'!$A$23,'Listas suspensas'!$B$22,IF(X648='Listas suspensas'!$A$26,'Listas suspensas'!$B$22,IF(X648='Listas suspensas'!$A$32,'Listas suspensas'!$B$22,IF(X648='Listas suspensas'!$A$33,'Listas suspensas'!$B$21,IF(X648='Listas suspensas'!$A$24,'Listas suspensas'!$B$22,IF(X648='Listas suspensas'!$A$25,'Listas suspensas'!$B$21,IF(X648='Listas suspensas'!$A$30,'Listas suspensas'!$B$21,"")))))))))</f>
        <v>6.5</v>
      </c>
      <c r="Z648" s="8" t="s">
        <v>80</v>
      </c>
      <c r="AA648" s="8">
        <v>4</v>
      </c>
      <c r="AB648" s="8" t="str">
        <f>IF(AA648='Listas suspensas'!$A$2,'Listas suspensas'!$B$2,IF(AA648='Listas suspensas'!$A$3,'Listas suspensas'!$B$3,IF(AA648='Listas suspensas'!$A$4,'Listas suspensas'!$B$4,IF(AA648='Listas suspensas'!$A$5,'Listas suspensas'!$B$5,IF(AA648='Listas suspensas'!$A$6,'Listas suspensas'!$B$6,"")))))</f>
        <v>Parcial e irregular</v>
      </c>
      <c r="AC648" s="8" t="str">
        <f>IF(AA648='Listas suspensas'!$A$2,'Listas suspensas'!$C$2,IF(AA648='Listas suspensas'!$A$3,'Listas suspensas'!$C$3,IF(AA648='Listas suspensas'!$A$4,'Listas suspensas'!$C$4,IF(AA648='Listas suspensas'!$A$5,'Listas suspensas'!$C$5,IF(AA648='Listas suspensas'!$A$6,'Listas suspensas'!$C$6,"")))))</f>
        <v>Indica a penetração desuniforme e não total pela extensão do alburno.</v>
      </c>
      <c r="BD648" s="13">
        <v>0.72899999999999998</v>
      </c>
      <c r="BE648" s="18">
        <f t="shared" si="106"/>
        <v>729</v>
      </c>
      <c r="BF648" s="8">
        <v>0.64800000000000002</v>
      </c>
      <c r="BG648" s="8">
        <v>0.27300000000000002</v>
      </c>
      <c r="BH648" s="8">
        <v>0.55100000000000005</v>
      </c>
      <c r="BI648" s="13">
        <f t="shared" si="107"/>
        <v>1.472</v>
      </c>
      <c r="BJ648" s="14">
        <v>44</v>
      </c>
      <c r="BK648" s="14">
        <v>18.5</v>
      </c>
      <c r="BL648" s="14">
        <v>37.5</v>
      </c>
      <c r="BM648" s="16">
        <f t="shared" si="101"/>
        <v>100</v>
      </c>
      <c r="BN648" s="21">
        <f t="shared" si="102"/>
        <v>4.72</v>
      </c>
      <c r="BO648" s="21">
        <f t="shared" si="103"/>
        <v>1.99</v>
      </c>
      <c r="BP648" s="21">
        <f t="shared" si="104"/>
        <v>4.0199999999999996</v>
      </c>
      <c r="BQ648" s="14">
        <f t="shared" si="105"/>
        <v>10.73</v>
      </c>
      <c r="BR648" s="22" t="str">
        <f>IF(OR(AND(X648="Mourões", BQ648&gt;=6.5),AND(X648="Postes", BQ648&gt;=9.6),AND(X648="Dormentes", BQ648&gt;=9.6),AND(X648="Estacas - Solo", BQ648&gt;=6.5),AND(X648="Estacas - Suspenso", BQ648&gt;=4),AND(X648="Cruzetas", BQ648&gt;=6.5),AND(X648="Outros - Solo", BQ648&gt;=6.5),AND(X648="Outros - Suspenso",BQ648&gt;=4),AND(X648="Deck",BQ648&gt;=4)),'Listas suspensas'!$C$21,'Listas suspensas'!$C$22)</f>
        <v>Os resultados da análise química apresentaram uma retenção do produto de acordo com o padrão mínimo exigido pela norma ABNT NBR 16143</v>
      </c>
    </row>
    <row r="649" spans="2:70" x14ac:dyDescent="0.25">
      <c r="B649" s="8" t="s">
        <v>1781</v>
      </c>
      <c r="C649" s="8" t="s">
        <v>71</v>
      </c>
      <c r="F649" s="11">
        <v>46042</v>
      </c>
      <c r="G649" s="11">
        <v>46043</v>
      </c>
      <c r="H649" s="11">
        <v>46045</v>
      </c>
      <c r="I649" s="8" t="s">
        <v>1798</v>
      </c>
      <c r="J649" s="8" t="s">
        <v>1799</v>
      </c>
      <c r="K649" s="8" t="s">
        <v>92</v>
      </c>
      <c r="L649" s="8" t="s">
        <v>15</v>
      </c>
      <c r="M649" s="30" t="s">
        <v>1800</v>
      </c>
      <c r="N649" s="8" t="s">
        <v>1165</v>
      </c>
      <c r="O649" s="8" t="s">
        <v>545</v>
      </c>
      <c r="P649" s="28" t="s">
        <v>174</v>
      </c>
      <c r="Q649" s="16" t="s">
        <v>1797</v>
      </c>
      <c r="X649" s="8" t="s">
        <v>79</v>
      </c>
      <c r="Y649" s="34">
        <f>IF(X649='Listas suspensas'!$A$21,'Listas suspensas'!$B$23,IF(X649='Listas suspensas'!$A$22,'Listas suspensas'!$B$23,IF(X649='Listas suspensas'!$A$23,'Listas suspensas'!$B$22,IF(X649='Listas suspensas'!$A$26,'Listas suspensas'!$B$22,IF(X649='Listas suspensas'!$A$32,'Listas suspensas'!$B$22,IF(X649='Listas suspensas'!$A$33,'Listas suspensas'!$B$21,IF(X649='Listas suspensas'!$A$24,'Listas suspensas'!$B$22,IF(X649='Listas suspensas'!$A$25,'Listas suspensas'!$B$21,IF(X649='Listas suspensas'!$A$30,'Listas suspensas'!$B$21,"")))))))))</f>
        <v>6.5</v>
      </c>
      <c r="Z649" s="8" t="s">
        <v>80</v>
      </c>
      <c r="AA649" s="8">
        <v>3</v>
      </c>
      <c r="AB649" s="8" t="str">
        <f>IF(AA649='Listas suspensas'!$A$2,'Listas suspensas'!$B$2,IF(AA649='Listas suspensas'!$A$3,'Listas suspensas'!$B$3,IF(AA649='Listas suspensas'!$A$4,'Listas suspensas'!$B$4,IF(AA649='Listas suspensas'!$A$5,'Listas suspensas'!$B$5,IF(AA649='Listas suspensas'!$A$6,'Listas suspensas'!$B$6,"")))))</f>
        <v xml:space="preserve"> Parcial e regular</v>
      </c>
      <c r="AC649" s="8" t="str">
        <f>IF(AA649='Listas suspensas'!$A$2,'Listas suspensas'!$C$2,IF(AA649='Listas suspensas'!$A$3,'Listas suspensas'!$C$3,IF(AA649='Listas suspensas'!$A$4,'Listas suspensas'!$C$4,IF(AA649='Listas suspensas'!$A$5,'Listas suspensas'!$C$5,IF(AA649='Listas suspensas'!$A$6,'Listas suspensas'!$C$6,"")))))</f>
        <v>Indica a penetração uniforme, mas não total pela extensão do alburno.</v>
      </c>
      <c r="BD649" s="13">
        <v>0.97199999999999998</v>
      </c>
      <c r="BE649" s="18">
        <f t="shared" si="106"/>
        <v>972</v>
      </c>
      <c r="BF649" s="8">
        <v>0.23799999999999999</v>
      </c>
      <c r="BG649" s="8">
        <v>0.13800000000000001</v>
      </c>
      <c r="BH649" s="8">
        <v>0.308</v>
      </c>
      <c r="BI649" s="13">
        <f t="shared" si="107"/>
        <v>0.68399999999999994</v>
      </c>
      <c r="BJ649" s="14">
        <v>34.9</v>
      </c>
      <c r="BK649" s="14">
        <v>20.100000000000001</v>
      </c>
      <c r="BL649" s="14">
        <v>45</v>
      </c>
      <c r="BM649" s="16">
        <f t="shared" si="101"/>
        <v>100</v>
      </c>
      <c r="BN649" s="21">
        <f t="shared" si="102"/>
        <v>2.31</v>
      </c>
      <c r="BO649" s="21">
        <f t="shared" si="103"/>
        <v>1.34</v>
      </c>
      <c r="BP649" s="21">
        <f t="shared" si="104"/>
        <v>2.99</v>
      </c>
      <c r="BQ649" s="14">
        <f t="shared" si="105"/>
        <v>6.64</v>
      </c>
      <c r="BR649" s="22" t="str">
        <f>IF(OR(AND(X649="Mourões", BQ649&gt;=6.5),AND(X649="Postes", BQ649&gt;=9.6),AND(X649="Dormentes", BQ649&gt;=9.6),AND(X649="Estacas - Solo", BQ649&gt;=6.5),AND(X649="Estacas - Suspenso", BQ649&gt;=4),AND(X649="Cruzetas", BQ649&gt;=6.5),AND(X649="Outros - Solo", BQ649&gt;=6.5),AND(X649="Outros - Suspenso",BQ649&gt;=4),AND(X649="Deck",BQ649&gt;=4)),'Listas suspensas'!$C$21,'Listas suspensas'!$C$22)</f>
        <v>Os resultados da análise química apresentaram uma retenção do produto de acordo com o padrão mínimo exigido pela norma ABNT NBR 16143</v>
      </c>
    </row>
    <row r="650" spans="2:70" x14ac:dyDescent="0.25">
      <c r="B650" s="8" t="s">
        <v>1782</v>
      </c>
      <c r="C650" s="8" t="s">
        <v>71</v>
      </c>
      <c r="F650" s="11">
        <v>46042</v>
      </c>
      <c r="G650" s="11">
        <v>46043</v>
      </c>
      <c r="H650" s="11">
        <v>46045</v>
      </c>
      <c r="I650" s="8" t="s">
        <v>1789</v>
      </c>
      <c r="J650" s="8" t="s">
        <v>522</v>
      </c>
      <c r="K650" s="8" t="s">
        <v>1726</v>
      </c>
      <c r="L650" s="8" t="s">
        <v>15</v>
      </c>
      <c r="M650" s="30" t="s">
        <v>524</v>
      </c>
      <c r="N650" s="8" t="s">
        <v>1165</v>
      </c>
      <c r="O650" s="8" t="s">
        <v>94</v>
      </c>
      <c r="P650" s="28" t="s">
        <v>77</v>
      </c>
      <c r="Q650" s="16" t="s">
        <v>1727</v>
      </c>
      <c r="X650" s="8" t="s">
        <v>79</v>
      </c>
      <c r="Y650" s="34">
        <f>IF(X650='Listas suspensas'!$A$21,'Listas suspensas'!$B$23,IF(X650='Listas suspensas'!$A$22,'Listas suspensas'!$B$23,IF(X650='Listas suspensas'!$A$23,'Listas suspensas'!$B$22,IF(X650='Listas suspensas'!$A$26,'Listas suspensas'!$B$22,IF(X650='Listas suspensas'!$A$32,'Listas suspensas'!$B$22,IF(X650='Listas suspensas'!$A$33,'Listas suspensas'!$B$21,IF(X650='Listas suspensas'!$A$24,'Listas suspensas'!$B$22,IF(X650='Listas suspensas'!$A$25,'Listas suspensas'!$B$21,IF(X650='Listas suspensas'!$A$30,'Listas suspensas'!$B$21,"")))))))))</f>
        <v>6.5</v>
      </c>
      <c r="Z650" s="8" t="s">
        <v>80</v>
      </c>
      <c r="AA650" s="8">
        <v>3</v>
      </c>
      <c r="AB650" s="8" t="str">
        <f>IF(AA650='Listas suspensas'!$A$2,'Listas suspensas'!$B$2,IF(AA650='Listas suspensas'!$A$3,'Listas suspensas'!$B$3,IF(AA650='Listas suspensas'!$A$4,'Listas suspensas'!$B$4,IF(AA650='Listas suspensas'!$A$5,'Listas suspensas'!$B$5,IF(AA650='Listas suspensas'!$A$6,'Listas suspensas'!$B$6,"")))))</f>
        <v xml:space="preserve"> Parcial e regular</v>
      </c>
      <c r="AC650" s="8" t="str">
        <f>IF(AA650='Listas suspensas'!$A$2,'Listas suspensas'!$C$2,IF(AA650='Listas suspensas'!$A$3,'Listas suspensas'!$C$3,IF(AA650='Listas suspensas'!$A$4,'Listas suspensas'!$C$4,IF(AA650='Listas suspensas'!$A$5,'Listas suspensas'!$C$5,IF(AA650='Listas suspensas'!$A$6,'Listas suspensas'!$C$6,"")))))</f>
        <v>Indica a penetração uniforme, mas não total pela extensão do alburno.</v>
      </c>
      <c r="BD650" s="13">
        <v>0.76600000000000001</v>
      </c>
      <c r="BE650" s="18">
        <f t="shared" si="106"/>
        <v>766</v>
      </c>
      <c r="BF650" s="8">
        <v>0.52500000000000002</v>
      </c>
      <c r="BG650" s="8">
        <v>0.23200000000000001</v>
      </c>
      <c r="BH650" s="8">
        <v>0.48899999999999999</v>
      </c>
      <c r="BI650" s="13">
        <f t="shared" si="107"/>
        <v>1.246</v>
      </c>
      <c r="BJ650" s="14">
        <v>42.2</v>
      </c>
      <c r="BK650" s="14">
        <v>18.600000000000001</v>
      </c>
      <c r="BL650" s="14">
        <v>39.200000000000003</v>
      </c>
      <c r="BM650" s="16">
        <f t="shared" si="101"/>
        <v>100</v>
      </c>
      <c r="BN650" s="21">
        <f t="shared" si="102"/>
        <v>4.0199999999999996</v>
      </c>
      <c r="BO650" s="21">
        <f t="shared" si="103"/>
        <v>1.78</v>
      </c>
      <c r="BP650" s="21">
        <f t="shared" si="104"/>
        <v>3.75</v>
      </c>
      <c r="BQ650" s="14">
        <f t="shared" si="105"/>
        <v>9.5500000000000007</v>
      </c>
      <c r="BR650" s="22" t="str">
        <f>IF(OR(AND(X650="Mourões", BQ650&gt;=6.5),AND(X650="Postes", BQ650&gt;=9.6),AND(X650="Dormentes", BQ650&gt;=9.6),AND(X650="Estacas - Solo", BQ650&gt;=6.5),AND(X650="Estacas - Suspenso", BQ650&gt;=4),AND(X650="Cruzetas", BQ650&gt;=6.5),AND(X650="Outros - Solo", BQ650&gt;=6.5),AND(X650="Outros - Suspenso",BQ650&gt;=4),AND(X650="Deck",BQ650&gt;=4)),'Listas suspensas'!$C$21,'Listas suspensas'!$C$22)</f>
        <v>Os resultados da análise química apresentaram uma retenção do produto de acordo com o padrão mínimo exigido pela norma ABNT NBR 16143</v>
      </c>
    </row>
    <row r="651" spans="2:70" x14ac:dyDescent="0.25">
      <c r="B651" s="8" t="s">
        <v>1803</v>
      </c>
      <c r="C651" s="8" t="s">
        <v>71</v>
      </c>
      <c r="F651" s="11">
        <v>46044</v>
      </c>
      <c r="G651" s="11">
        <v>46048</v>
      </c>
      <c r="H651" s="11">
        <v>46051</v>
      </c>
      <c r="I651" s="8" t="s">
        <v>1820</v>
      </c>
      <c r="J651" s="8" t="s">
        <v>1821</v>
      </c>
      <c r="K651" s="8" t="s">
        <v>92</v>
      </c>
      <c r="L651" s="8" t="s">
        <v>15</v>
      </c>
      <c r="M651" s="30" t="s">
        <v>1822</v>
      </c>
      <c r="N651" s="8" t="s">
        <v>1165</v>
      </c>
      <c r="O651" s="8" t="s">
        <v>94</v>
      </c>
      <c r="P651" s="28" t="s">
        <v>77</v>
      </c>
      <c r="Q651" s="16" t="s">
        <v>1814</v>
      </c>
      <c r="X651" s="8" t="s">
        <v>79</v>
      </c>
      <c r="Y651" s="34">
        <f>IF(X651='Listas suspensas'!$A$21,'Listas suspensas'!$B$23,IF(X651='Listas suspensas'!$A$22,'Listas suspensas'!$B$23,IF(X651='Listas suspensas'!$A$23,'Listas suspensas'!$B$22,IF(X651='Listas suspensas'!$A$26,'Listas suspensas'!$B$22,IF(X651='Listas suspensas'!$A$32,'Listas suspensas'!$B$22,IF(X651='Listas suspensas'!$A$33,'Listas suspensas'!$B$21,IF(X651='Listas suspensas'!$A$24,'Listas suspensas'!$B$22,IF(X651='Listas suspensas'!$A$25,'Listas suspensas'!$B$21,IF(X651='Listas suspensas'!$A$30,'Listas suspensas'!$B$21,"")))))))))</f>
        <v>6.5</v>
      </c>
      <c r="Z651" s="8" t="s">
        <v>80</v>
      </c>
      <c r="AA651" s="8">
        <v>3</v>
      </c>
      <c r="AB651" s="8" t="str">
        <f>IF(AA651='Listas suspensas'!$A$2,'Listas suspensas'!$B$2,IF(AA651='Listas suspensas'!$A$3,'Listas suspensas'!$B$3,IF(AA651='Listas suspensas'!$A$4,'Listas suspensas'!$B$4,IF(AA651='Listas suspensas'!$A$5,'Listas suspensas'!$B$5,IF(AA651='Listas suspensas'!$A$6,'Listas suspensas'!$B$6,"")))))</f>
        <v xml:space="preserve"> Parcial e regular</v>
      </c>
      <c r="AC651" s="8" t="str">
        <f>IF(AA651='Listas suspensas'!$A$2,'Listas suspensas'!$C$2,IF(AA651='Listas suspensas'!$A$3,'Listas suspensas'!$C$3,IF(AA651='Listas suspensas'!$A$4,'Listas suspensas'!$C$4,IF(AA651='Listas suspensas'!$A$5,'Listas suspensas'!$C$5,IF(AA651='Listas suspensas'!$A$6,'Listas suspensas'!$C$6,"")))))</f>
        <v>Indica a penetração uniforme, mas não total pela extensão do alburno.</v>
      </c>
      <c r="BD651" s="13">
        <v>0.81</v>
      </c>
      <c r="BE651" s="18">
        <f t="shared" si="106"/>
        <v>810</v>
      </c>
      <c r="BF651" s="8">
        <v>0.63200000000000001</v>
      </c>
      <c r="BG651" s="8">
        <v>0.248</v>
      </c>
      <c r="BH651" s="8">
        <v>0.63600000000000001</v>
      </c>
      <c r="BI651" s="13">
        <f t="shared" si="107"/>
        <v>1.516</v>
      </c>
      <c r="BJ651" s="14">
        <v>41.7</v>
      </c>
      <c r="BK651" s="14">
        <v>16.399999999999999</v>
      </c>
      <c r="BL651" s="14">
        <v>41.9</v>
      </c>
      <c r="BM651" s="16">
        <f t="shared" si="101"/>
        <v>100</v>
      </c>
      <c r="BN651" s="21">
        <f t="shared" si="102"/>
        <v>5.12</v>
      </c>
      <c r="BO651" s="21">
        <f t="shared" si="103"/>
        <v>2.0099999999999998</v>
      </c>
      <c r="BP651" s="21">
        <f t="shared" si="104"/>
        <v>5.15</v>
      </c>
      <c r="BQ651" s="14">
        <f t="shared" si="105"/>
        <v>12.28</v>
      </c>
      <c r="BR651" s="22" t="str">
        <f>IF(OR(AND(X651="Mourões", BQ651&gt;=6.5),AND(X651="Postes", BQ651&gt;=9.6),AND(X651="Dormentes", BQ651&gt;=9.6),AND(X651="Estacas - Solo", BQ651&gt;=6.5),AND(X651="Estacas - Suspenso", BQ651&gt;=4),AND(X651="Cruzetas", BQ651&gt;=6.5),AND(X651="Outros - Solo", BQ651&gt;=6.5),AND(X651="Outros - Suspenso",BQ651&gt;=4),AND(X651="Deck",BQ651&gt;=4)),'Listas suspensas'!$C$21,'Listas suspensas'!$C$22)</f>
        <v>Os resultados da análise química apresentaram uma retenção do produto de acordo com o padrão mínimo exigido pela norma ABNT NBR 16143</v>
      </c>
    </row>
    <row r="652" spans="2:70" x14ac:dyDescent="0.25">
      <c r="B652" s="8" t="s">
        <v>1804</v>
      </c>
      <c r="C652" s="8" t="s">
        <v>71</v>
      </c>
      <c r="F652" s="11">
        <v>46044</v>
      </c>
      <c r="G652" s="11">
        <v>46048</v>
      </c>
      <c r="H652" s="11">
        <v>46051</v>
      </c>
      <c r="I652" s="8" t="s">
        <v>1820</v>
      </c>
      <c r="J652" s="8" t="s">
        <v>1821</v>
      </c>
      <c r="K652" s="8" t="s">
        <v>92</v>
      </c>
      <c r="L652" s="8" t="s">
        <v>15</v>
      </c>
      <c r="M652" s="30" t="s">
        <v>1822</v>
      </c>
      <c r="N652" s="8" t="s">
        <v>1165</v>
      </c>
      <c r="O652" s="8" t="s">
        <v>94</v>
      </c>
      <c r="P652" s="28" t="s">
        <v>77</v>
      </c>
      <c r="Q652" s="16" t="s">
        <v>1815</v>
      </c>
      <c r="X652" s="8" t="s">
        <v>98</v>
      </c>
      <c r="Y652" s="34">
        <f>IF(X652='Listas suspensas'!$A$21,'Listas suspensas'!$B$23,IF(X652='Listas suspensas'!$A$22,'Listas suspensas'!$B$23,IF(X652='Listas suspensas'!$A$23,'Listas suspensas'!$B$22,IF(X652='Listas suspensas'!$A$26,'Listas suspensas'!$B$22,IF(X652='Listas suspensas'!$A$32,'Listas suspensas'!$B$22,IF(X652='Listas suspensas'!$A$33,'Listas suspensas'!$B$21,IF(X652='Listas suspensas'!$A$24,'Listas suspensas'!$B$22,IF(X652='Listas suspensas'!$A$25,'Listas suspensas'!$B$21,IF(X652='Listas suspensas'!$A$30,'Listas suspensas'!$B$21,"")))))))))</f>
        <v>9.6</v>
      </c>
      <c r="Z652" s="8" t="s">
        <v>80</v>
      </c>
      <c r="AA652" s="8">
        <v>3</v>
      </c>
      <c r="AB652" s="8" t="str">
        <f>IF(AA652='Listas suspensas'!$A$2,'Listas suspensas'!$B$2,IF(AA652='Listas suspensas'!$A$3,'Listas suspensas'!$B$3,IF(AA652='Listas suspensas'!$A$4,'Listas suspensas'!$B$4,IF(AA652='Listas suspensas'!$A$5,'Listas suspensas'!$B$5,IF(AA652='Listas suspensas'!$A$6,'Listas suspensas'!$B$6,"")))))</f>
        <v xml:space="preserve"> Parcial e regular</v>
      </c>
      <c r="AC652" s="8" t="str">
        <f>IF(AA652='Listas suspensas'!$A$2,'Listas suspensas'!$C$2,IF(AA652='Listas suspensas'!$A$3,'Listas suspensas'!$C$3,IF(AA652='Listas suspensas'!$A$4,'Listas suspensas'!$C$4,IF(AA652='Listas suspensas'!$A$5,'Listas suspensas'!$C$5,IF(AA652='Listas suspensas'!$A$6,'Listas suspensas'!$C$6,"")))))</f>
        <v>Indica a penetração uniforme, mas não total pela extensão do alburno.</v>
      </c>
      <c r="BD652" s="13">
        <v>0.73</v>
      </c>
      <c r="BE652" s="18">
        <f t="shared" si="106"/>
        <v>730</v>
      </c>
      <c r="BF652" s="8">
        <v>0.59099999999999997</v>
      </c>
      <c r="BG652" s="8">
        <v>0.23</v>
      </c>
      <c r="BH652" s="8">
        <v>0.53800000000000003</v>
      </c>
      <c r="BI652" s="13">
        <f t="shared" si="107"/>
        <v>1.359</v>
      </c>
      <c r="BJ652" s="14">
        <v>43.5</v>
      </c>
      <c r="BK652" s="14">
        <v>16.899999999999999</v>
      </c>
      <c r="BL652" s="14">
        <v>39.6</v>
      </c>
      <c r="BM652" s="16">
        <f t="shared" si="101"/>
        <v>100</v>
      </c>
      <c r="BN652" s="21">
        <f t="shared" si="102"/>
        <v>4.3099999999999996</v>
      </c>
      <c r="BO652" s="21">
        <f t="shared" si="103"/>
        <v>1.68</v>
      </c>
      <c r="BP652" s="21">
        <f t="shared" si="104"/>
        <v>3.93</v>
      </c>
      <c r="BQ652" s="14">
        <f t="shared" si="105"/>
        <v>9.92</v>
      </c>
      <c r="BR652" s="22" t="str">
        <f>IF(OR(AND(X652="Mourões", BQ652&gt;=6.5),AND(X652="Postes", BQ652&gt;=9.6),AND(X652="Dormentes", BQ652&gt;=9.6),AND(X652="Estacas - Solo", BQ652&gt;=6.5),AND(X652="Estacas - Suspenso", BQ652&gt;=4),AND(X652="Cruzetas", BQ652&gt;=6.5),AND(X652="Outros - Solo", BQ652&gt;=6.5),AND(X652="Outros - Suspenso",BQ652&gt;=4),AND(X652="Deck",BQ652&gt;=4)),'Listas suspensas'!$C$21,'Listas suspensas'!$C$22)</f>
        <v>Os resultados da análise química apresentaram uma retenção do produto de acordo com o padrão mínimo exigido pela norma ABNT NBR 16143</v>
      </c>
    </row>
    <row r="653" spans="2:70" x14ac:dyDescent="0.25">
      <c r="B653" s="8" t="s">
        <v>1805</v>
      </c>
      <c r="C653" s="8" t="s">
        <v>71</v>
      </c>
      <c r="F653" s="11">
        <v>46044</v>
      </c>
      <c r="G653" s="11">
        <v>46048</v>
      </c>
      <c r="H653" s="11">
        <v>46051</v>
      </c>
      <c r="I653" s="8" t="s">
        <v>1820</v>
      </c>
      <c r="J653" s="8" t="s">
        <v>1821</v>
      </c>
      <c r="K653" s="8" t="s">
        <v>92</v>
      </c>
      <c r="L653" s="8" t="s">
        <v>15</v>
      </c>
      <c r="M653" s="30" t="s">
        <v>1822</v>
      </c>
      <c r="N653" s="8" t="s">
        <v>1165</v>
      </c>
      <c r="O653" s="8" t="s">
        <v>94</v>
      </c>
      <c r="P653" s="28" t="s">
        <v>77</v>
      </c>
      <c r="Q653" s="16" t="s">
        <v>1816</v>
      </c>
      <c r="X653" s="8" t="s">
        <v>79</v>
      </c>
      <c r="Y653" s="34">
        <f>IF(X653='Listas suspensas'!$A$21,'Listas suspensas'!$B$23,IF(X653='Listas suspensas'!$A$22,'Listas suspensas'!$B$23,IF(X653='Listas suspensas'!$A$23,'Listas suspensas'!$B$22,IF(X653='Listas suspensas'!$A$26,'Listas suspensas'!$B$22,IF(X653='Listas suspensas'!$A$32,'Listas suspensas'!$B$22,IF(X653='Listas suspensas'!$A$33,'Listas suspensas'!$B$21,IF(X653='Listas suspensas'!$A$24,'Listas suspensas'!$B$22,IF(X653='Listas suspensas'!$A$25,'Listas suspensas'!$B$21,IF(X653='Listas suspensas'!$A$30,'Listas suspensas'!$B$21,"")))))))))</f>
        <v>6.5</v>
      </c>
      <c r="Z653" s="8" t="s">
        <v>80</v>
      </c>
      <c r="AA653" s="8">
        <v>2</v>
      </c>
      <c r="AB653" s="8" t="str">
        <f>IF(AA653='Listas suspensas'!$A$2,'Listas suspensas'!$B$2,IF(AA653='Listas suspensas'!$A$3,'Listas suspensas'!$B$3,IF(AA653='Listas suspensas'!$A$4,'Listas suspensas'!$B$4,IF(AA653='Listas suspensas'!$A$5,'Listas suspensas'!$B$5,IF(AA653='Listas suspensas'!$A$6,'Listas suspensas'!$B$6,"")))))</f>
        <v>Profunda e irregular</v>
      </c>
      <c r="AC653" s="8" t="str">
        <f>IF(AA653='Listas suspensas'!$A$2,'Listas suspensas'!$C$2,IF(AA653='Listas suspensas'!$A$3,'Listas suspensas'!$C$3,IF(AA653='Listas suspensas'!$A$4,'Listas suspensas'!$C$4,IF(AA653='Listas suspensas'!$A$5,'Listas suspensas'!$C$5,IF(AA653='Listas suspensas'!$A$6,'Listas suspensas'!$C$6,"")))))</f>
        <v>Indica a penetração profunda, mas desuniforme em toda a extensão do alburno.</v>
      </c>
      <c r="BD653" s="13">
        <v>0.50800000000000001</v>
      </c>
      <c r="BE653" s="18">
        <f t="shared" si="106"/>
        <v>508</v>
      </c>
      <c r="BF653" s="8">
        <v>0.63800000000000001</v>
      </c>
      <c r="BG653" s="8">
        <v>0.26500000000000001</v>
      </c>
      <c r="BH653" s="8">
        <v>0.68200000000000005</v>
      </c>
      <c r="BI653" s="13">
        <f t="shared" si="107"/>
        <v>1.585</v>
      </c>
      <c r="BJ653" s="14">
        <v>40.299999999999997</v>
      </c>
      <c r="BK653" s="14">
        <v>16.7</v>
      </c>
      <c r="BL653" s="14">
        <v>43</v>
      </c>
      <c r="BM653" s="16">
        <f t="shared" si="101"/>
        <v>100</v>
      </c>
      <c r="BN653" s="21">
        <f t="shared" si="102"/>
        <v>3.24</v>
      </c>
      <c r="BO653" s="21">
        <f t="shared" si="103"/>
        <v>1.35</v>
      </c>
      <c r="BP653" s="21">
        <f t="shared" si="104"/>
        <v>3.46</v>
      </c>
      <c r="BQ653" s="14">
        <f t="shared" si="105"/>
        <v>8.0500000000000007</v>
      </c>
      <c r="BR653" s="22" t="str">
        <f>IF(OR(AND(X653="Mourões", BQ653&gt;=6.5),AND(X653="Postes", BQ653&gt;=9.6),AND(X653="Dormentes", BQ653&gt;=9.6),AND(X653="Estacas - Solo", BQ653&gt;=6.5),AND(X653="Estacas - Suspenso", BQ653&gt;=4),AND(X653="Cruzetas", BQ653&gt;=6.5),AND(X653="Outros - Solo", BQ653&gt;=6.5),AND(X653="Outros - Suspenso",BQ653&gt;=4),AND(X653="Deck",BQ653&gt;=4)),'Listas suspensas'!$C$21,'Listas suspensas'!$C$22)</f>
        <v>Os resultados da análise química apresentaram uma retenção do produto de acordo com o padrão mínimo exigido pela norma ABNT NBR 16143</v>
      </c>
    </row>
    <row r="654" spans="2:70" x14ac:dyDescent="0.25">
      <c r="B654" s="8" t="s">
        <v>1806</v>
      </c>
      <c r="C654" s="8" t="s">
        <v>71</v>
      </c>
      <c r="F654" s="11">
        <v>46044</v>
      </c>
      <c r="G654" s="11">
        <v>46048</v>
      </c>
      <c r="H654" s="11">
        <v>46051</v>
      </c>
      <c r="I654" s="8" t="s">
        <v>1820</v>
      </c>
      <c r="J654" s="8" t="s">
        <v>1821</v>
      </c>
      <c r="K654" s="8" t="s">
        <v>92</v>
      </c>
      <c r="L654" s="8" t="s">
        <v>15</v>
      </c>
      <c r="M654" s="30" t="s">
        <v>1822</v>
      </c>
      <c r="N654" s="8" t="s">
        <v>1165</v>
      </c>
      <c r="O654" s="8" t="s">
        <v>94</v>
      </c>
      <c r="P654" s="28" t="s">
        <v>77</v>
      </c>
      <c r="Q654" s="16" t="s">
        <v>1817</v>
      </c>
      <c r="X654" s="8" t="s">
        <v>79</v>
      </c>
      <c r="Y654" s="34">
        <f>IF(X654='Listas suspensas'!$A$21,'Listas suspensas'!$B$23,IF(X654='Listas suspensas'!$A$22,'Listas suspensas'!$B$23,IF(X654='Listas suspensas'!$A$23,'Listas suspensas'!$B$22,IF(X654='Listas suspensas'!$A$26,'Listas suspensas'!$B$22,IF(X654='Listas suspensas'!$A$32,'Listas suspensas'!$B$22,IF(X654='Listas suspensas'!$A$33,'Listas suspensas'!$B$21,IF(X654='Listas suspensas'!$A$24,'Listas suspensas'!$B$22,IF(X654='Listas suspensas'!$A$25,'Listas suspensas'!$B$21,IF(X654='Listas suspensas'!$A$30,'Listas suspensas'!$B$21,"")))))))))</f>
        <v>6.5</v>
      </c>
      <c r="Z654" s="8" t="s">
        <v>80</v>
      </c>
      <c r="AA654" s="8">
        <v>3</v>
      </c>
      <c r="AB654" s="8" t="str">
        <f>IF(AA654='Listas suspensas'!$A$2,'Listas suspensas'!$B$2,IF(AA654='Listas suspensas'!$A$3,'Listas suspensas'!$B$3,IF(AA654='Listas suspensas'!$A$4,'Listas suspensas'!$B$4,IF(AA654='Listas suspensas'!$A$5,'Listas suspensas'!$B$5,IF(AA654='Listas suspensas'!$A$6,'Listas suspensas'!$B$6,"")))))</f>
        <v xml:space="preserve"> Parcial e regular</v>
      </c>
      <c r="AC654" s="8" t="str">
        <f>IF(AA654='Listas suspensas'!$A$2,'Listas suspensas'!$C$2,IF(AA654='Listas suspensas'!$A$3,'Listas suspensas'!$C$3,IF(AA654='Listas suspensas'!$A$4,'Listas suspensas'!$C$4,IF(AA654='Listas suspensas'!$A$5,'Listas suspensas'!$C$5,IF(AA654='Listas suspensas'!$A$6,'Listas suspensas'!$C$6,"")))))</f>
        <v>Indica a penetração uniforme, mas não total pela extensão do alburno.</v>
      </c>
      <c r="BD654" s="13">
        <v>0.69299999999999995</v>
      </c>
      <c r="BE654" s="18">
        <f t="shared" si="106"/>
        <v>693</v>
      </c>
      <c r="BF654" s="8">
        <v>0.76900000000000002</v>
      </c>
      <c r="BG654" s="8">
        <v>0.307</v>
      </c>
      <c r="BH654" s="8">
        <v>0.64300000000000002</v>
      </c>
      <c r="BI654" s="13">
        <f t="shared" si="107"/>
        <v>1.7190000000000001</v>
      </c>
      <c r="BJ654" s="14">
        <v>44.8</v>
      </c>
      <c r="BK654" s="14">
        <v>17.899999999999999</v>
      </c>
      <c r="BL654" s="14">
        <v>37.299999999999997</v>
      </c>
      <c r="BM654" s="16">
        <f t="shared" si="101"/>
        <v>100</v>
      </c>
      <c r="BN654" s="21">
        <f t="shared" si="102"/>
        <v>5.33</v>
      </c>
      <c r="BO654" s="21">
        <f t="shared" si="103"/>
        <v>2.13</v>
      </c>
      <c r="BP654" s="21">
        <f t="shared" si="104"/>
        <v>4.46</v>
      </c>
      <c r="BQ654" s="14">
        <f t="shared" si="105"/>
        <v>11.92</v>
      </c>
      <c r="BR654" s="22" t="str">
        <f>IF(OR(AND(X654="Mourões", BQ654&gt;=6.5),AND(X654="Postes", BQ654&gt;=9.6),AND(X654="Dormentes", BQ654&gt;=9.6),AND(X654="Estacas - Solo", BQ654&gt;=6.5),AND(X654="Estacas - Suspenso", BQ654&gt;=4),AND(X654="Cruzetas", BQ654&gt;=6.5),AND(X654="Outros - Solo", BQ654&gt;=6.5),AND(X654="Outros - Suspenso",BQ654&gt;=4),AND(X654="Deck",BQ654&gt;=4)),'Listas suspensas'!$C$21,'Listas suspensas'!$C$22)</f>
        <v>Os resultados da análise química apresentaram uma retenção do produto de acordo com o padrão mínimo exigido pela norma ABNT NBR 16143</v>
      </c>
    </row>
    <row r="655" spans="2:70" x14ac:dyDescent="0.25">
      <c r="B655" s="8" t="s">
        <v>1807</v>
      </c>
      <c r="C655" s="8" t="s">
        <v>71</v>
      </c>
      <c r="F655" s="11">
        <v>46044</v>
      </c>
      <c r="G655" s="11">
        <v>46048</v>
      </c>
      <c r="H655" s="11">
        <v>46051</v>
      </c>
      <c r="I655" s="8" t="s">
        <v>1820</v>
      </c>
      <c r="J655" s="8" t="s">
        <v>1821</v>
      </c>
      <c r="K655" s="8" t="s">
        <v>92</v>
      </c>
      <c r="L655" s="8" t="s">
        <v>15</v>
      </c>
      <c r="M655" s="30" t="s">
        <v>1822</v>
      </c>
      <c r="N655" s="8" t="s">
        <v>1165</v>
      </c>
      <c r="O655" s="8" t="s">
        <v>94</v>
      </c>
      <c r="P655" s="28" t="s">
        <v>77</v>
      </c>
      <c r="Q655" s="16" t="s">
        <v>1818</v>
      </c>
      <c r="X655" s="8" t="s">
        <v>79</v>
      </c>
      <c r="Y655" s="34">
        <f>IF(X655='Listas suspensas'!$A$21,'Listas suspensas'!$B$23,IF(X655='Listas suspensas'!$A$22,'Listas suspensas'!$B$23,IF(X655='Listas suspensas'!$A$23,'Listas suspensas'!$B$22,IF(X655='Listas suspensas'!$A$26,'Listas suspensas'!$B$22,IF(X655='Listas suspensas'!$A$32,'Listas suspensas'!$B$22,IF(X655='Listas suspensas'!$A$33,'Listas suspensas'!$B$21,IF(X655='Listas suspensas'!$A$24,'Listas suspensas'!$B$22,IF(X655='Listas suspensas'!$A$25,'Listas suspensas'!$B$21,IF(X655='Listas suspensas'!$A$30,'Listas suspensas'!$B$21,"")))))))))</f>
        <v>6.5</v>
      </c>
      <c r="Z655" s="8" t="s">
        <v>80</v>
      </c>
      <c r="AA655" s="8">
        <v>3</v>
      </c>
      <c r="AB655" s="8" t="str">
        <f>IF(AA655='Listas suspensas'!$A$2,'Listas suspensas'!$B$2,IF(AA655='Listas suspensas'!$A$3,'Listas suspensas'!$B$3,IF(AA655='Listas suspensas'!$A$4,'Listas suspensas'!$B$4,IF(AA655='Listas suspensas'!$A$5,'Listas suspensas'!$B$5,IF(AA655='Listas suspensas'!$A$6,'Listas suspensas'!$B$6,"")))))</f>
        <v xml:space="preserve"> Parcial e regular</v>
      </c>
      <c r="AC655" s="8" t="str">
        <f>IF(AA655='Listas suspensas'!$A$2,'Listas suspensas'!$C$2,IF(AA655='Listas suspensas'!$A$3,'Listas suspensas'!$C$3,IF(AA655='Listas suspensas'!$A$4,'Listas suspensas'!$C$4,IF(AA655='Listas suspensas'!$A$5,'Listas suspensas'!$C$5,IF(AA655='Listas suspensas'!$A$6,'Listas suspensas'!$C$6,"")))))</f>
        <v>Indica a penetração uniforme, mas não total pela extensão do alburno.</v>
      </c>
      <c r="BD655" s="13">
        <v>0.68300000000000005</v>
      </c>
      <c r="BE655" s="18">
        <f t="shared" si="106"/>
        <v>683</v>
      </c>
      <c r="BF655" s="8">
        <v>0.74</v>
      </c>
      <c r="BG655" s="8">
        <v>0.30499999999999999</v>
      </c>
      <c r="BH655" s="8">
        <v>0.69799999999999995</v>
      </c>
      <c r="BI655" s="13">
        <f t="shared" si="107"/>
        <v>1.7429999999999999</v>
      </c>
      <c r="BJ655" s="14">
        <v>42.5</v>
      </c>
      <c r="BK655" s="14">
        <v>17.5</v>
      </c>
      <c r="BL655" s="14">
        <v>40</v>
      </c>
      <c r="BM655" s="16">
        <f t="shared" si="101"/>
        <v>100</v>
      </c>
      <c r="BN655" s="21">
        <f t="shared" si="102"/>
        <v>5.05</v>
      </c>
      <c r="BO655" s="21">
        <f t="shared" si="103"/>
        <v>2.08</v>
      </c>
      <c r="BP655" s="21">
        <f t="shared" si="104"/>
        <v>4.7699999999999996</v>
      </c>
      <c r="BQ655" s="14">
        <f t="shared" si="105"/>
        <v>11.9</v>
      </c>
      <c r="BR655" s="22" t="str">
        <f>IF(OR(AND(X655="Mourões", BQ655&gt;=6.5),AND(X655="Postes", BQ655&gt;=9.6),AND(X655="Dormentes", BQ655&gt;=9.6),AND(X655="Estacas - Solo", BQ655&gt;=6.5),AND(X655="Estacas - Suspenso", BQ655&gt;=4),AND(X655="Cruzetas", BQ655&gt;=6.5),AND(X655="Outros - Solo", BQ655&gt;=6.5),AND(X655="Outros - Suspenso",BQ655&gt;=4),AND(X655="Deck",BQ655&gt;=4)),'Listas suspensas'!$C$21,'Listas suspensas'!$C$22)</f>
        <v>Os resultados da análise química apresentaram uma retenção do produto de acordo com o padrão mínimo exigido pela norma ABNT NBR 16143</v>
      </c>
    </row>
    <row r="656" spans="2:70" x14ac:dyDescent="0.25">
      <c r="B656" s="8" t="s">
        <v>1808</v>
      </c>
      <c r="C656" s="8" t="s">
        <v>71</v>
      </c>
      <c r="F656" s="11">
        <v>46044</v>
      </c>
      <c r="G656" s="11">
        <v>46048</v>
      </c>
      <c r="H656" s="11">
        <v>46051</v>
      </c>
      <c r="I656" s="8" t="s">
        <v>1820</v>
      </c>
      <c r="J656" s="8" t="s">
        <v>1821</v>
      </c>
      <c r="K656" s="8" t="s">
        <v>92</v>
      </c>
      <c r="L656" s="8" t="s">
        <v>1151</v>
      </c>
      <c r="M656" s="30" t="s">
        <v>1822</v>
      </c>
      <c r="N656" s="8" t="s">
        <v>1165</v>
      </c>
      <c r="O656" s="8" t="s">
        <v>94</v>
      </c>
      <c r="P656" s="28" t="s">
        <v>77</v>
      </c>
      <c r="Q656" s="16" t="s">
        <v>1819</v>
      </c>
      <c r="X656" s="8" t="s">
        <v>79</v>
      </c>
      <c r="Y656" s="34">
        <f>IF(X656='Listas suspensas'!$A$21,'Listas suspensas'!$B$23,IF(X656='Listas suspensas'!$A$22,'Listas suspensas'!$B$23,IF(X656='Listas suspensas'!$A$23,'Listas suspensas'!$B$22,IF(X656='Listas suspensas'!$A$26,'Listas suspensas'!$B$22,IF(X656='Listas suspensas'!$A$32,'Listas suspensas'!$B$22,IF(X656='Listas suspensas'!$A$33,'Listas suspensas'!$B$21,IF(X656='Listas suspensas'!$A$24,'Listas suspensas'!$B$22,IF(X656='Listas suspensas'!$A$25,'Listas suspensas'!$B$21,IF(X656='Listas suspensas'!$A$30,'Listas suspensas'!$B$21,"")))))))))</f>
        <v>6.5</v>
      </c>
      <c r="Z656" s="8" t="s">
        <v>80</v>
      </c>
      <c r="AA656" s="8">
        <v>3</v>
      </c>
      <c r="AB656" s="8" t="str">
        <f>IF(AA656='Listas suspensas'!$A$2,'Listas suspensas'!$B$2,IF(AA656='Listas suspensas'!$A$3,'Listas suspensas'!$B$3,IF(AA656='Listas suspensas'!$A$4,'Listas suspensas'!$B$4,IF(AA656='Listas suspensas'!$A$5,'Listas suspensas'!$B$5,IF(AA656='Listas suspensas'!$A$6,'Listas suspensas'!$B$6,"")))))</f>
        <v xml:space="preserve"> Parcial e regular</v>
      </c>
      <c r="AC656" s="8" t="str">
        <f>IF(AA656='Listas suspensas'!$A$2,'Listas suspensas'!$C$2,IF(AA656='Listas suspensas'!$A$3,'Listas suspensas'!$C$3,IF(AA656='Listas suspensas'!$A$4,'Listas suspensas'!$C$4,IF(AA656='Listas suspensas'!$A$5,'Listas suspensas'!$C$5,IF(AA656='Listas suspensas'!$A$6,'Listas suspensas'!$C$6,"")))))</f>
        <v>Indica a penetração uniforme, mas não total pela extensão do alburno.</v>
      </c>
      <c r="BD656" s="13">
        <v>0.72099999999999997</v>
      </c>
      <c r="BE656" s="18">
        <f t="shared" si="106"/>
        <v>721</v>
      </c>
      <c r="BF656" s="8">
        <v>0.67300000000000004</v>
      </c>
      <c r="BG656" s="8">
        <v>0.29299999999999998</v>
      </c>
      <c r="BH656" s="8">
        <v>0.65800000000000003</v>
      </c>
      <c r="BI656" s="13">
        <f t="shared" si="107"/>
        <v>1.6240000000000001</v>
      </c>
      <c r="BJ656" s="14">
        <v>41.4</v>
      </c>
      <c r="BK656" s="14">
        <v>18.100000000000001</v>
      </c>
      <c r="BL656" s="14">
        <v>40.5</v>
      </c>
      <c r="BM656" s="16">
        <f t="shared" si="101"/>
        <v>100</v>
      </c>
      <c r="BN656" s="21">
        <f t="shared" si="102"/>
        <v>4.8499999999999996</v>
      </c>
      <c r="BO656" s="21">
        <f t="shared" si="103"/>
        <v>2.11</v>
      </c>
      <c r="BP656" s="21">
        <f t="shared" si="104"/>
        <v>4.74</v>
      </c>
      <c r="BQ656" s="14">
        <f t="shared" si="105"/>
        <v>11.7</v>
      </c>
      <c r="BR656" s="22" t="str">
        <f>IF(OR(AND(X656="Mourões", BQ656&gt;=6.5),AND(X656="Postes", BQ656&gt;=9.6),AND(X656="Dormentes", BQ656&gt;=9.6),AND(X656="Estacas - Solo", BQ656&gt;=6.5),AND(X656="Estacas - Suspenso", BQ656&gt;=4),AND(X656="Cruzetas", BQ656&gt;=6.5),AND(X656="Outros - Solo", BQ656&gt;=6.5),AND(X656="Outros - Suspenso",BQ656&gt;=4),AND(X656="Deck",BQ656&gt;=4)),'Listas suspensas'!$C$21,'Listas suspensas'!$C$22)</f>
        <v>Os resultados da análise química apresentaram uma retenção do produto de acordo com o padrão mínimo exigido pela norma ABNT NBR 16143</v>
      </c>
    </row>
    <row r="657" spans="2:70" x14ac:dyDescent="0.25">
      <c r="B657" s="8" t="s">
        <v>1809</v>
      </c>
      <c r="C657" s="8" t="s">
        <v>71</v>
      </c>
      <c r="F657" s="11">
        <v>46050</v>
      </c>
      <c r="G657" s="11">
        <v>46050</v>
      </c>
      <c r="H657" s="11">
        <v>46051</v>
      </c>
      <c r="I657" s="8" t="s">
        <v>1581</v>
      </c>
      <c r="J657" s="8" t="s">
        <v>188</v>
      </c>
      <c r="K657" s="8" t="s">
        <v>189</v>
      </c>
      <c r="L657" s="8" t="s">
        <v>15</v>
      </c>
      <c r="M657" s="30" t="s">
        <v>190</v>
      </c>
      <c r="N657" s="8" t="s">
        <v>1165</v>
      </c>
      <c r="O657" s="8" t="s">
        <v>94</v>
      </c>
      <c r="P657" s="28" t="s">
        <v>77</v>
      </c>
      <c r="Q657" s="16" t="s">
        <v>1840</v>
      </c>
      <c r="X657" s="8" t="s">
        <v>79</v>
      </c>
      <c r="Y657" s="34">
        <f>IF(X657='Listas suspensas'!$A$21,'Listas suspensas'!$B$23,IF(X657='Listas suspensas'!$A$22,'Listas suspensas'!$B$23,IF(X657='Listas suspensas'!$A$23,'Listas suspensas'!$B$22,IF(X657='Listas suspensas'!$A$26,'Listas suspensas'!$B$22,IF(X657='Listas suspensas'!$A$32,'Listas suspensas'!$B$22,IF(X657='Listas suspensas'!$A$33,'Listas suspensas'!$B$21,IF(X657='Listas suspensas'!$A$24,'Listas suspensas'!$B$22,IF(X657='Listas suspensas'!$A$25,'Listas suspensas'!$B$21,IF(X657='Listas suspensas'!$A$30,'Listas suspensas'!$B$21,"")))))))))</f>
        <v>6.5</v>
      </c>
      <c r="Z657" s="8" t="s">
        <v>80</v>
      </c>
      <c r="AA657" s="8">
        <v>2</v>
      </c>
      <c r="AB657" s="8" t="str">
        <f>IF(AA657='Listas suspensas'!$A$2,'Listas suspensas'!$B$2,IF(AA657='Listas suspensas'!$A$3,'Listas suspensas'!$B$3,IF(AA657='Listas suspensas'!$A$4,'Listas suspensas'!$B$4,IF(AA657='Listas suspensas'!$A$5,'Listas suspensas'!$B$5,IF(AA657='Listas suspensas'!$A$6,'Listas suspensas'!$B$6,"")))))</f>
        <v>Profunda e irregular</v>
      </c>
      <c r="AC657" s="8" t="str">
        <f>IF(AA657='Listas suspensas'!$A$2,'Listas suspensas'!$C$2,IF(AA657='Listas suspensas'!$A$3,'Listas suspensas'!$C$3,IF(AA657='Listas suspensas'!$A$4,'Listas suspensas'!$C$4,IF(AA657='Listas suspensas'!$A$5,'Listas suspensas'!$C$5,IF(AA657='Listas suspensas'!$A$6,'Listas suspensas'!$C$6,"")))))</f>
        <v>Indica a penetração profunda, mas desuniforme em toda a extensão do alburno.</v>
      </c>
      <c r="BD657" s="13">
        <v>0.67600000000000005</v>
      </c>
      <c r="BE657" s="18">
        <f t="shared" si="106"/>
        <v>676</v>
      </c>
      <c r="BF657" s="8">
        <v>0.70799999999999996</v>
      </c>
      <c r="BG657" s="8">
        <v>0.254</v>
      </c>
      <c r="BH657" s="8">
        <v>0.46600000000000003</v>
      </c>
      <c r="BI657" s="13">
        <f t="shared" si="107"/>
        <v>1.4279999999999999</v>
      </c>
      <c r="BJ657" s="14">
        <v>49.5</v>
      </c>
      <c r="BK657" s="14">
        <v>17.8</v>
      </c>
      <c r="BL657" s="14">
        <v>32.700000000000003</v>
      </c>
      <c r="BM657" s="16">
        <f t="shared" si="101"/>
        <v>100</v>
      </c>
      <c r="BN657" s="21">
        <f t="shared" si="102"/>
        <v>4.79</v>
      </c>
      <c r="BO657" s="21">
        <f t="shared" si="103"/>
        <v>1.72</v>
      </c>
      <c r="BP657" s="21">
        <f t="shared" si="104"/>
        <v>3.15</v>
      </c>
      <c r="BQ657" s="14">
        <f t="shared" si="105"/>
        <v>9.66</v>
      </c>
      <c r="BR657" s="22" t="str">
        <f>IF(OR(AND(X657="Mourões", BQ657&gt;=6.5),AND(X657="Postes", BQ657&gt;=9.6),AND(X657="Dormentes", BQ657&gt;=9.6),AND(X657="Estacas - Solo", BQ657&gt;=6.5),AND(X657="Estacas - Suspenso", BQ657&gt;=4),AND(X657="Cruzetas", BQ657&gt;=6.5),AND(X657="Outros - Solo", BQ657&gt;=6.5),AND(X657="Outros - Suspenso",BQ657&gt;=4),AND(X657="Deck",BQ657&gt;=4)),'Listas suspensas'!$C$21,'Listas suspensas'!$C$22)</f>
        <v>Os resultados da análise química apresentaram uma retenção do produto de acordo com o padrão mínimo exigido pela norma ABNT NBR 16143</v>
      </c>
    </row>
    <row r="658" spans="2:70" x14ac:dyDescent="0.25">
      <c r="B658" s="8" t="s">
        <v>1810</v>
      </c>
      <c r="C658" s="8" t="s">
        <v>71</v>
      </c>
      <c r="F658" s="11">
        <v>46048</v>
      </c>
      <c r="G658" s="11">
        <v>46050</v>
      </c>
      <c r="H658" s="11">
        <v>46051</v>
      </c>
      <c r="I658" s="8" t="s">
        <v>1839</v>
      </c>
      <c r="J658" s="8" t="s">
        <v>1825</v>
      </c>
      <c r="K658" s="8" t="s">
        <v>109</v>
      </c>
      <c r="L658" s="8" t="s">
        <v>15</v>
      </c>
      <c r="M658" s="30" t="s">
        <v>324</v>
      </c>
      <c r="N658" s="8" t="s">
        <v>1165</v>
      </c>
      <c r="O658" s="8" t="s">
        <v>94</v>
      </c>
      <c r="P658" s="28" t="s">
        <v>77</v>
      </c>
      <c r="Q658" s="16" t="s">
        <v>1835</v>
      </c>
      <c r="X658" s="8" t="s">
        <v>79</v>
      </c>
      <c r="Y658" s="34">
        <f>IF(X658='Listas suspensas'!$A$21,'Listas suspensas'!$B$23,IF(X658='Listas suspensas'!$A$22,'Listas suspensas'!$B$23,IF(X658='Listas suspensas'!$A$23,'Listas suspensas'!$B$22,IF(X658='Listas suspensas'!$A$26,'Listas suspensas'!$B$22,IF(X658='Listas suspensas'!$A$32,'Listas suspensas'!$B$22,IF(X658='Listas suspensas'!$A$33,'Listas suspensas'!$B$21,IF(X658='Listas suspensas'!$A$24,'Listas suspensas'!$B$22,IF(X658='Listas suspensas'!$A$25,'Listas suspensas'!$B$21,IF(X658='Listas suspensas'!$A$30,'Listas suspensas'!$B$21,"")))))))))</f>
        <v>6.5</v>
      </c>
      <c r="Z658" s="8" t="s">
        <v>80</v>
      </c>
      <c r="AA658" s="8">
        <v>4</v>
      </c>
      <c r="AB658" s="8" t="str">
        <f>IF(AA658='Listas suspensas'!$A$2,'Listas suspensas'!$B$2,IF(AA658='Listas suspensas'!$A$3,'Listas suspensas'!$B$3,IF(AA658='Listas suspensas'!$A$4,'Listas suspensas'!$B$4,IF(AA658='Listas suspensas'!$A$5,'Listas suspensas'!$B$5,IF(AA658='Listas suspensas'!$A$6,'Listas suspensas'!$B$6,"")))))</f>
        <v>Parcial e irregular</v>
      </c>
      <c r="AC658" s="8" t="str">
        <f>IF(AA658='Listas suspensas'!$A$2,'Listas suspensas'!$C$2,IF(AA658='Listas suspensas'!$A$3,'Listas suspensas'!$C$3,IF(AA658='Listas suspensas'!$A$4,'Listas suspensas'!$C$4,IF(AA658='Listas suspensas'!$A$5,'Listas suspensas'!$C$5,IF(AA658='Listas suspensas'!$A$6,'Listas suspensas'!$C$6,"")))))</f>
        <v>Indica a penetração desuniforme e não total pela extensão do alburno.</v>
      </c>
      <c r="BD658" s="13">
        <v>0.86099999999999999</v>
      </c>
      <c r="BE658" s="18">
        <f t="shared" si="106"/>
        <v>861</v>
      </c>
      <c r="BF658" s="8">
        <v>0.41199999999999998</v>
      </c>
      <c r="BG658" s="8">
        <v>0.23400000000000001</v>
      </c>
      <c r="BH658" s="8">
        <v>0.41</v>
      </c>
      <c r="BI658" s="13">
        <f t="shared" si="107"/>
        <v>1.056</v>
      </c>
      <c r="BJ658" s="14">
        <v>39</v>
      </c>
      <c r="BK658" s="14">
        <v>22.2</v>
      </c>
      <c r="BL658" s="14">
        <v>38.799999999999997</v>
      </c>
      <c r="BM658" s="16">
        <f t="shared" si="101"/>
        <v>100</v>
      </c>
      <c r="BN658" s="21">
        <f t="shared" si="102"/>
        <v>3.55</v>
      </c>
      <c r="BO658" s="21">
        <f t="shared" si="103"/>
        <v>2.0099999999999998</v>
      </c>
      <c r="BP658" s="21">
        <f t="shared" si="104"/>
        <v>3.53</v>
      </c>
      <c r="BQ658" s="14">
        <f t="shared" si="105"/>
        <v>9.09</v>
      </c>
      <c r="BR658" s="22" t="str">
        <f>IF(OR(AND(X658="Mourões", BQ658&gt;=6.5),AND(X658="Postes", BQ658&gt;=9.6),AND(X658="Dormentes", BQ658&gt;=9.6),AND(X658="Estacas - Solo", BQ658&gt;=6.5),AND(X658="Estacas - Suspenso", BQ658&gt;=4),AND(X658="Cruzetas", BQ658&gt;=6.5),AND(X658="Outros - Solo", BQ658&gt;=6.5),AND(X658="Outros - Suspenso",BQ658&gt;=4),AND(X658="Deck",BQ658&gt;=4)),'Listas suspensas'!$C$21,'Listas suspensas'!$C$22)</f>
        <v>Os resultados da análise química apresentaram uma retenção do produto de acordo com o padrão mínimo exigido pela norma ABNT NBR 16143</v>
      </c>
    </row>
    <row r="659" spans="2:70" x14ac:dyDescent="0.25">
      <c r="B659" s="8" t="s">
        <v>1811</v>
      </c>
      <c r="C659" s="8" t="s">
        <v>71</v>
      </c>
      <c r="F659" s="11">
        <v>46048</v>
      </c>
      <c r="G659" s="11">
        <v>46050</v>
      </c>
      <c r="H659" s="11">
        <v>46051</v>
      </c>
      <c r="I659" s="8" t="s">
        <v>1839</v>
      </c>
      <c r="J659" s="8" t="s">
        <v>1825</v>
      </c>
      <c r="K659" s="8" t="s">
        <v>109</v>
      </c>
      <c r="L659" s="8" t="s">
        <v>15</v>
      </c>
      <c r="M659" s="30" t="s">
        <v>324</v>
      </c>
      <c r="N659" s="8" t="s">
        <v>1165</v>
      </c>
      <c r="O659" s="8" t="s">
        <v>94</v>
      </c>
      <c r="P659" s="28" t="s">
        <v>77</v>
      </c>
      <c r="Q659" s="16" t="s">
        <v>1836</v>
      </c>
      <c r="X659" s="8" t="s">
        <v>79</v>
      </c>
      <c r="Y659" s="34">
        <f>IF(X659='Listas suspensas'!$A$21,'Listas suspensas'!$B$23,IF(X659='Listas suspensas'!$A$22,'Listas suspensas'!$B$23,IF(X659='Listas suspensas'!$A$23,'Listas suspensas'!$B$22,IF(X659='Listas suspensas'!$A$26,'Listas suspensas'!$B$22,IF(X659='Listas suspensas'!$A$32,'Listas suspensas'!$B$22,IF(X659='Listas suspensas'!$A$33,'Listas suspensas'!$B$21,IF(X659='Listas suspensas'!$A$24,'Listas suspensas'!$B$22,IF(X659='Listas suspensas'!$A$25,'Listas suspensas'!$B$21,IF(X659='Listas suspensas'!$A$30,'Listas suspensas'!$B$21,"")))))))))</f>
        <v>6.5</v>
      </c>
      <c r="Z659" s="8" t="s">
        <v>80</v>
      </c>
      <c r="AA659" s="8">
        <v>4</v>
      </c>
      <c r="AB659" s="8" t="str">
        <f>IF(AA659='Listas suspensas'!$A$2,'Listas suspensas'!$B$2,IF(AA659='Listas suspensas'!$A$3,'Listas suspensas'!$B$3,IF(AA659='Listas suspensas'!$A$4,'Listas suspensas'!$B$4,IF(AA659='Listas suspensas'!$A$5,'Listas suspensas'!$B$5,IF(AA659='Listas suspensas'!$A$6,'Listas suspensas'!$B$6,"")))))</f>
        <v>Parcial e irregular</v>
      </c>
      <c r="AC659" s="8" t="str">
        <f>IF(AA659='Listas suspensas'!$A$2,'Listas suspensas'!$C$2,IF(AA659='Listas suspensas'!$A$3,'Listas suspensas'!$C$3,IF(AA659='Listas suspensas'!$A$4,'Listas suspensas'!$C$4,IF(AA659='Listas suspensas'!$A$5,'Listas suspensas'!$C$5,IF(AA659='Listas suspensas'!$A$6,'Listas suspensas'!$C$6,"")))))</f>
        <v>Indica a penetração desuniforme e não total pela extensão do alburno.</v>
      </c>
      <c r="BD659" s="13">
        <v>0.98</v>
      </c>
      <c r="BE659" s="18">
        <f t="shared" si="106"/>
        <v>980</v>
      </c>
      <c r="BF659" s="8">
        <v>0.29499999999999998</v>
      </c>
      <c r="BG659" s="8">
        <v>0.157</v>
      </c>
      <c r="BH659" s="8">
        <v>0.30199999999999999</v>
      </c>
      <c r="BI659" s="13">
        <f t="shared" si="107"/>
        <v>0.754</v>
      </c>
      <c r="BJ659" s="14">
        <v>39.1</v>
      </c>
      <c r="BK659" s="14">
        <v>20.8</v>
      </c>
      <c r="BL659" s="14">
        <v>40.1</v>
      </c>
      <c r="BM659" s="16">
        <f t="shared" si="101"/>
        <v>100</v>
      </c>
      <c r="BN659" s="21">
        <f t="shared" si="102"/>
        <v>2.89</v>
      </c>
      <c r="BO659" s="21">
        <f t="shared" si="103"/>
        <v>1.54</v>
      </c>
      <c r="BP659" s="21">
        <f t="shared" si="104"/>
        <v>2.96</v>
      </c>
      <c r="BQ659" s="14">
        <f t="shared" si="105"/>
        <v>7.39</v>
      </c>
      <c r="BR659" s="22" t="str">
        <f>IF(OR(AND(X659="Mourões", BQ659&gt;=6.5),AND(X659="Postes", BQ659&gt;=9.6),AND(X659="Dormentes", BQ659&gt;=9.6),AND(X659="Estacas - Solo", BQ659&gt;=6.5),AND(X659="Estacas - Suspenso", BQ659&gt;=4),AND(X659="Cruzetas", BQ659&gt;=6.5),AND(X659="Outros - Solo", BQ659&gt;=6.5),AND(X659="Outros - Suspenso",BQ659&gt;=4),AND(X659="Deck",BQ659&gt;=4)),'Listas suspensas'!$C$21,'Listas suspensas'!$C$22)</f>
        <v>Os resultados da análise química apresentaram uma retenção do produto de acordo com o padrão mínimo exigido pela norma ABNT NBR 16143</v>
      </c>
    </row>
    <row r="660" spans="2:70" x14ac:dyDescent="0.25">
      <c r="B660" s="8" t="s">
        <v>1812</v>
      </c>
      <c r="C660" s="8" t="s">
        <v>71</v>
      </c>
      <c r="F660" s="11">
        <v>46048</v>
      </c>
      <c r="G660" s="11">
        <v>46050</v>
      </c>
      <c r="H660" s="11">
        <v>46051</v>
      </c>
      <c r="I660" s="8" t="s">
        <v>1839</v>
      </c>
      <c r="J660" s="8" t="s">
        <v>1825</v>
      </c>
      <c r="K660" s="8" t="s">
        <v>109</v>
      </c>
      <c r="L660" s="8" t="s">
        <v>15</v>
      </c>
      <c r="M660" s="30" t="s">
        <v>324</v>
      </c>
      <c r="N660" s="8" t="s">
        <v>1165</v>
      </c>
      <c r="O660" s="8" t="s">
        <v>94</v>
      </c>
      <c r="P660" s="28" t="s">
        <v>77</v>
      </c>
      <c r="Q660" s="16" t="s">
        <v>1837</v>
      </c>
      <c r="X660" s="8" t="s">
        <v>79</v>
      </c>
      <c r="Y660" s="34">
        <f>IF(X660='Listas suspensas'!$A$21,'Listas suspensas'!$B$23,IF(X660='Listas suspensas'!$A$22,'Listas suspensas'!$B$23,IF(X660='Listas suspensas'!$A$23,'Listas suspensas'!$B$22,IF(X660='Listas suspensas'!$A$26,'Listas suspensas'!$B$22,IF(X660='Listas suspensas'!$A$32,'Listas suspensas'!$B$22,IF(X660='Listas suspensas'!$A$33,'Listas suspensas'!$B$21,IF(X660='Listas suspensas'!$A$24,'Listas suspensas'!$B$22,IF(X660='Listas suspensas'!$A$25,'Listas suspensas'!$B$21,IF(X660='Listas suspensas'!$A$30,'Listas suspensas'!$B$21,"")))))))))</f>
        <v>6.5</v>
      </c>
      <c r="Z660" s="8" t="s">
        <v>80</v>
      </c>
      <c r="AA660" s="8">
        <v>4</v>
      </c>
      <c r="AB660" s="8" t="str">
        <f>IF(AA660='Listas suspensas'!$A$2,'Listas suspensas'!$B$2,IF(AA660='Listas suspensas'!$A$3,'Listas suspensas'!$B$3,IF(AA660='Listas suspensas'!$A$4,'Listas suspensas'!$B$4,IF(AA660='Listas suspensas'!$A$5,'Listas suspensas'!$B$5,IF(AA660='Listas suspensas'!$A$6,'Listas suspensas'!$B$6,"")))))</f>
        <v>Parcial e irregular</v>
      </c>
      <c r="AC660" s="8" t="str">
        <f>IF(AA660='Listas suspensas'!$A$2,'Listas suspensas'!$C$2,IF(AA660='Listas suspensas'!$A$3,'Listas suspensas'!$C$3,IF(AA660='Listas suspensas'!$A$4,'Listas suspensas'!$C$4,IF(AA660='Listas suspensas'!$A$5,'Listas suspensas'!$C$5,IF(AA660='Listas suspensas'!$A$6,'Listas suspensas'!$C$6,"")))))</f>
        <v>Indica a penetração desuniforme e não total pela extensão do alburno.</v>
      </c>
      <c r="BD660" s="13">
        <v>0.79100000000000004</v>
      </c>
      <c r="BE660" s="18">
        <f t="shared" si="106"/>
        <v>791</v>
      </c>
      <c r="BF660" s="8">
        <v>0.45200000000000001</v>
      </c>
      <c r="BG660" s="8">
        <v>0.23300000000000001</v>
      </c>
      <c r="BH660" s="8">
        <v>0.39900000000000002</v>
      </c>
      <c r="BI660" s="13">
        <f t="shared" si="107"/>
        <v>1.0840000000000001</v>
      </c>
      <c r="BJ660" s="14">
        <v>41.7</v>
      </c>
      <c r="BK660" s="14">
        <v>21.5</v>
      </c>
      <c r="BL660" s="14">
        <v>36.799999999999997</v>
      </c>
      <c r="BM660" s="16">
        <f t="shared" si="101"/>
        <v>100</v>
      </c>
      <c r="BN660" s="21">
        <f t="shared" si="102"/>
        <v>3.58</v>
      </c>
      <c r="BO660" s="21">
        <f t="shared" si="103"/>
        <v>1.84</v>
      </c>
      <c r="BP660" s="21">
        <f t="shared" si="104"/>
        <v>3.16</v>
      </c>
      <c r="BQ660" s="14">
        <f t="shared" si="105"/>
        <v>8.58</v>
      </c>
      <c r="BR660" s="22" t="str">
        <f>IF(OR(AND(X660="Mourões", BQ660&gt;=6.5),AND(X660="Postes", BQ660&gt;=9.6),AND(X660="Dormentes", BQ660&gt;=9.6),AND(X660="Estacas - Solo", BQ660&gt;=6.5),AND(X660="Estacas - Suspenso", BQ660&gt;=4),AND(X660="Cruzetas", BQ660&gt;=6.5),AND(X660="Outros - Solo", BQ660&gt;=6.5),AND(X660="Outros - Suspenso",BQ660&gt;=4),AND(X660="Deck",BQ660&gt;=4)),'Listas suspensas'!$C$21,'Listas suspensas'!$C$22)</f>
        <v>Os resultados da análise química apresentaram uma retenção do produto de acordo com o padrão mínimo exigido pela norma ABNT NBR 16143</v>
      </c>
    </row>
    <row r="661" spans="2:70" x14ac:dyDescent="0.25">
      <c r="B661" s="8" t="s">
        <v>1813</v>
      </c>
      <c r="C661" s="8" t="s">
        <v>71</v>
      </c>
      <c r="F661" s="11">
        <v>46048</v>
      </c>
      <c r="G661" s="11">
        <v>46050</v>
      </c>
      <c r="H661" s="11">
        <v>46051</v>
      </c>
      <c r="I661" s="8" t="s">
        <v>1839</v>
      </c>
      <c r="J661" s="8" t="s">
        <v>1825</v>
      </c>
      <c r="K661" s="8" t="s">
        <v>109</v>
      </c>
      <c r="L661" s="8" t="s">
        <v>15</v>
      </c>
      <c r="M661" s="30" t="s">
        <v>324</v>
      </c>
      <c r="N661" s="8" t="s">
        <v>1165</v>
      </c>
      <c r="O661" s="8" t="s">
        <v>94</v>
      </c>
      <c r="P661" s="28" t="s">
        <v>77</v>
      </c>
      <c r="Q661" s="16" t="s">
        <v>1838</v>
      </c>
      <c r="X661" s="8" t="s">
        <v>79</v>
      </c>
      <c r="Y661" s="34">
        <f>IF(X661='Listas suspensas'!$A$21,'Listas suspensas'!$B$23,IF(X661='Listas suspensas'!$A$22,'Listas suspensas'!$B$23,IF(X661='Listas suspensas'!$A$23,'Listas suspensas'!$B$22,IF(X661='Listas suspensas'!$A$26,'Listas suspensas'!$B$22,IF(X661='Listas suspensas'!$A$32,'Listas suspensas'!$B$22,IF(X661='Listas suspensas'!$A$33,'Listas suspensas'!$B$21,IF(X661='Listas suspensas'!$A$24,'Listas suspensas'!$B$22,IF(X661='Listas suspensas'!$A$25,'Listas suspensas'!$B$21,IF(X661='Listas suspensas'!$A$30,'Listas suspensas'!$B$21,"")))))))))</f>
        <v>6.5</v>
      </c>
      <c r="Z661" s="8" t="s">
        <v>80</v>
      </c>
      <c r="AA661" s="8">
        <v>1</v>
      </c>
      <c r="AB661" s="8" t="str">
        <f>IF(AA661='Listas suspensas'!$A$2,'Listas suspensas'!$B$2,IF(AA661='Listas suspensas'!$A$3,'Listas suspensas'!$B$3,IF(AA661='Listas suspensas'!$A$4,'Listas suspensas'!$B$4,IF(AA661='Listas suspensas'!$A$5,'Listas suspensas'!$B$5,IF(AA661='Listas suspensas'!$A$6,'Listas suspensas'!$B$6,"")))))</f>
        <v>Profunda e regular</v>
      </c>
      <c r="AC661" s="8" t="str">
        <f>IF(AA661='Listas suspensas'!$A$2,'Listas suspensas'!$C$2,IF(AA661='Listas suspensas'!$A$3,'Listas suspensas'!$C$3,IF(AA661='Listas suspensas'!$A$4,'Listas suspensas'!$C$4,IF(AA661='Listas suspensas'!$A$5,'Listas suspensas'!$C$5,IF(AA661='Listas suspensas'!$A$6,'Listas suspensas'!$C$6,"")))))</f>
        <v>Indica a penetração profunda e uniforme em toda a extensão do alburno.</v>
      </c>
      <c r="BD661" s="13">
        <v>0.875</v>
      </c>
      <c r="BE661" s="18">
        <f t="shared" si="106"/>
        <v>875</v>
      </c>
      <c r="BF661" s="8">
        <v>0.38600000000000001</v>
      </c>
      <c r="BG661" s="8">
        <v>0.247</v>
      </c>
      <c r="BH661" s="8">
        <v>0.49399999999999999</v>
      </c>
      <c r="BI661" s="13">
        <f t="shared" si="107"/>
        <v>1.127</v>
      </c>
      <c r="BJ661" s="14">
        <v>34.299999999999997</v>
      </c>
      <c r="BK661" s="14">
        <v>21.9</v>
      </c>
      <c r="BL661" s="14">
        <v>43.8</v>
      </c>
      <c r="BM661" s="16">
        <f t="shared" si="101"/>
        <v>100</v>
      </c>
      <c r="BN661" s="21">
        <f t="shared" si="102"/>
        <v>3.38</v>
      </c>
      <c r="BO661" s="21">
        <f t="shared" si="103"/>
        <v>2.16</v>
      </c>
      <c r="BP661" s="21">
        <f t="shared" si="104"/>
        <v>4.32</v>
      </c>
      <c r="BQ661" s="14">
        <f t="shared" si="105"/>
        <v>9.86</v>
      </c>
      <c r="BR661" s="22" t="str">
        <f>IF(OR(AND(X661="Mourões", BQ661&gt;=6.5),AND(X661="Postes", BQ661&gt;=9.6),AND(X661="Dormentes", BQ661&gt;=9.6),AND(X661="Estacas - Solo", BQ661&gt;=6.5),AND(X661="Estacas - Suspenso", BQ661&gt;=4),AND(X661="Cruzetas", BQ661&gt;=6.5),AND(X661="Outros - Solo", BQ661&gt;=6.5),AND(X661="Outros - Suspenso",BQ661&gt;=4),AND(X661="Deck",BQ661&gt;=4)),'Listas suspensas'!$C$21,'Listas suspensas'!$C$22)</f>
        <v>Os resultados da análise química apresentaram uma retenção do produto de acordo com o padrão mínimo exigido pela norma ABNT NBR 16143</v>
      </c>
    </row>
    <row r="662" spans="2:70" x14ac:dyDescent="0.25">
      <c r="B662" s="8" t="s">
        <v>1826</v>
      </c>
      <c r="C662" s="8" t="s">
        <v>71</v>
      </c>
      <c r="D662" s="1"/>
      <c r="F662" s="11">
        <v>46051</v>
      </c>
      <c r="G662" s="11">
        <v>46052</v>
      </c>
      <c r="H662" s="11">
        <v>46056</v>
      </c>
      <c r="I662" s="8" t="s">
        <v>811</v>
      </c>
      <c r="J662" s="8" t="s">
        <v>1601</v>
      </c>
      <c r="K662" s="8" t="s">
        <v>144</v>
      </c>
      <c r="L662" s="8" t="s">
        <v>15</v>
      </c>
      <c r="M662" s="29" t="s">
        <v>1008</v>
      </c>
      <c r="N662" s="8" t="s">
        <v>1165</v>
      </c>
      <c r="O662" s="8" t="s">
        <v>94</v>
      </c>
      <c r="P662" s="8" t="s">
        <v>77</v>
      </c>
      <c r="Q662" s="8" t="s">
        <v>83</v>
      </c>
      <c r="V662" s="8"/>
      <c r="X662" s="8" t="s">
        <v>98</v>
      </c>
      <c r="Y662" s="34">
        <f>IF(X662='Listas suspensas'!$A$21,'Listas suspensas'!$B$23,IF(X662='Listas suspensas'!$A$22,'Listas suspensas'!$B$23,IF(X662='Listas suspensas'!$A$23,'Listas suspensas'!$B$22,IF(X662='Listas suspensas'!$A$26,'Listas suspensas'!$B$22,IF(X662='Listas suspensas'!$A$32,'Listas suspensas'!$B$22,IF(X662='Listas suspensas'!$A$33,'Listas suspensas'!$B$21,IF(X662='Listas suspensas'!$A$24,'Listas suspensas'!$B$22,IF(X662='Listas suspensas'!$A$25,'Listas suspensas'!$B$21,IF(X662='Listas suspensas'!$A$30,'Listas suspensas'!$B$21,"")))))))))</f>
        <v>9.6</v>
      </c>
      <c r="Z662" s="8" t="s">
        <v>1844</v>
      </c>
      <c r="AA662" s="8">
        <v>2</v>
      </c>
      <c r="AB662" s="8" t="str">
        <f>IF(AA662='Listas suspensas'!$A$2,'Listas suspensas'!$B$2,IF(AA662='Listas suspensas'!$A$3,'Listas suspensas'!$B$3,IF(AA662='Listas suspensas'!$A$4,'Listas suspensas'!$B$4,IF(AA662='Listas suspensas'!$A$5,'Listas suspensas'!$B$5,IF(AA662='Listas suspensas'!$A$6,'Listas suspensas'!$B$6,"")))))</f>
        <v>Profunda e irregular</v>
      </c>
      <c r="AC662" s="8" t="str">
        <f>IF(AA662='Listas suspensas'!$A$2,'Listas suspensas'!$C$2,IF(AA662='Listas suspensas'!$A$3,'Listas suspensas'!$C$3,IF(AA662='Listas suspensas'!$A$4,'Listas suspensas'!$C$4,IF(AA662='Listas suspensas'!$A$5,'Listas suspensas'!$C$5,IF(AA662='Listas suspensas'!$A$6,'Listas suspensas'!$C$6,"")))))</f>
        <v>Indica a penetração profunda, mas desuniforme em toda a extensão do alburno.</v>
      </c>
      <c r="BD662" s="8">
        <v>0.66100000000000003</v>
      </c>
      <c r="BE662" s="18">
        <f t="shared" si="106"/>
        <v>661</v>
      </c>
      <c r="BF662" s="8">
        <v>0.79200000000000004</v>
      </c>
      <c r="BG662" s="8">
        <v>0.34899999999999998</v>
      </c>
      <c r="BH662" s="8">
        <v>0.83</v>
      </c>
      <c r="BI662" s="13">
        <f t="shared" si="107"/>
        <v>1.9710000000000001</v>
      </c>
      <c r="BJ662" s="14">
        <v>40.200000000000003</v>
      </c>
      <c r="BK662" s="14">
        <v>17.7</v>
      </c>
      <c r="BL662" s="14">
        <v>42.1</v>
      </c>
      <c r="BM662" s="16">
        <f t="shared" si="101"/>
        <v>100</v>
      </c>
      <c r="BN662" s="21">
        <f t="shared" si="102"/>
        <v>5.24</v>
      </c>
      <c r="BO662" s="21">
        <f t="shared" si="103"/>
        <v>2.31</v>
      </c>
      <c r="BP662" s="21">
        <f t="shared" si="104"/>
        <v>5.49</v>
      </c>
      <c r="BQ662" s="14">
        <f t="shared" si="105"/>
        <v>13.04</v>
      </c>
      <c r="BR662" s="22" t="str">
        <f>IF(OR(AND(X657="Mourões", BQ662&gt;=6.5),AND(X657="Postes", BQ662&gt;=9.6),AND(X657="Dormentes", BQ662&gt;=9.6),AND(X657="Estacas - Solo", BQ662&gt;=6.5),AND(X657="Estacas - Suspenso", BQ662&gt;=4),AND(X657="Cruzetas", BQ662&gt;=6.5),AND(X657="Outros - Solo", BQ662&gt;=6.5),AND(X657="Outros - Suspenso",BQ662&gt;=4),AND(X657="Deck",BQ662&gt;=4)),'Listas suspensas'!$C$21,'Listas suspensas'!$C$22)</f>
        <v>Os resultados da análise química apresentaram uma retenção do produto de acordo com o padrão mínimo exigido pela norma ABNT NBR 16143</v>
      </c>
    </row>
    <row r="663" spans="2:70" x14ac:dyDescent="0.25">
      <c r="B663" s="8" t="s">
        <v>1827</v>
      </c>
      <c r="C663" s="8" t="s">
        <v>71</v>
      </c>
      <c r="D663" s="23"/>
      <c r="F663" s="11">
        <v>46051</v>
      </c>
      <c r="G663" s="11">
        <v>46052</v>
      </c>
      <c r="H663" s="11">
        <v>46056</v>
      </c>
      <c r="I663" s="8" t="s">
        <v>811</v>
      </c>
      <c r="J663" s="8" t="s">
        <v>1601</v>
      </c>
      <c r="K663" s="8" t="s">
        <v>144</v>
      </c>
      <c r="L663" s="8" t="s">
        <v>15</v>
      </c>
      <c r="M663" s="29" t="s">
        <v>1008</v>
      </c>
      <c r="N663" s="8" t="s">
        <v>1165</v>
      </c>
      <c r="O663" s="8" t="s">
        <v>94</v>
      </c>
      <c r="P663" s="8" t="s">
        <v>77</v>
      </c>
      <c r="Q663" s="8" t="s">
        <v>85</v>
      </c>
      <c r="X663" s="8" t="s">
        <v>79</v>
      </c>
      <c r="Y663" s="34">
        <f>IF(X663='Listas suspensas'!$A$21,'Listas suspensas'!$B$23,IF(X663='Listas suspensas'!$A$22,'Listas suspensas'!$B$23,IF(X663='Listas suspensas'!$A$23,'Listas suspensas'!$B$22,IF(X663='Listas suspensas'!$A$26,'Listas suspensas'!$B$22,IF(X663='Listas suspensas'!$A$32,'Listas suspensas'!$B$22,IF(X663='Listas suspensas'!$A$33,'Listas suspensas'!$B$21,IF(X663='Listas suspensas'!$A$24,'Listas suspensas'!$B$22,IF(X663='Listas suspensas'!$A$25,'Listas suspensas'!$B$21,IF(X663='Listas suspensas'!$A$30,'Listas suspensas'!$B$21,"")))))))))</f>
        <v>6.5</v>
      </c>
      <c r="Z663" s="8" t="s">
        <v>1845</v>
      </c>
      <c r="AA663" s="8">
        <v>2</v>
      </c>
      <c r="AB663" s="8" t="str">
        <f>IF(AA663='Listas suspensas'!$A$2,'Listas suspensas'!$B$2,IF(AA663='Listas suspensas'!$A$3,'Listas suspensas'!$B$3,IF(AA663='Listas suspensas'!$A$4,'Listas suspensas'!$B$4,IF(AA663='Listas suspensas'!$A$5,'Listas suspensas'!$B$5,IF(AA663='Listas suspensas'!$A$6,'Listas suspensas'!$B$6,"")))))</f>
        <v>Profunda e irregular</v>
      </c>
      <c r="AC663" s="8" t="str">
        <f>IF(AA663='Listas suspensas'!$A$2,'Listas suspensas'!$C$2,IF(AA663='Listas suspensas'!$A$3,'Listas suspensas'!$C$3,IF(AA663='Listas suspensas'!$A$4,'Listas suspensas'!$C$4,IF(AA663='Listas suspensas'!$A$5,'Listas suspensas'!$C$5,IF(AA663='Listas suspensas'!$A$6,'Listas suspensas'!$C$6,"")))))</f>
        <v>Indica a penetração profunda, mas desuniforme em toda a extensão do alburno.</v>
      </c>
      <c r="BD663" s="13">
        <v>0.51200000000000001</v>
      </c>
      <c r="BE663" s="18">
        <f t="shared" si="106"/>
        <v>512</v>
      </c>
      <c r="BF663" s="8">
        <v>0.89300000000000002</v>
      </c>
      <c r="BG663" s="8">
        <v>0.30599999999999999</v>
      </c>
      <c r="BH663" s="8">
        <v>0.627</v>
      </c>
      <c r="BI663" s="13">
        <f t="shared" si="107"/>
        <v>1.8260000000000001</v>
      </c>
      <c r="BJ663" s="14">
        <v>48.9</v>
      </c>
      <c r="BK663" s="14">
        <v>16.7</v>
      </c>
      <c r="BL663" s="14">
        <v>34.4</v>
      </c>
      <c r="BM663" s="16">
        <f t="shared" si="101"/>
        <v>100</v>
      </c>
      <c r="BN663" s="21">
        <f t="shared" si="102"/>
        <v>4.57</v>
      </c>
      <c r="BO663" s="21">
        <f t="shared" si="103"/>
        <v>1.57</v>
      </c>
      <c r="BP663" s="21">
        <f t="shared" si="104"/>
        <v>3.21</v>
      </c>
      <c r="BQ663" s="14">
        <f t="shared" si="105"/>
        <v>9.35</v>
      </c>
      <c r="BR663" s="22" t="str">
        <f>IF(OR(AND(X663="Mourões", BQ663&gt;=6.5),AND(X663="Postes", BQ663&gt;=9.6),AND(X663="Dormentes", BQ663&gt;=9.6),AND(X663="Estacas - Solo", BQ663&gt;=6.5),AND(X663="Estacas - Suspenso", BQ663&gt;=4),AND(X663="Cruzetas", BQ663&gt;=6.5),AND(X663="Outros - Solo", BQ663&gt;=6.5),AND(X663="Outros - Suspenso",BQ663&gt;=4),AND(X663="Deck",BQ663&gt;=4)),'Listas suspensas'!$C$21,'Listas suspensas'!$C$22)</f>
        <v>Os resultados da análise química apresentaram uma retenção do produto de acordo com o padrão mínimo exigido pela norma ABNT NBR 16143</v>
      </c>
    </row>
    <row r="664" spans="2:70" x14ac:dyDescent="0.25">
      <c r="B664" s="8" t="s">
        <v>1828</v>
      </c>
      <c r="C664" s="8" t="s">
        <v>71</v>
      </c>
      <c r="D664" s="23"/>
      <c r="F664" s="11">
        <v>46051</v>
      </c>
      <c r="G664" s="11">
        <v>46052</v>
      </c>
      <c r="H664" s="11">
        <v>46056</v>
      </c>
      <c r="I664" s="8" t="s">
        <v>811</v>
      </c>
      <c r="J664" s="8" t="s">
        <v>1601</v>
      </c>
      <c r="K664" s="8" t="s">
        <v>144</v>
      </c>
      <c r="L664" s="8" t="s">
        <v>15</v>
      </c>
      <c r="M664" s="29" t="s">
        <v>1008</v>
      </c>
      <c r="N664" s="8" t="s">
        <v>1165</v>
      </c>
      <c r="O664" s="8" t="s">
        <v>94</v>
      </c>
      <c r="P664" s="8" t="s">
        <v>77</v>
      </c>
      <c r="Q664" s="8" t="s">
        <v>87</v>
      </c>
      <c r="X664" s="8" t="s">
        <v>98</v>
      </c>
      <c r="Y664" s="34">
        <f>IF(X664='Listas suspensas'!$A$21,'Listas suspensas'!$B$23,IF(X664='Listas suspensas'!$A$22,'Listas suspensas'!$B$23,IF(X664='Listas suspensas'!$A$23,'Listas suspensas'!$B$22,IF(X664='Listas suspensas'!$A$26,'Listas suspensas'!$B$22,IF(X664='Listas suspensas'!$A$32,'Listas suspensas'!$B$22,IF(X664='Listas suspensas'!$A$33,'Listas suspensas'!$B$21,IF(X664='Listas suspensas'!$A$24,'Listas suspensas'!$B$22,IF(X664='Listas suspensas'!$A$25,'Listas suspensas'!$B$21,IF(X664='Listas suspensas'!$A$30,'Listas suspensas'!$B$21,"")))))))))</f>
        <v>9.6</v>
      </c>
      <c r="Z664" s="8" t="s">
        <v>1846</v>
      </c>
      <c r="AA664" s="8">
        <v>4</v>
      </c>
      <c r="AB664" s="8" t="str">
        <f>IF(AA664='Listas suspensas'!$A$2,'Listas suspensas'!$B$2,IF(AA664='Listas suspensas'!$A$3,'Listas suspensas'!$B$3,IF(AA664='Listas suspensas'!$A$4,'Listas suspensas'!$B$4,IF(AA664='Listas suspensas'!$A$5,'Listas suspensas'!$B$5,IF(AA664='Listas suspensas'!$A$6,'Listas suspensas'!$B$6,"")))))</f>
        <v>Parcial e irregular</v>
      </c>
      <c r="AC664" s="8" t="str">
        <f>IF(AA664='Listas suspensas'!$A$2,'Listas suspensas'!$C$2,IF(AA664='Listas suspensas'!$A$3,'Listas suspensas'!$C$3,IF(AA664='Listas suspensas'!$A$4,'Listas suspensas'!$C$4,IF(AA664='Listas suspensas'!$A$5,'Listas suspensas'!$C$5,IF(AA664='Listas suspensas'!$A$6,'Listas suspensas'!$C$6,"")))))</f>
        <v>Indica a penetração desuniforme e não total pela extensão do alburno.</v>
      </c>
      <c r="BD664" s="13">
        <v>0.53600000000000003</v>
      </c>
      <c r="BE664" s="18">
        <f t="shared" si="106"/>
        <v>536</v>
      </c>
      <c r="BF664" s="8">
        <v>0.38600000000000001</v>
      </c>
      <c r="BG664" s="8">
        <v>0.16</v>
      </c>
      <c r="BH664" s="8">
        <v>0.34399999999999997</v>
      </c>
      <c r="BI664" s="13">
        <f t="shared" si="107"/>
        <v>0.89</v>
      </c>
      <c r="BJ664" s="14">
        <v>43.4</v>
      </c>
      <c r="BK664" s="18">
        <v>18</v>
      </c>
      <c r="BL664" s="14">
        <v>38.6</v>
      </c>
      <c r="BM664" s="16">
        <f t="shared" si="101"/>
        <v>100</v>
      </c>
      <c r="BN664" s="21">
        <f t="shared" si="102"/>
        <v>2.0699999999999998</v>
      </c>
      <c r="BO664" s="21">
        <f t="shared" si="103"/>
        <v>0.86</v>
      </c>
      <c r="BP664" s="21">
        <f t="shared" si="104"/>
        <v>1.84</v>
      </c>
      <c r="BQ664" s="14">
        <f t="shared" si="105"/>
        <v>4.7699999999999996</v>
      </c>
      <c r="BR664" s="22" t="str">
        <f>IF(OR(AND(X664="Mourões", BQ664&gt;=6.5),AND(X664="Postes", BQ664&gt;=9.6),AND(X664="Dormentes", BQ664&gt;=9.6),AND(X664="Estacas - Solo", BQ664&gt;=6.5),AND(X664="Estacas - Suspenso", BQ664&gt;=4),AND(X664="Cruzetas", BQ664&gt;=6.5),AND(X664="Outros - Solo", BQ664&gt;=6.5),AND(X664="Outros - Suspenso",BQ664&gt;=4),AND(X664="Deck",BQ664&gt;=4)),'Listas suspensas'!$C$21,'Listas suspensas'!$C$22)</f>
        <v>Os resultados da análise química apresentaram uma retenção do produto inferior ao padrão mínimo exigido pela norma ABNT NBR 16143</v>
      </c>
    </row>
    <row r="665" spans="2:70" x14ac:dyDescent="0.25">
      <c r="B665" s="8" t="s">
        <v>1829</v>
      </c>
      <c r="C665" s="8" t="s">
        <v>71</v>
      </c>
      <c r="D665" s="23"/>
      <c r="F665" s="11">
        <v>46051</v>
      </c>
      <c r="G665" s="11">
        <v>46052</v>
      </c>
      <c r="H665" s="11">
        <v>46056</v>
      </c>
      <c r="I665" s="8" t="s">
        <v>811</v>
      </c>
      <c r="J665" s="8" t="s">
        <v>1601</v>
      </c>
      <c r="K665" s="8" t="s">
        <v>144</v>
      </c>
      <c r="L665" s="8" t="s">
        <v>15</v>
      </c>
      <c r="M665" s="29" t="s">
        <v>1008</v>
      </c>
      <c r="N665" s="8" t="s">
        <v>1165</v>
      </c>
      <c r="O665" s="8" t="s">
        <v>94</v>
      </c>
      <c r="P665" s="8" t="s">
        <v>77</v>
      </c>
      <c r="Q665" s="8" t="s">
        <v>1842</v>
      </c>
      <c r="X665" s="8" t="s">
        <v>79</v>
      </c>
      <c r="Y665" s="34">
        <f>IF(X665='Listas suspensas'!$A$21,'Listas suspensas'!$B$23,IF(X665='Listas suspensas'!$A$22,'Listas suspensas'!$B$23,IF(X665='Listas suspensas'!$A$23,'Listas suspensas'!$B$22,IF(X665='Listas suspensas'!$A$26,'Listas suspensas'!$B$22,IF(X665='Listas suspensas'!$A$32,'Listas suspensas'!$B$22,IF(X665='Listas suspensas'!$A$33,'Listas suspensas'!$B$21,IF(X665='Listas suspensas'!$A$24,'Listas suspensas'!$B$22,IF(X665='Listas suspensas'!$A$25,'Listas suspensas'!$B$21,IF(X665='Listas suspensas'!$A$30,'Listas suspensas'!$B$21,"")))))))))</f>
        <v>6.5</v>
      </c>
      <c r="Z665" s="8" t="s">
        <v>1847</v>
      </c>
      <c r="AA665" s="8">
        <v>3</v>
      </c>
      <c r="AB665" s="8" t="str">
        <f>IF(AA665='Listas suspensas'!$A$2,'Listas suspensas'!$B$2,IF(AA665='Listas suspensas'!$A$3,'Listas suspensas'!$B$3,IF(AA665='Listas suspensas'!$A$4,'Listas suspensas'!$B$4,IF(AA665='Listas suspensas'!$A$5,'Listas suspensas'!$B$5,IF(AA665='Listas suspensas'!$A$6,'Listas suspensas'!$B$6,"")))))</f>
        <v xml:space="preserve"> Parcial e regular</v>
      </c>
      <c r="AC665" s="8" t="str">
        <f>IF(AA665='Listas suspensas'!$A$2,'Listas suspensas'!$C$2,IF(AA665='Listas suspensas'!$A$3,'Listas suspensas'!$C$3,IF(AA665='Listas suspensas'!$A$4,'Listas suspensas'!$C$4,IF(AA665='Listas suspensas'!$A$5,'Listas suspensas'!$C$5,IF(AA665='Listas suspensas'!$A$6,'Listas suspensas'!$C$6,"")))))</f>
        <v>Indica a penetração uniforme, mas não total pela extensão do alburno.</v>
      </c>
      <c r="BD665" s="13">
        <v>0.60299999999999998</v>
      </c>
      <c r="BE665" s="18">
        <f t="shared" si="106"/>
        <v>603</v>
      </c>
      <c r="BF665" s="8">
        <v>0.81799999999999995</v>
      </c>
      <c r="BG665" s="8">
        <v>0.317</v>
      </c>
      <c r="BH665" s="8">
        <v>0.67900000000000005</v>
      </c>
      <c r="BI665" s="13">
        <f t="shared" si="107"/>
        <v>1.8140000000000001</v>
      </c>
      <c r="BJ665" s="14">
        <v>45.1</v>
      </c>
      <c r="BK665" s="14">
        <v>17.5</v>
      </c>
      <c r="BL665" s="14">
        <v>37.4</v>
      </c>
      <c r="BM665" s="16">
        <f t="shared" si="101"/>
        <v>100</v>
      </c>
      <c r="BN665" s="21">
        <f t="shared" si="102"/>
        <v>4.93</v>
      </c>
      <c r="BO665" s="21">
        <f t="shared" si="103"/>
        <v>1.91</v>
      </c>
      <c r="BP665" s="21">
        <f t="shared" si="104"/>
        <v>4.09</v>
      </c>
      <c r="BQ665" s="14">
        <f t="shared" si="105"/>
        <v>10.93</v>
      </c>
      <c r="BR665" s="22" t="str">
        <f>IF(OR(AND(X665="Mourões", BQ665&gt;=6.5),AND(X665="Postes", BQ665&gt;=9.6),AND(X665="Dormentes", BQ665&gt;=9.6),AND(X665="Estacas - Solo", BQ665&gt;=6.5),AND(X665="Estacas - Suspenso", BQ665&gt;=4),AND(X665="Cruzetas", BQ665&gt;=6.5),AND(X665="Outros - Solo", BQ665&gt;=6.5),AND(X665="Outros - Suspenso",BQ665&gt;=4),AND(X665="Deck",BQ665&gt;=4)),'Listas suspensas'!$C$21,'Listas suspensas'!$C$22)</f>
        <v>Os resultados da análise química apresentaram uma retenção do produto de acordo com o padrão mínimo exigido pela norma ABNT NBR 16143</v>
      </c>
    </row>
    <row r="666" spans="2:70" x14ac:dyDescent="0.25">
      <c r="B666" s="8" t="s">
        <v>1830</v>
      </c>
      <c r="C666" s="8" t="s">
        <v>71</v>
      </c>
      <c r="D666" s="23"/>
      <c r="F666" s="11">
        <v>46051</v>
      </c>
      <c r="G666" s="11">
        <v>46052</v>
      </c>
      <c r="H666" s="11">
        <v>46056</v>
      </c>
      <c r="I666" s="8" t="s">
        <v>811</v>
      </c>
      <c r="J666" s="8" t="s">
        <v>1601</v>
      </c>
      <c r="K666" s="8" t="s">
        <v>144</v>
      </c>
      <c r="L666" s="8" t="s">
        <v>15</v>
      </c>
      <c r="M666" s="29" t="s">
        <v>1008</v>
      </c>
      <c r="N666" s="8" t="s">
        <v>1165</v>
      </c>
      <c r="O666" s="8" t="s">
        <v>94</v>
      </c>
      <c r="P666" s="8" t="s">
        <v>77</v>
      </c>
      <c r="Q666" s="8" t="s">
        <v>1843</v>
      </c>
      <c r="X666" s="8" t="s">
        <v>98</v>
      </c>
      <c r="Y666" s="34">
        <f>IF(X666='Listas suspensas'!$A$21,'Listas suspensas'!$B$23,IF(X666='Listas suspensas'!$A$22,'Listas suspensas'!$B$23,IF(X666='Listas suspensas'!$A$23,'Listas suspensas'!$B$22,IF(X666='Listas suspensas'!$A$26,'Listas suspensas'!$B$22,IF(X666='Listas suspensas'!$A$32,'Listas suspensas'!$B$22,IF(X666='Listas suspensas'!$A$33,'Listas suspensas'!$B$21,IF(X666='Listas suspensas'!$A$24,'Listas suspensas'!$B$22,IF(X666='Listas suspensas'!$A$25,'Listas suspensas'!$B$21,IF(X666='Listas suspensas'!$A$30,'Listas suspensas'!$B$21,"")))))))))</f>
        <v>9.6</v>
      </c>
      <c r="Z666" s="8" t="s">
        <v>1848</v>
      </c>
      <c r="AA666" s="8">
        <v>1</v>
      </c>
      <c r="AB666" s="8" t="str">
        <f>IF(AA666='Listas suspensas'!$A$2,'Listas suspensas'!$B$2,IF(AA666='Listas suspensas'!$A$3,'Listas suspensas'!$B$3,IF(AA666='Listas suspensas'!$A$4,'Listas suspensas'!$B$4,IF(AA666='Listas suspensas'!$A$5,'Listas suspensas'!$B$5,IF(AA666='Listas suspensas'!$A$6,'Listas suspensas'!$B$6,"")))))</f>
        <v>Profunda e regular</v>
      </c>
      <c r="AC666" s="8" t="str">
        <f>IF(AA666='Listas suspensas'!$A$2,'Listas suspensas'!$C$2,IF(AA666='Listas suspensas'!$A$3,'Listas suspensas'!$C$3,IF(AA666='Listas suspensas'!$A$4,'Listas suspensas'!$C$4,IF(AA666='Listas suspensas'!$A$5,'Listas suspensas'!$C$5,IF(AA666='Listas suspensas'!$A$6,'Listas suspensas'!$C$6,"")))))</f>
        <v>Indica a penetração profunda e uniforme em toda a extensão do alburno.</v>
      </c>
      <c r="BD666" s="13">
        <v>0.51600000000000001</v>
      </c>
      <c r="BE666" s="18">
        <f t="shared" si="106"/>
        <v>516</v>
      </c>
      <c r="BF666" s="8">
        <v>1.2390000000000001</v>
      </c>
      <c r="BG666" s="8">
        <v>0.373</v>
      </c>
      <c r="BH666" s="8">
        <v>0.78</v>
      </c>
      <c r="BI666" s="13">
        <f t="shared" si="107"/>
        <v>2.3920000000000003</v>
      </c>
      <c r="BJ666" s="14">
        <v>51.8</v>
      </c>
      <c r="BK666" s="14">
        <v>15.6</v>
      </c>
      <c r="BL666" s="14">
        <v>32.6</v>
      </c>
      <c r="BM666" s="16">
        <f t="shared" si="101"/>
        <v>100</v>
      </c>
      <c r="BN666" s="21">
        <f t="shared" si="102"/>
        <v>6.39</v>
      </c>
      <c r="BO666" s="21">
        <f t="shared" si="103"/>
        <v>1.92</v>
      </c>
      <c r="BP666" s="21">
        <f t="shared" si="104"/>
        <v>4.0199999999999996</v>
      </c>
      <c r="BQ666" s="14">
        <f t="shared" si="105"/>
        <v>12.33</v>
      </c>
      <c r="BR666" s="22" t="str">
        <f>IF(OR(AND(X666="Mourões", BQ666&gt;=6.5),AND(X666="Postes", BQ666&gt;=9.6),AND(X666="Dormentes", BQ666&gt;=9.6),AND(X666="Estacas - Solo", BQ666&gt;=6.5),AND(X666="Estacas - Suspenso", BQ666&gt;=4),AND(X666="Cruzetas", BQ666&gt;=6.5),AND(X666="Outros - Solo", BQ666&gt;=6.5),AND(X666="Outros - Suspenso",BQ666&gt;=4),AND(X666="Deck",BQ666&gt;=4)),'Listas suspensas'!$C$21,'Listas suspensas'!$C$22)</f>
        <v>Os resultados da análise química apresentaram uma retenção do produto de acordo com o padrão mínimo exigido pela norma ABNT NBR 16143</v>
      </c>
    </row>
    <row r="667" spans="2:70" x14ac:dyDescent="0.25">
      <c r="B667" s="8" t="s">
        <v>1831</v>
      </c>
      <c r="C667" s="8" t="s">
        <v>71</v>
      </c>
      <c r="D667" s="23"/>
      <c r="F667" s="11">
        <v>46056</v>
      </c>
      <c r="G667" s="11">
        <v>46057</v>
      </c>
      <c r="H667" s="11">
        <v>46058</v>
      </c>
      <c r="I667" s="8" t="s">
        <v>72</v>
      </c>
      <c r="J667" s="8" t="s">
        <v>73</v>
      </c>
      <c r="K667" s="8" t="s">
        <v>1850</v>
      </c>
      <c r="L667" s="8" t="s">
        <v>15</v>
      </c>
      <c r="M667" s="30" t="s">
        <v>159</v>
      </c>
      <c r="N667" s="8" t="s">
        <v>75</v>
      </c>
      <c r="O667" s="8" t="s">
        <v>76</v>
      </c>
      <c r="P667" s="28" t="s">
        <v>77</v>
      </c>
      <c r="Q667" s="16" t="s">
        <v>1851</v>
      </c>
      <c r="X667" s="8" t="s">
        <v>79</v>
      </c>
      <c r="Y667" s="34">
        <f>IF(X667='Listas suspensas'!$A$21,'Listas suspensas'!$B$23,IF(X667='Listas suspensas'!$A$22,'Listas suspensas'!$B$23,IF(X667='Listas suspensas'!$A$23,'Listas suspensas'!$B$22,IF(X667='Listas suspensas'!$A$26,'Listas suspensas'!$B$22,IF(X667='Listas suspensas'!$A$32,'Listas suspensas'!$B$22,IF(X667='Listas suspensas'!$A$33,'Listas suspensas'!$B$21,IF(X667='Listas suspensas'!$A$24,'Listas suspensas'!$B$22,IF(X667='Listas suspensas'!$A$25,'Listas suspensas'!$B$21,IF(X667='Listas suspensas'!$A$30,'Listas suspensas'!$B$21,"")))))))))</f>
        <v>6.5</v>
      </c>
      <c r="Z667" s="8" t="s">
        <v>80</v>
      </c>
      <c r="AA667" s="8">
        <v>4</v>
      </c>
      <c r="AB667" s="8" t="str">
        <f>IF(AA667='Listas suspensas'!$A$2,'Listas suspensas'!$B$2,IF(AA667='Listas suspensas'!$A$3,'Listas suspensas'!$B$3,IF(AA667='Listas suspensas'!$A$4,'Listas suspensas'!$B$4,IF(AA667='Listas suspensas'!$A$5,'Listas suspensas'!$B$5,IF(AA667='Listas suspensas'!$A$6,'Listas suspensas'!$B$6,"")))))</f>
        <v>Parcial e irregular</v>
      </c>
      <c r="AC667" s="8" t="str">
        <f>IF(AA667='Listas suspensas'!$A$2,'Listas suspensas'!$C$2,IF(AA667='Listas suspensas'!$A$3,'Listas suspensas'!$C$3,IF(AA667='Listas suspensas'!$A$4,'Listas suspensas'!$C$4,IF(AA667='Listas suspensas'!$A$5,'Listas suspensas'!$C$5,IF(AA667='Listas suspensas'!$A$6,'Listas suspensas'!$C$6,"")))))</f>
        <v>Indica a penetração desuniforme e não total pela extensão do alburno.</v>
      </c>
      <c r="BD667" s="8">
        <v>0.91900000000000004</v>
      </c>
      <c r="BE667" s="18">
        <f t="shared" si="106"/>
        <v>919</v>
      </c>
      <c r="BF667" s="8">
        <v>0.60499999999999998</v>
      </c>
      <c r="BG667" s="8">
        <v>0.20499999999999999</v>
      </c>
      <c r="BH667" s="8">
        <v>0.58199999999999996</v>
      </c>
      <c r="BI667" s="13">
        <f t="shared" si="107"/>
        <v>1.3919999999999999</v>
      </c>
      <c r="BJ667" s="14">
        <v>43.5</v>
      </c>
      <c r="BK667" s="14">
        <v>14.7</v>
      </c>
      <c r="BL667" s="14">
        <v>41.8</v>
      </c>
      <c r="BM667" s="16">
        <f t="shared" si="101"/>
        <v>100</v>
      </c>
      <c r="BN667" s="21">
        <f t="shared" si="102"/>
        <v>5.56</v>
      </c>
      <c r="BO667" s="21">
        <f t="shared" si="103"/>
        <v>1.88</v>
      </c>
      <c r="BP667" s="21">
        <f t="shared" si="104"/>
        <v>5.35</v>
      </c>
      <c r="BQ667" s="14">
        <f t="shared" si="105"/>
        <v>12.79</v>
      </c>
      <c r="BR667" s="22" t="str">
        <f>IF(OR(AND(X667="Mourões", BQ667&gt;=6.5),AND(X667="Postes", BQ667&gt;=9.6),AND(X667="Dormentes", BQ667&gt;=9.6),AND(X667="Estacas - Solo", BQ667&gt;=6.5),AND(X667="Estacas - Suspenso", BQ667&gt;=4),AND(X667="Cruzetas", BQ667&gt;=6.5),AND(X667="Outros - Solo", BQ667&gt;=6.5),AND(X667="Outros - Suspenso",BQ667&gt;=4),AND(X667="Deck",BQ667&gt;=4)),'Listas suspensas'!$C$21,'Listas suspensas'!$C$22)</f>
        <v>Os resultados da análise química apresentaram uma retenção do produto de acordo com o padrão mínimo exigido pela norma ABNT NBR 16143</v>
      </c>
    </row>
    <row r="668" spans="2:70" x14ac:dyDescent="0.25">
      <c r="B668" s="8" t="s">
        <v>1832</v>
      </c>
      <c r="C668" s="8" t="s">
        <v>71</v>
      </c>
      <c r="D668" s="23"/>
      <c r="F668" s="11">
        <v>46056</v>
      </c>
      <c r="G668" s="11">
        <v>46057</v>
      </c>
      <c r="H668" s="11">
        <v>46058</v>
      </c>
      <c r="I668" s="8" t="s">
        <v>72</v>
      </c>
      <c r="J668" s="8" t="s">
        <v>73</v>
      </c>
      <c r="K668" s="8" t="s">
        <v>1850</v>
      </c>
      <c r="L668" s="8" t="s">
        <v>15</v>
      </c>
      <c r="M668" s="30" t="s">
        <v>159</v>
      </c>
      <c r="N668" s="8" t="s">
        <v>75</v>
      </c>
      <c r="O668" s="8" t="s">
        <v>76</v>
      </c>
      <c r="P668" s="28" t="s">
        <v>77</v>
      </c>
      <c r="Q668" s="16" t="s">
        <v>1852</v>
      </c>
      <c r="X668" s="8" t="s">
        <v>79</v>
      </c>
      <c r="Y668" s="34">
        <f>IF(X668='Listas suspensas'!$A$21,'Listas suspensas'!$B$23,IF(X668='Listas suspensas'!$A$22,'Listas suspensas'!$B$23,IF(X668='Listas suspensas'!$A$23,'Listas suspensas'!$B$22,IF(X668='Listas suspensas'!$A$26,'Listas suspensas'!$B$22,IF(X668='Listas suspensas'!$A$32,'Listas suspensas'!$B$22,IF(X668='Listas suspensas'!$A$33,'Listas suspensas'!$B$21,IF(X668='Listas suspensas'!$A$24,'Listas suspensas'!$B$22,IF(X668='Listas suspensas'!$A$25,'Listas suspensas'!$B$21,IF(X668='Listas suspensas'!$A$30,'Listas suspensas'!$B$21,"")))))))))</f>
        <v>6.5</v>
      </c>
      <c r="Z668" s="8" t="s">
        <v>80</v>
      </c>
      <c r="AA668" s="8">
        <v>4</v>
      </c>
      <c r="AB668" s="8" t="str">
        <f>IF(AA668='Listas suspensas'!$A$2,'Listas suspensas'!$B$2,IF(AA668='Listas suspensas'!$A$3,'Listas suspensas'!$B$3,IF(AA668='Listas suspensas'!$A$4,'Listas suspensas'!$B$4,IF(AA668='Listas suspensas'!$A$5,'Listas suspensas'!$B$5,IF(AA668='Listas suspensas'!$A$6,'Listas suspensas'!$B$6,"")))))</f>
        <v>Parcial e irregular</v>
      </c>
      <c r="AC668" s="8" t="str">
        <f>IF(AA668='Listas suspensas'!$A$2,'Listas suspensas'!$C$2,IF(AA668='Listas suspensas'!$A$3,'Listas suspensas'!$C$3,IF(AA668='Listas suspensas'!$A$4,'Listas suspensas'!$C$4,IF(AA668='Listas suspensas'!$A$5,'Listas suspensas'!$C$5,IF(AA668='Listas suspensas'!$A$6,'Listas suspensas'!$C$6,"")))))</f>
        <v>Indica a penetração desuniforme e não total pela extensão do alburno.</v>
      </c>
      <c r="BD668" s="8">
        <v>0.93400000000000005</v>
      </c>
      <c r="BE668" s="18">
        <f t="shared" si="106"/>
        <v>934</v>
      </c>
      <c r="BF668" s="8">
        <v>0.66600000000000004</v>
      </c>
      <c r="BG668" s="8">
        <v>0.20799999999999999</v>
      </c>
      <c r="BH668" s="8">
        <v>0.67100000000000004</v>
      </c>
      <c r="BI668" s="13">
        <f t="shared" si="107"/>
        <v>1.5449999999999999</v>
      </c>
      <c r="BJ668" s="14">
        <v>43.1</v>
      </c>
      <c r="BK668" s="14">
        <v>13.5</v>
      </c>
      <c r="BL668" s="14">
        <v>43.4</v>
      </c>
      <c r="BM668" s="16">
        <f t="shared" si="101"/>
        <v>100</v>
      </c>
      <c r="BN668" s="21">
        <f t="shared" si="102"/>
        <v>6.22</v>
      </c>
      <c r="BO668" s="21">
        <f t="shared" si="103"/>
        <v>1.94</v>
      </c>
      <c r="BP668" s="21">
        <f t="shared" si="104"/>
        <v>6.27</v>
      </c>
      <c r="BQ668" s="14">
        <f t="shared" si="105"/>
        <v>14.43</v>
      </c>
      <c r="BR668" s="22" t="str">
        <f>IF(OR(AND(X668="Mourões", BQ668&gt;=6.5),AND(X668="Postes", BQ668&gt;=9.6),AND(X668="Dormentes", BQ668&gt;=9.6),AND(X668="Estacas - Solo", BQ668&gt;=6.5),AND(X668="Estacas - Suspenso", BQ668&gt;=4),AND(X668="Cruzetas", BQ668&gt;=6.5),AND(X668="Outros - Solo", BQ668&gt;=6.5),AND(X668="Outros - Suspenso",BQ668&gt;=4),AND(X668="Deck",BQ668&gt;=4)),'Listas suspensas'!$C$21,'Listas suspensas'!$C$22)</f>
        <v>Os resultados da análise química apresentaram uma retenção do produto de acordo com o padrão mínimo exigido pela norma ABNT NBR 16143</v>
      </c>
    </row>
    <row r="669" spans="2:70" x14ac:dyDescent="0.25">
      <c r="B669" s="8" t="s">
        <v>1833</v>
      </c>
      <c r="C669" s="8" t="s">
        <v>71</v>
      </c>
      <c r="D669" s="23"/>
      <c r="F669" s="11">
        <v>46056</v>
      </c>
      <c r="G669" s="11">
        <v>46057</v>
      </c>
      <c r="H669" s="11">
        <v>46058</v>
      </c>
      <c r="I669" s="8" t="s">
        <v>72</v>
      </c>
      <c r="J669" s="8" t="s">
        <v>73</v>
      </c>
      <c r="K669" s="8" t="s">
        <v>1850</v>
      </c>
      <c r="L669" s="8" t="s">
        <v>15</v>
      </c>
      <c r="M669" s="30" t="s">
        <v>159</v>
      </c>
      <c r="N669" s="8" t="s">
        <v>75</v>
      </c>
      <c r="O669" s="8" t="s">
        <v>76</v>
      </c>
      <c r="P669" s="28" t="s">
        <v>77</v>
      </c>
      <c r="Q669" s="16" t="s">
        <v>1853</v>
      </c>
      <c r="X669" s="8" t="s">
        <v>79</v>
      </c>
      <c r="Y669" s="34">
        <f>IF(X669='Listas suspensas'!$A$21,'Listas suspensas'!$B$23,IF(X669='Listas suspensas'!$A$22,'Listas suspensas'!$B$23,IF(X669='Listas suspensas'!$A$23,'Listas suspensas'!$B$22,IF(X669='Listas suspensas'!$A$26,'Listas suspensas'!$B$22,IF(X669='Listas suspensas'!$A$32,'Listas suspensas'!$B$22,IF(X669='Listas suspensas'!$A$33,'Listas suspensas'!$B$21,IF(X669='Listas suspensas'!$A$24,'Listas suspensas'!$B$22,IF(X669='Listas suspensas'!$A$25,'Listas suspensas'!$B$21,IF(X669='Listas suspensas'!$A$30,'Listas suspensas'!$B$21,"")))))))))</f>
        <v>6.5</v>
      </c>
      <c r="Z669" s="8" t="s">
        <v>80</v>
      </c>
      <c r="AA669" s="8">
        <v>3</v>
      </c>
      <c r="AB669" s="8" t="str">
        <f>IF(AA669='Listas suspensas'!$A$2,'Listas suspensas'!$B$2,IF(AA669='Listas suspensas'!$A$3,'Listas suspensas'!$B$3,IF(AA669='Listas suspensas'!$A$4,'Listas suspensas'!$B$4,IF(AA669='Listas suspensas'!$A$5,'Listas suspensas'!$B$5,IF(AA669='Listas suspensas'!$A$6,'Listas suspensas'!$B$6,"")))))</f>
        <v xml:space="preserve"> Parcial e regular</v>
      </c>
      <c r="AC669" s="8" t="str">
        <f>IF(AA669='Listas suspensas'!$A$2,'Listas suspensas'!$C$2,IF(AA669='Listas suspensas'!$A$3,'Listas suspensas'!$C$3,IF(AA669='Listas suspensas'!$A$4,'Listas suspensas'!$C$4,IF(AA669='Listas suspensas'!$A$5,'Listas suspensas'!$C$5,IF(AA669='Listas suspensas'!$A$6,'Listas suspensas'!$C$6,"")))))</f>
        <v>Indica a penetração uniforme, mas não total pela extensão do alburno.</v>
      </c>
      <c r="BD669" s="8">
        <v>0.74299999999999999</v>
      </c>
      <c r="BE669" s="18">
        <f t="shared" si="106"/>
        <v>743</v>
      </c>
      <c r="BF669" s="8">
        <v>0.57299999999999995</v>
      </c>
      <c r="BG669" s="8">
        <v>0.25900000000000001</v>
      </c>
      <c r="BH669" s="8">
        <v>0.67800000000000005</v>
      </c>
      <c r="BI669" s="13">
        <f t="shared" si="107"/>
        <v>1.51</v>
      </c>
      <c r="BJ669" s="14">
        <v>37.9</v>
      </c>
      <c r="BK669" s="14">
        <v>17.2</v>
      </c>
      <c r="BL669" s="14">
        <v>44.9</v>
      </c>
      <c r="BM669" s="16">
        <f t="shared" si="101"/>
        <v>100</v>
      </c>
      <c r="BN669" s="21">
        <f t="shared" si="102"/>
        <v>4.26</v>
      </c>
      <c r="BO669" s="21">
        <f t="shared" si="103"/>
        <v>1.92</v>
      </c>
      <c r="BP669" s="21">
        <f t="shared" si="104"/>
        <v>5.04</v>
      </c>
      <c r="BQ669" s="14">
        <f t="shared" si="105"/>
        <v>11.22</v>
      </c>
      <c r="BR669" s="22" t="str">
        <f>IF(OR(AND(X669="Mourões", BQ669&gt;=6.5),AND(X669="Postes", BQ669&gt;=9.6),AND(X669="Dormentes", BQ669&gt;=9.6),AND(X669="Estacas - Solo", BQ669&gt;=6.5),AND(X669="Estacas - Suspenso", BQ669&gt;=4),AND(X669="Cruzetas", BQ669&gt;=6.5),AND(X669="Outros - Solo", BQ669&gt;=6.5),AND(X669="Outros - Suspenso",BQ669&gt;=4),AND(X669="Deck",BQ669&gt;=4)),'Listas suspensas'!$C$21,'Listas suspensas'!$C$22)</f>
        <v>Os resultados da análise química apresentaram uma retenção do produto de acordo com o padrão mínimo exigido pela norma ABNT NBR 16143</v>
      </c>
    </row>
    <row r="670" spans="2:70" x14ac:dyDescent="0.25">
      <c r="B670" s="8" t="s">
        <v>1834</v>
      </c>
      <c r="C670" s="8" t="s">
        <v>71</v>
      </c>
      <c r="D670" s="23"/>
      <c r="F670" s="11">
        <v>46056</v>
      </c>
      <c r="G670" s="11">
        <v>46057</v>
      </c>
      <c r="H670" s="11">
        <v>46058</v>
      </c>
      <c r="I670" s="8" t="s">
        <v>1866</v>
      </c>
      <c r="J670" s="8" t="s">
        <v>1867</v>
      </c>
      <c r="K670" s="8" t="s">
        <v>74</v>
      </c>
      <c r="L670" s="8" t="s">
        <v>15</v>
      </c>
      <c r="M670" s="30" t="s">
        <v>1883</v>
      </c>
      <c r="N670" s="8" t="s">
        <v>75</v>
      </c>
      <c r="O670" s="8" t="s">
        <v>76</v>
      </c>
      <c r="P670" s="28" t="s">
        <v>77</v>
      </c>
      <c r="Q670" s="16" t="s">
        <v>1868</v>
      </c>
      <c r="X670" s="8" t="s">
        <v>98</v>
      </c>
      <c r="Y670" s="34">
        <f>IF(X670='Listas suspensas'!$A$21,'Listas suspensas'!$B$23,IF(X670='Listas suspensas'!$A$22,'Listas suspensas'!$B$23,IF(X670='Listas suspensas'!$A$23,'Listas suspensas'!$B$22,IF(X670='Listas suspensas'!$A$26,'Listas suspensas'!$B$22,IF(X670='Listas suspensas'!$A$32,'Listas suspensas'!$B$22,IF(X670='Listas suspensas'!$A$33,'Listas suspensas'!$B$21,IF(X670='Listas suspensas'!$A$24,'Listas suspensas'!$B$22,IF(X670='Listas suspensas'!$A$25,'Listas suspensas'!$B$21,IF(X670='Listas suspensas'!$A$30,'Listas suspensas'!$B$21,"")))))))))</f>
        <v>9.6</v>
      </c>
      <c r="Z670" s="8" t="s">
        <v>80</v>
      </c>
      <c r="AA670" s="8">
        <v>2</v>
      </c>
      <c r="AB670" s="8" t="str">
        <f>IF(AA670='Listas suspensas'!$A$2,'Listas suspensas'!$B$2,IF(AA670='Listas suspensas'!$A$3,'Listas suspensas'!$B$3,IF(AA670='Listas suspensas'!$A$4,'Listas suspensas'!$B$4,IF(AA670='Listas suspensas'!$A$5,'Listas suspensas'!$B$5,IF(AA670='Listas suspensas'!$A$6,'Listas suspensas'!$B$6,"")))))</f>
        <v>Profunda e irregular</v>
      </c>
      <c r="AC670" s="8" t="str">
        <f>IF(AA670='Listas suspensas'!$A$2,'Listas suspensas'!$C$2,IF(AA670='Listas suspensas'!$A$3,'Listas suspensas'!$C$3,IF(AA670='Listas suspensas'!$A$4,'Listas suspensas'!$C$4,IF(AA670='Listas suspensas'!$A$5,'Listas suspensas'!$C$5,IF(AA670='Listas suspensas'!$A$6,'Listas suspensas'!$C$6,"")))))</f>
        <v>Indica a penetração profunda, mas desuniforme em toda a extensão do alburno.</v>
      </c>
      <c r="BD670" s="8">
        <v>0.89200000000000002</v>
      </c>
      <c r="BE670" s="18">
        <f t="shared" si="106"/>
        <v>892</v>
      </c>
      <c r="BF670" s="8">
        <v>0.26</v>
      </c>
      <c r="BG670" s="8">
        <v>0.14399999999999999</v>
      </c>
      <c r="BH670" s="8">
        <v>0.38600000000000001</v>
      </c>
      <c r="BI670" s="13">
        <f t="shared" si="107"/>
        <v>0.79</v>
      </c>
      <c r="BJ670" s="14">
        <v>32.9</v>
      </c>
      <c r="BK670" s="14">
        <v>18.2</v>
      </c>
      <c r="BL670" s="14">
        <v>48.9</v>
      </c>
      <c r="BM670" s="16">
        <f t="shared" si="101"/>
        <v>100</v>
      </c>
      <c r="BN670" s="21">
        <f t="shared" si="102"/>
        <v>2.3199999999999998</v>
      </c>
      <c r="BO670" s="21">
        <f t="shared" si="103"/>
        <v>1.28</v>
      </c>
      <c r="BP670" s="21">
        <f t="shared" si="104"/>
        <v>3.44</v>
      </c>
      <c r="BQ670" s="14">
        <f t="shared" si="105"/>
        <v>7.04</v>
      </c>
      <c r="BR670" s="22" t="str">
        <f>IF(OR(AND(X670="Mourões", BQ670&gt;=6.5),AND(X670="Postes", BQ670&gt;=9.6),AND(X670="Dormentes", BQ670&gt;=9.6),AND(X670="Estacas - Solo", BQ670&gt;=6.5),AND(X670="Estacas - Suspenso", BQ670&gt;=4),AND(X670="Cruzetas", BQ670&gt;=6.5),AND(X670="Outros - Solo", BQ670&gt;=6.5),AND(X670="Outros - Suspenso",BQ670&gt;=4),AND(X670="Deck",BQ670&gt;=4)),'Listas suspensas'!$C$21,'Listas suspensas'!$C$22)</f>
        <v>Os resultados da análise química apresentaram uma retenção do produto inferior ao padrão mínimo exigido pela norma ABNT NBR 16143</v>
      </c>
    </row>
    <row r="671" spans="2:70" x14ac:dyDescent="0.25">
      <c r="B671" s="8" t="s">
        <v>1841</v>
      </c>
      <c r="C671" s="8" t="s">
        <v>71</v>
      </c>
      <c r="D671" s="23"/>
      <c r="F671" s="11">
        <v>46056</v>
      </c>
      <c r="G671" s="11">
        <v>46057</v>
      </c>
      <c r="H671" s="11">
        <v>46058</v>
      </c>
      <c r="I671" s="8" t="s">
        <v>1866</v>
      </c>
      <c r="J671" s="8" t="s">
        <v>1867</v>
      </c>
      <c r="K671" s="8" t="s">
        <v>74</v>
      </c>
      <c r="L671" s="8" t="s">
        <v>15</v>
      </c>
      <c r="M671" s="30" t="s">
        <v>1883</v>
      </c>
      <c r="N671" s="8" t="s">
        <v>75</v>
      </c>
      <c r="O671" s="8" t="s">
        <v>76</v>
      </c>
      <c r="P671" s="28" t="s">
        <v>77</v>
      </c>
      <c r="Q671" s="16" t="s">
        <v>1869</v>
      </c>
      <c r="X671" s="8" t="s">
        <v>98</v>
      </c>
      <c r="Y671" s="34">
        <f>IF(X671='Listas suspensas'!$A$21,'Listas suspensas'!$B$23,IF(X671='Listas suspensas'!$A$22,'Listas suspensas'!$B$23,IF(X671='Listas suspensas'!$A$23,'Listas suspensas'!$B$22,IF(X671='Listas suspensas'!$A$26,'Listas suspensas'!$B$22,IF(X671='Listas suspensas'!$A$32,'Listas suspensas'!$B$22,IF(X671='Listas suspensas'!$A$33,'Listas suspensas'!$B$21,IF(X671='Listas suspensas'!$A$24,'Listas suspensas'!$B$22,IF(X671='Listas suspensas'!$A$25,'Listas suspensas'!$B$21,IF(X671='Listas suspensas'!$A$30,'Listas suspensas'!$B$21,"")))))))))</f>
        <v>9.6</v>
      </c>
      <c r="Z671" s="8" t="s">
        <v>80</v>
      </c>
      <c r="AA671" s="8">
        <v>3</v>
      </c>
      <c r="AB671" s="8" t="str">
        <f>IF(AA671='Listas suspensas'!$A$2,'Listas suspensas'!$B$2,IF(AA671='Listas suspensas'!$A$3,'Listas suspensas'!$B$3,IF(AA671='Listas suspensas'!$A$4,'Listas suspensas'!$B$4,IF(AA671='Listas suspensas'!$A$5,'Listas suspensas'!$B$5,IF(AA671='Listas suspensas'!$A$6,'Listas suspensas'!$B$6,"")))))</f>
        <v xml:space="preserve"> Parcial e regular</v>
      </c>
      <c r="AC671" s="8" t="str">
        <f>IF(AA671='Listas suspensas'!$A$2,'Listas suspensas'!$C$2,IF(AA671='Listas suspensas'!$A$3,'Listas suspensas'!$C$3,IF(AA671='Listas suspensas'!$A$4,'Listas suspensas'!$C$4,IF(AA671='Listas suspensas'!$A$5,'Listas suspensas'!$C$5,IF(AA671='Listas suspensas'!$A$6,'Listas suspensas'!$C$6,"")))))</f>
        <v>Indica a penetração uniforme, mas não total pela extensão do alburno.</v>
      </c>
      <c r="BD671" s="13">
        <v>0.81299999999999994</v>
      </c>
      <c r="BE671" s="18">
        <f t="shared" si="106"/>
        <v>813</v>
      </c>
      <c r="BF671" s="8">
        <v>0.498</v>
      </c>
      <c r="BG671" s="8">
        <v>0.20899999999999999</v>
      </c>
      <c r="BH671" s="8">
        <v>0.47099999999999997</v>
      </c>
      <c r="BI671" s="13">
        <f t="shared" si="107"/>
        <v>1.1779999999999999</v>
      </c>
      <c r="BJ671" s="14">
        <v>42.3</v>
      </c>
      <c r="BK671" s="14">
        <v>17.7</v>
      </c>
      <c r="BL671" s="14">
        <v>40</v>
      </c>
      <c r="BM671" s="16">
        <f t="shared" si="101"/>
        <v>100</v>
      </c>
      <c r="BN671" s="21">
        <f t="shared" si="102"/>
        <v>4.05</v>
      </c>
      <c r="BO671" s="21">
        <f t="shared" si="103"/>
        <v>1.7</v>
      </c>
      <c r="BP671" s="21">
        <f t="shared" si="104"/>
        <v>3.83</v>
      </c>
      <c r="BQ671" s="14">
        <f t="shared" si="105"/>
        <v>9.58</v>
      </c>
      <c r="BR671" s="22" t="str">
        <f>IF(OR(AND(X671="Mourões", BQ671&gt;=6.5),AND(X671="Postes", BQ671&gt;=9.6),AND(X671="Dormentes", BQ671&gt;=9.6),AND(X671="Estacas - Solo", BQ671&gt;=6.5),AND(X671="Estacas - Suspenso", BQ671&gt;=4),AND(X671="Cruzetas", BQ671&gt;=6.5),AND(X671="Outros - Solo", BQ671&gt;=6.5),AND(X671="Outros - Suspenso",BQ671&gt;=4),AND(X671="Deck",BQ671&gt;=4)),'Listas suspensas'!$C$21,'Listas suspensas'!$C$22)</f>
        <v>Os resultados da análise química apresentaram uma retenção do produto inferior ao padrão mínimo exigido pela norma ABNT NBR 16143</v>
      </c>
    </row>
    <row r="672" spans="2:70" x14ac:dyDescent="0.25">
      <c r="B672" s="8" t="s">
        <v>1857</v>
      </c>
      <c r="C672" s="8" t="s">
        <v>71</v>
      </c>
      <c r="D672" s="23"/>
      <c r="F672" s="11">
        <v>46056</v>
      </c>
      <c r="G672" s="11">
        <v>46057</v>
      </c>
      <c r="H672" s="11">
        <v>46058</v>
      </c>
      <c r="I672" s="8" t="s">
        <v>1866</v>
      </c>
      <c r="J672" s="8" t="s">
        <v>1867</v>
      </c>
      <c r="K672" s="8" t="s">
        <v>74</v>
      </c>
      <c r="L672" s="8" t="s">
        <v>15</v>
      </c>
      <c r="M672" s="30" t="s">
        <v>1883</v>
      </c>
      <c r="N672" s="8" t="s">
        <v>75</v>
      </c>
      <c r="O672" s="8" t="s">
        <v>76</v>
      </c>
      <c r="P672" s="28" t="s">
        <v>77</v>
      </c>
      <c r="Q672" s="16" t="s">
        <v>1870</v>
      </c>
      <c r="X672" s="8" t="s">
        <v>98</v>
      </c>
      <c r="Y672" s="34">
        <f>IF(X672='Listas suspensas'!$A$21,'Listas suspensas'!$B$23,IF(X672='Listas suspensas'!$A$22,'Listas suspensas'!$B$23,IF(X672='Listas suspensas'!$A$23,'Listas suspensas'!$B$22,IF(X672='Listas suspensas'!$A$26,'Listas suspensas'!$B$22,IF(X672='Listas suspensas'!$A$32,'Listas suspensas'!$B$22,IF(X672='Listas suspensas'!$A$33,'Listas suspensas'!$B$21,IF(X672='Listas suspensas'!$A$24,'Listas suspensas'!$B$22,IF(X672='Listas suspensas'!$A$25,'Listas suspensas'!$B$21,IF(X672='Listas suspensas'!$A$30,'Listas suspensas'!$B$21,"")))))))))</f>
        <v>9.6</v>
      </c>
      <c r="Z672" s="8" t="s">
        <v>80</v>
      </c>
      <c r="AA672" s="8">
        <v>1</v>
      </c>
      <c r="AB672" s="8" t="str">
        <f>IF(AA672='Listas suspensas'!$A$2,'Listas suspensas'!$B$2,IF(AA672='Listas suspensas'!$A$3,'Listas suspensas'!$B$3,IF(AA672='Listas suspensas'!$A$4,'Listas suspensas'!$B$4,IF(AA672='Listas suspensas'!$A$5,'Listas suspensas'!$B$5,IF(AA672='Listas suspensas'!$A$6,'Listas suspensas'!$B$6,"")))))</f>
        <v>Profunda e regular</v>
      </c>
      <c r="AC672" s="8" t="str">
        <f>IF(AA672='Listas suspensas'!$A$2,'Listas suspensas'!$C$2,IF(AA672='Listas suspensas'!$A$3,'Listas suspensas'!$C$3,IF(AA672='Listas suspensas'!$A$4,'Listas suspensas'!$C$4,IF(AA672='Listas suspensas'!$A$5,'Listas suspensas'!$C$5,IF(AA672='Listas suspensas'!$A$6,'Listas suspensas'!$C$6,"")))))</f>
        <v>Indica a penetração profunda e uniforme em toda a extensão do alburno.</v>
      </c>
      <c r="BD672" s="13">
        <v>0.68300000000000005</v>
      </c>
      <c r="BE672" s="18">
        <f t="shared" si="106"/>
        <v>683</v>
      </c>
      <c r="BF672" s="8">
        <v>0.33500000000000002</v>
      </c>
      <c r="BG672" s="8">
        <v>0.17799999999999999</v>
      </c>
      <c r="BH672" s="8">
        <v>0.83799999999999997</v>
      </c>
      <c r="BI672" s="13">
        <f t="shared" si="107"/>
        <v>1.351</v>
      </c>
      <c r="BJ672" s="14">
        <v>40</v>
      </c>
      <c r="BK672" s="14">
        <v>21.3</v>
      </c>
      <c r="BL672" s="14">
        <v>38.700000000000003</v>
      </c>
      <c r="BM672" s="16">
        <f t="shared" si="101"/>
        <v>100</v>
      </c>
      <c r="BN672" s="21">
        <f t="shared" si="102"/>
        <v>2.29</v>
      </c>
      <c r="BO672" s="21">
        <f t="shared" si="103"/>
        <v>1.22</v>
      </c>
      <c r="BP672" s="21">
        <f t="shared" si="104"/>
        <v>5.72</v>
      </c>
      <c r="BQ672" s="14">
        <f t="shared" si="105"/>
        <v>9.23</v>
      </c>
      <c r="BR672" s="22" t="str">
        <f>IF(OR(AND(X672="Mourões", BQ672&gt;=6.5),AND(X672="Postes", BQ672&gt;=9.6),AND(X672="Dormentes", BQ672&gt;=9.6),AND(X672="Estacas - Solo", BQ672&gt;=6.5),AND(X672="Estacas - Suspenso", BQ672&gt;=4),AND(X672="Cruzetas", BQ672&gt;=6.5),AND(X672="Outros - Solo", BQ672&gt;=6.5),AND(X672="Outros - Suspenso",BQ672&gt;=4),AND(X672="Deck",BQ672&gt;=4)),'Listas suspensas'!$C$21,'Listas suspensas'!$C$22)</f>
        <v>Os resultados da análise química apresentaram uma retenção do produto inferior ao padrão mínimo exigido pela norma ABNT NBR 16143</v>
      </c>
    </row>
    <row r="673" spans="2:70" x14ac:dyDescent="0.25">
      <c r="B673" s="8" t="s">
        <v>1858</v>
      </c>
      <c r="C673" s="8" t="s">
        <v>71</v>
      </c>
      <c r="F673" s="11">
        <v>46056</v>
      </c>
      <c r="G673" s="11">
        <v>46057</v>
      </c>
      <c r="H673" s="11">
        <v>46058</v>
      </c>
      <c r="I673" s="8" t="s">
        <v>1866</v>
      </c>
      <c r="J673" s="8" t="s">
        <v>1867</v>
      </c>
      <c r="K673" s="8" t="s">
        <v>74</v>
      </c>
      <c r="L673" s="8" t="s">
        <v>15</v>
      </c>
      <c r="M673" s="30" t="s">
        <v>1883</v>
      </c>
      <c r="N673" s="8" t="s">
        <v>75</v>
      </c>
      <c r="O673" s="8" t="s">
        <v>76</v>
      </c>
      <c r="P673" s="28" t="s">
        <v>77</v>
      </c>
      <c r="Q673" s="16" t="s">
        <v>1871</v>
      </c>
      <c r="X673" s="8" t="s">
        <v>98</v>
      </c>
      <c r="Y673" s="34">
        <f>IF(X673='Listas suspensas'!$A$21,'Listas suspensas'!$B$23,IF(X673='Listas suspensas'!$A$22,'Listas suspensas'!$B$23,IF(X673='Listas suspensas'!$A$23,'Listas suspensas'!$B$22,IF(X673='Listas suspensas'!$A$26,'Listas suspensas'!$B$22,IF(X673='Listas suspensas'!$A$32,'Listas suspensas'!$B$22,IF(X673='Listas suspensas'!$A$33,'Listas suspensas'!$B$21,IF(X673='Listas suspensas'!$A$24,'Listas suspensas'!$B$22,IF(X673='Listas suspensas'!$A$25,'Listas suspensas'!$B$21,IF(X673='Listas suspensas'!$A$30,'Listas suspensas'!$B$21,"")))))))))</f>
        <v>9.6</v>
      </c>
      <c r="Z673" s="8" t="s">
        <v>80</v>
      </c>
      <c r="AA673" s="8">
        <v>3</v>
      </c>
      <c r="AB673" s="8" t="str">
        <f>IF(AA673='Listas suspensas'!$A$2,'Listas suspensas'!$B$2,IF(AA673='Listas suspensas'!$A$3,'Listas suspensas'!$B$3,IF(AA673='Listas suspensas'!$A$4,'Listas suspensas'!$B$4,IF(AA673='Listas suspensas'!$A$5,'Listas suspensas'!$B$5,IF(AA673='Listas suspensas'!$A$6,'Listas suspensas'!$B$6,"")))))</f>
        <v xml:space="preserve"> Parcial e regular</v>
      </c>
      <c r="AC673" s="8" t="str">
        <f>IF(AA673='Listas suspensas'!$A$2,'Listas suspensas'!$C$2,IF(AA673='Listas suspensas'!$A$3,'Listas suspensas'!$C$3,IF(AA673='Listas suspensas'!$A$4,'Listas suspensas'!$C$4,IF(AA673='Listas suspensas'!$A$5,'Listas suspensas'!$C$5,IF(AA673='Listas suspensas'!$A$6,'Listas suspensas'!$C$6,"")))))</f>
        <v>Indica a penetração uniforme, mas não total pela extensão do alburno.</v>
      </c>
      <c r="BD673" s="13">
        <v>0.80900000000000005</v>
      </c>
      <c r="BE673" s="18">
        <f t="shared" si="106"/>
        <v>809</v>
      </c>
      <c r="BF673" s="8">
        <v>0.47499999999999998</v>
      </c>
      <c r="BG673" s="8">
        <v>0.23400000000000001</v>
      </c>
      <c r="BH673" s="8">
        <v>0.55700000000000005</v>
      </c>
      <c r="BI673" s="13">
        <f t="shared" si="107"/>
        <v>1.266</v>
      </c>
      <c r="BJ673" s="14">
        <v>37.5</v>
      </c>
      <c r="BK673" s="14">
        <v>18.5</v>
      </c>
      <c r="BL673" s="14">
        <v>44</v>
      </c>
      <c r="BM673" s="16">
        <f t="shared" si="101"/>
        <v>100</v>
      </c>
      <c r="BN673" s="21">
        <f t="shared" si="102"/>
        <v>3.84</v>
      </c>
      <c r="BO673" s="21">
        <f t="shared" si="103"/>
        <v>1.89</v>
      </c>
      <c r="BP673" s="21">
        <f t="shared" si="104"/>
        <v>4.51</v>
      </c>
      <c r="BQ673" s="14">
        <f t="shared" si="105"/>
        <v>10.24</v>
      </c>
      <c r="BR673" s="22" t="str">
        <f>IF(OR(AND(X673="Mourões", BQ673&gt;=6.5),AND(X673="Postes", BQ673&gt;=9.6),AND(X673="Dormentes", BQ673&gt;=9.6),AND(X673="Estacas - Solo", BQ673&gt;=6.5),AND(X673="Estacas - Suspenso", BQ673&gt;=4),AND(X673="Cruzetas", BQ673&gt;=6.5),AND(X673="Outros - Solo", BQ673&gt;=6.5),AND(X673="Outros - Suspenso",BQ673&gt;=4),AND(X673="Deck",BQ673&gt;=4)),'Listas suspensas'!$C$21,'Listas suspensas'!$C$22)</f>
        <v>Os resultados da análise química apresentaram uma retenção do produto de acordo com o padrão mínimo exigido pela norma ABNT NBR 16143</v>
      </c>
    </row>
    <row r="674" spans="2:70" x14ac:dyDescent="0.25">
      <c r="B674" s="8" t="s">
        <v>1859</v>
      </c>
      <c r="C674" s="8" t="s">
        <v>1015</v>
      </c>
      <c r="F674" s="11">
        <v>46058</v>
      </c>
      <c r="G674" s="11">
        <v>46058</v>
      </c>
      <c r="H674" s="11"/>
      <c r="I674" s="8" t="s">
        <v>1059</v>
      </c>
      <c r="J674" s="8" t="s">
        <v>1060</v>
      </c>
      <c r="K674" s="8" t="s">
        <v>619</v>
      </c>
      <c r="L674" s="8" t="s">
        <v>15</v>
      </c>
      <c r="M674" s="30" t="s">
        <v>1061</v>
      </c>
      <c r="N674" s="8" t="s">
        <v>75</v>
      </c>
      <c r="O674" s="8" t="s">
        <v>94</v>
      </c>
      <c r="P674" s="28" t="s">
        <v>77</v>
      </c>
      <c r="Q674" s="16" t="s">
        <v>1875</v>
      </c>
      <c r="X674" s="8" t="s">
        <v>98</v>
      </c>
      <c r="Y674" s="34">
        <f>IF(X674='Listas suspensas'!$A$21,'Listas suspensas'!$B$23,IF(X674='Listas suspensas'!$A$22,'Listas suspensas'!$B$23,IF(X674='Listas suspensas'!$A$23,'Listas suspensas'!$B$22,IF(X674='Listas suspensas'!$A$26,'Listas suspensas'!$B$22,IF(X674='Listas suspensas'!$A$32,'Listas suspensas'!$B$22,IF(X674='Listas suspensas'!$A$33,'Listas suspensas'!$B$21,IF(X674='Listas suspensas'!$A$24,'Listas suspensas'!$B$22,IF(X674='Listas suspensas'!$A$25,'Listas suspensas'!$B$21,IF(X674='Listas suspensas'!$A$30,'Listas suspensas'!$B$21,"")))))))))</f>
        <v>9.6</v>
      </c>
      <c r="Z674" s="8" t="s">
        <v>80</v>
      </c>
      <c r="AB674" s="8" t="str">
        <f>IF(AA674='Listas suspensas'!$A$2,'Listas suspensas'!$B$2,IF(AA674='Listas suspensas'!$A$3,'Listas suspensas'!$B$3,IF(AA674='Listas suspensas'!$A$4,'Listas suspensas'!$B$4,IF(AA674='Listas suspensas'!$A$5,'Listas suspensas'!$B$5,IF(AA674='Listas suspensas'!$A$6,'Listas suspensas'!$B$6,"")))))</f>
        <v/>
      </c>
      <c r="AC674" s="8" t="str">
        <f>IF(AA674='Listas suspensas'!$A$2,'Listas suspensas'!$C$2,IF(AA674='Listas suspensas'!$A$3,'Listas suspensas'!$C$3,IF(AA674='Listas suspensas'!$A$4,'Listas suspensas'!$C$4,IF(AA674='Listas suspensas'!$A$5,'Listas suspensas'!$C$5,IF(AA674='Listas suspensas'!$A$6,'Listas suspensas'!$C$6,"")))))</f>
        <v/>
      </c>
      <c r="BD674" s="13">
        <v>0.63600000000000001</v>
      </c>
      <c r="BE674" s="18">
        <f t="shared" si="106"/>
        <v>636</v>
      </c>
      <c r="BF674" s="8">
        <v>0.70899999999999996</v>
      </c>
      <c r="BG674" s="8">
        <v>0.224</v>
      </c>
      <c r="BH674" s="8">
        <v>0.40400000000000003</v>
      </c>
      <c r="BI674" s="13">
        <f t="shared" si="107"/>
        <v>1.337</v>
      </c>
      <c r="BJ674" s="14">
        <v>53</v>
      </c>
      <c r="BK674" s="14">
        <v>16.8</v>
      </c>
      <c r="BL674" s="14">
        <v>30.2</v>
      </c>
      <c r="BM674" s="16">
        <f t="shared" si="101"/>
        <v>100</v>
      </c>
      <c r="BN674" s="21">
        <f t="shared" si="102"/>
        <v>4.51</v>
      </c>
      <c r="BO674" s="21">
        <f t="shared" si="103"/>
        <v>1.42</v>
      </c>
      <c r="BP674" s="21">
        <f t="shared" si="104"/>
        <v>2.57</v>
      </c>
      <c r="BQ674" s="14">
        <f t="shared" si="105"/>
        <v>8.5</v>
      </c>
      <c r="BR674" s="22" t="str">
        <f>IF(OR(AND(X674="Mourões", BQ674&gt;=6.5),AND(X674="Postes", BQ674&gt;=9.6),AND(X674="Dormentes", BQ674&gt;=9.6),AND(X674="Estacas - Solo", BQ674&gt;=6.5),AND(X674="Estacas - Suspenso", BQ674&gt;=4),AND(X674="Cruzetas", BQ674&gt;=6.5),AND(X674="Outros - Solo", BQ674&gt;=6.5),AND(X674="Outros - Suspenso",BQ674&gt;=4),AND(X674="Deck",BQ674&gt;=4)),'Listas suspensas'!$C$21,'Listas suspensas'!$C$22)</f>
        <v>Os resultados da análise química apresentaram uma retenção do produto inferior ao padrão mínimo exigido pela norma ABNT NBR 16143</v>
      </c>
    </row>
    <row r="675" spans="2:70" x14ac:dyDescent="0.25">
      <c r="B675" s="8" t="s">
        <v>1860</v>
      </c>
      <c r="C675" s="8" t="s">
        <v>1015</v>
      </c>
      <c r="F675" s="11">
        <v>46058</v>
      </c>
      <c r="G675" s="11">
        <v>46058</v>
      </c>
      <c r="H675" s="11"/>
      <c r="I675" s="8" t="s">
        <v>1059</v>
      </c>
      <c r="J675" s="8" t="s">
        <v>1060</v>
      </c>
      <c r="K675" s="8" t="s">
        <v>619</v>
      </c>
      <c r="L675" s="8" t="s">
        <v>15</v>
      </c>
      <c r="M675" s="30" t="s">
        <v>1061</v>
      </c>
      <c r="N675" s="8" t="s">
        <v>75</v>
      </c>
      <c r="O675" s="8" t="s">
        <v>94</v>
      </c>
      <c r="P675" s="28" t="s">
        <v>77</v>
      </c>
      <c r="Q675" s="16" t="s">
        <v>1874</v>
      </c>
      <c r="X675" s="8" t="s">
        <v>98</v>
      </c>
      <c r="Y675" s="34">
        <f>IF(X675='Listas suspensas'!$A$21,'Listas suspensas'!$B$23,IF(X675='Listas suspensas'!$A$22,'Listas suspensas'!$B$23,IF(X675='Listas suspensas'!$A$23,'Listas suspensas'!$B$22,IF(X675='Listas suspensas'!$A$26,'Listas suspensas'!$B$22,IF(X675='Listas suspensas'!$A$32,'Listas suspensas'!$B$22,IF(X675='Listas suspensas'!$A$33,'Listas suspensas'!$B$21,IF(X675='Listas suspensas'!$A$24,'Listas suspensas'!$B$22,IF(X675='Listas suspensas'!$A$25,'Listas suspensas'!$B$21,IF(X675='Listas suspensas'!$A$30,'Listas suspensas'!$B$21,"")))))))))</f>
        <v>9.6</v>
      </c>
      <c r="Z675" s="8" t="s">
        <v>80</v>
      </c>
      <c r="AB675" s="8" t="str">
        <f>IF(AA675='Listas suspensas'!$A$2,'Listas suspensas'!$B$2,IF(AA675='Listas suspensas'!$A$3,'Listas suspensas'!$B$3,IF(AA675='Listas suspensas'!$A$4,'Listas suspensas'!$B$4,IF(AA675='Listas suspensas'!$A$5,'Listas suspensas'!$B$5,IF(AA675='Listas suspensas'!$A$6,'Listas suspensas'!$B$6,"")))))</f>
        <v/>
      </c>
      <c r="AC675" s="8" t="str">
        <f>IF(AA675='Listas suspensas'!$A$2,'Listas suspensas'!$C$2,IF(AA675='Listas suspensas'!$A$3,'Listas suspensas'!$C$3,IF(AA675='Listas suspensas'!$A$4,'Listas suspensas'!$C$4,IF(AA675='Listas suspensas'!$A$5,'Listas suspensas'!$C$5,IF(AA675='Listas suspensas'!$A$6,'Listas suspensas'!$C$6,"")))))</f>
        <v/>
      </c>
      <c r="BD675" s="13">
        <v>0.91300000000000003</v>
      </c>
      <c r="BE675" s="18">
        <f t="shared" si="106"/>
        <v>913</v>
      </c>
      <c r="BF675" s="8">
        <v>0.44900000000000001</v>
      </c>
      <c r="BG675" s="8">
        <v>0.192</v>
      </c>
      <c r="BH675" s="8">
        <v>0.33100000000000002</v>
      </c>
      <c r="BI675" s="13">
        <f t="shared" si="107"/>
        <v>0.97199999999999998</v>
      </c>
      <c r="BJ675" s="14">
        <v>46.2</v>
      </c>
      <c r="BK675" s="14">
        <v>19.8</v>
      </c>
      <c r="BL675" s="14">
        <v>34</v>
      </c>
      <c r="BM675" s="16">
        <f t="shared" si="101"/>
        <v>100</v>
      </c>
      <c r="BN675" s="21">
        <f t="shared" si="102"/>
        <v>4.0999999999999996</v>
      </c>
      <c r="BO675" s="21">
        <f t="shared" si="103"/>
        <v>1.75</v>
      </c>
      <c r="BP675" s="21">
        <f t="shared" si="104"/>
        <v>3.02</v>
      </c>
      <c r="BQ675" s="14">
        <f t="shared" si="105"/>
        <v>8.8699999999999992</v>
      </c>
      <c r="BR675" s="22" t="str">
        <f>IF(OR(AND(X675="Mourões", BQ675&gt;=6.5),AND(X675="Postes", BQ675&gt;=9.6),AND(X675="Dormentes", BQ675&gt;=9.6),AND(X675="Estacas - Solo", BQ675&gt;=6.5),AND(X675="Estacas - Suspenso", BQ675&gt;=4),AND(X675="Cruzetas", BQ675&gt;=6.5),AND(X675="Outros - Solo", BQ675&gt;=6.5),AND(X675="Outros - Suspenso",BQ675&gt;=4),AND(X675="Deck",BQ675&gt;=4)),'Listas suspensas'!$C$21,'Listas suspensas'!$C$22)</f>
        <v>Os resultados da análise química apresentaram uma retenção do produto inferior ao padrão mínimo exigido pela norma ABNT NBR 16143</v>
      </c>
    </row>
    <row r="676" spans="2:70" x14ac:dyDescent="0.25">
      <c r="B676" s="8" t="s">
        <v>1861</v>
      </c>
      <c r="C676" s="8" t="s">
        <v>1015</v>
      </c>
      <c r="F676" s="11">
        <v>46058</v>
      </c>
      <c r="G676" s="11">
        <v>46058</v>
      </c>
      <c r="H676" s="11"/>
      <c r="I676" s="8" t="s">
        <v>1059</v>
      </c>
      <c r="J676" s="8" t="s">
        <v>1060</v>
      </c>
      <c r="K676" s="8" t="s">
        <v>619</v>
      </c>
      <c r="L676" s="8" t="s">
        <v>15</v>
      </c>
      <c r="M676" s="30" t="s">
        <v>1061</v>
      </c>
      <c r="N676" s="8" t="s">
        <v>75</v>
      </c>
      <c r="O676" s="8" t="s">
        <v>94</v>
      </c>
      <c r="P676" s="28" t="s">
        <v>77</v>
      </c>
      <c r="Q676" s="16" t="s">
        <v>1873</v>
      </c>
      <c r="X676" s="8" t="s">
        <v>98</v>
      </c>
      <c r="Y676" s="34">
        <f>IF(X676='Listas suspensas'!$A$21,'Listas suspensas'!$B$23,IF(X676='Listas suspensas'!$A$22,'Listas suspensas'!$B$23,IF(X676='Listas suspensas'!$A$23,'Listas suspensas'!$B$22,IF(X676='Listas suspensas'!$A$26,'Listas suspensas'!$B$22,IF(X676='Listas suspensas'!$A$32,'Listas suspensas'!$B$22,IF(X676='Listas suspensas'!$A$33,'Listas suspensas'!$B$21,IF(X676='Listas suspensas'!$A$24,'Listas suspensas'!$B$22,IF(X676='Listas suspensas'!$A$25,'Listas suspensas'!$B$21,IF(X676='Listas suspensas'!$A$30,'Listas suspensas'!$B$21,"")))))))))</f>
        <v>9.6</v>
      </c>
      <c r="Z676" s="8" t="s">
        <v>80</v>
      </c>
      <c r="AB676" s="8" t="str">
        <f>IF(AA676='Listas suspensas'!$A$2,'Listas suspensas'!$B$2,IF(AA676='Listas suspensas'!$A$3,'Listas suspensas'!$B$3,IF(AA676='Listas suspensas'!$A$4,'Listas suspensas'!$B$4,IF(AA676='Listas suspensas'!$A$5,'Listas suspensas'!$B$5,IF(AA676='Listas suspensas'!$A$6,'Listas suspensas'!$B$6,"")))))</f>
        <v/>
      </c>
      <c r="AC676" s="8" t="str">
        <f>IF(AA676='Listas suspensas'!$A$2,'Listas suspensas'!$C$2,IF(AA676='Listas suspensas'!$A$3,'Listas suspensas'!$C$3,IF(AA676='Listas suspensas'!$A$4,'Listas suspensas'!$C$4,IF(AA676='Listas suspensas'!$A$5,'Listas suspensas'!$C$5,IF(AA676='Listas suspensas'!$A$6,'Listas suspensas'!$C$6,"")))))</f>
        <v/>
      </c>
      <c r="BD676" s="13">
        <v>0.83299999999999996</v>
      </c>
      <c r="BE676" s="18">
        <f t="shared" si="106"/>
        <v>833</v>
      </c>
      <c r="BF676" s="8">
        <v>0.35499999999999998</v>
      </c>
      <c r="BG676" s="8">
        <v>0.14399999999999999</v>
      </c>
      <c r="BH676" s="8">
        <v>0.215</v>
      </c>
      <c r="BI676" s="13">
        <f t="shared" si="107"/>
        <v>0.71399999999999997</v>
      </c>
      <c r="BJ676" s="14">
        <v>49.7</v>
      </c>
      <c r="BK676" s="14">
        <v>20.2</v>
      </c>
      <c r="BL676" s="14">
        <v>30.1</v>
      </c>
      <c r="BM676" s="16">
        <f t="shared" si="101"/>
        <v>100</v>
      </c>
      <c r="BN676" s="21">
        <f t="shared" si="102"/>
        <v>2.96</v>
      </c>
      <c r="BO676" s="21">
        <f t="shared" si="103"/>
        <v>1.2</v>
      </c>
      <c r="BP676" s="21">
        <f t="shared" si="104"/>
        <v>1.79</v>
      </c>
      <c r="BQ676" s="14">
        <f t="shared" si="105"/>
        <v>5.95</v>
      </c>
      <c r="BR676" s="22" t="str">
        <f>IF(OR(AND(X676="Mourões", BQ676&gt;=6.5),AND(X676="Postes", BQ676&gt;=9.6),AND(X676="Dormentes", BQ676&gt;=9.6),AND(X676="Estacas - Solo", BQ676&gt;=6.5),AND(X676="Estacas - Suspenso", BQ676&gt;=4),AND(X676="Cruzetas", BQ676&gt;=6.5),AND(X676="Outros - Solo", BQ676&gt;=6.5),AND(X676="Outros - Suspenso",BQ676&gt;=4),AND(X676="Deck",BQ676&gt;=4)),'Listas suspensas'!$C$21,'Listas suspensas'!$C$22)</f>
        <v>Os resultados da análise química apresentaram uma retenção do produto inferior ao padrão mínimo exigido pela norma ABNT NBR 16143</v>
      </c>
    </row>
    <row r="677" spans="2:70" x14ac:dyDescent="0.25">
      <c r="B677" s="8" t="s">
        <v>1862</v>
      </c>
      <c r="C677" s="8" t="s">
        <v>1015</v>
      </c>
      <c r="F677" s="11">
        <v>46058</v>
      </c>
      <c r="G677" s="11">
        <v>46058</v>
      </c>
      <c r="H677" s="11"/>
      <c r="I677" s="8" t="s">
        <v>1059</v>
      </c>
      <c r="J677" s="8" t="s">
        <v>1060</v>
      </c>
      <c r="K677" s="8" t="s">
        <v>619</v>
      </c>
      <c r="L677" s="8" t="s">
        <v>15</v>
      </c>
      <c r="M677" s="30" t="s">
        <v>1061</v>
      </c>
      <c r="N677" s="8" t="s">
        <v>75</v>
      </c>
      <c r="O677" s="8" t="s">
        <v>94</v>
      </c>
      <c r="P677" s="28" t="s">
        <v>77</v>
      </c>
      <c r="Q677" s="16" t="s">
        <v>1872</v>
      </c>
      <c r="X677" s="8" t="s">
        <v>98</v>
      </c>
      <c r="Y677" s="34">
        <f>IF(X677='Listas suspensas'!$A$21,'Listas suspensas'!$B$23,IF(X677='Listas suspensas'!$A$22,'Listas suspensas'!$B$23,IF(X677='Listas suspensas'!$A$23,'Listas suspensas'!$B$22,IF(X677='Listas suspensas'!$A$26,'Listas suspensas'!$B$22,IF(X677='Listas suspensas'!$A$32,'Listas suspensas'!$B$22,IF(X677='Listas suspensas'!$A$33,'Listas suspensas'!$B$21,IF(X677='Listas suspensas'!$A$24,'Listas suspensas'!$B$22,IF(X677='Listas suspensas'!$A$25,'Listas suspensas'!$B$21,IF(X677='Listas suspensas'!$A$30,'Listas suspensas'!$B$21,"")))))))))</f>
        <v>9.6</v>
      </c>
      <c r="Z677" s="8" t="s">
        <v>80</v>
      </c>
      <c r="AB677" s="8" t="str">
        <f>IF(AA677='Listas suspensas'!$A$2,'Listas suspensas'!$B$2,IF(AA677='Listas suspensas'!$A$3,'Listas suspensas'!$B$3,IF(AA677='Listas suspensas'!$A$4,'Listas suspensas'!$B$4,IF(AA677='Listas suspensas'!$A$5,'Listas suspensas'!$B$5,IF(AA677='Listas suspensas'!$A$6,'Listas suspensas'!$B$6,"")))))</f>
        <v/>
      </c>
      <c r="AC677" s="8" t="str">
        <f>IF(AA677='Listas suspensas'!$A$2,'Listas suspensas'!$C$2,IF(AA677='Listas suspensas'!$A$3,'Listas suspensas'!$C$3,IF(AA677='Listas suspensas'!$A$4,'Listas suspensas'!$C$4,IF(AA677='Listas suspensas'!$A$5,'Listas suspensas'!$C$5,IF(AA677='Listas suspensas'!$A$6,'Listas suspensas'!$C$6,"")))))</f>
        <v/>
      </c>
      <c r="BD677" s="13">
        <v>0.61299999999999999</v>
      </c>
      <c r="BE677" s="18">
        <f t="shared" si="106"/>
        <v>613</v>
      </c>
      <c r="BF677" s="8">
        <v>0.59899999999999998</v>
      </c>
      <c r="BG677" s="8">
        <v>0.217</v>
      </c>
      <c r="BH677" s="8">
        <v>0.36699999999999999</v>
      </c>
      <c r="BI677" s="13">
        <f t="shared" si="107"/>
        <v>1.1829999999999998</v>
      </c>
      <c r="BJ677" s="14">
        <v>50.7</v>
      </c>
      <c r="BK677" s="14">
        <v>18.3</v>
      </c>
      <c r="BL677" s="14">
        <v>31</v>
      </c>
      <c r="BM677" s="16">
        <f t="shared" si="101"/>
        <v>100</v>
      </c>
      <c r="BN677" s="21">
        <f t="shared" si="102"/>
        <v>3.67</v>
      </c>
      <c r="BO677" s="21">
        <f t="shared" si="103"/>
        <v>1.33</v>
      </c>
      <c r="BP677" s="21">
        <f t="shared" si="104"/>
        <v>2.25</v>
      </c>
      <c r="BQ677" s="14">
        <f t="shared" si="105"/>
        <v>7.25</v>
      </c>
      <c r="BR677" s="22" t="str">
        <f>IF(OR(AND(X677="Mourões", BQ677&gt;=6.5),AND(X677="Postes", BQ677&gt;=9.6),AND(X677="Dormentes", BQ677&gt;=9.6),AND(X677="Estacas - Solo", BQ677&gt;=6.5),AND(X677="Estacas - Suspenso", BQ677&gt;=4),AND(X677="Cruzetas", BQ677&gt;=6.5),AND(X677="Outros - Solo", BQ677&gt;=6.5),AND(X677="Outros - Suspenso",BQ677&gt;=4),AND(X677="Deck",BQ677&gt;=4)),'Listas suspensas'!$C$21,'Listas suspensas'!$C$22)</f>
        <v>Os resultados da análise química apresentaram uma retenção do produto inferior ao padrão mínimo exigido pela norma ABNT NBR 16143</v>
      </c>
    </row>
    <row r="678" spans="2:70" x14ac:dyDescent="0.25">
      <c r="B678" s="8" t="s">
        <v>1863</v>
      </c>
      <c r="C678" s="8" t="s">
        <v>1015</v>
      </c>
      <c r="F678" s="11">
        <v>46058</v>
      </c>
      <c r="G678" s="11">
        <v>46058</v>
      </c>
      <c r="I678" s="8" t="s">
        <v>1877</v>
      </c>
      <c r="J678" s="8" t="s">
        <v>1878</v>
      </c>
      <c r="K678" s="8" t="s">
        <v>144</v>
      </c>
      <c r="L678" s="8" t="s">
        <v>15</v>
      </c>
      <c r="M678" s="30" t="s">
        <v>1879</v>
      </c>
      <c r="N678" s="8" t="s">
        <v>75</v>
      </c>
      <c r="O678" s="8" t="s">
        <v>76</v>
      </c>
      <c r="P678" s="28" t="s">
        <v>471</v>
      </c>
      <c r="Q678" s="16" t="s">
        <v>1880</v>
      </c>
      <c r="Y678" s="34" t="str">
        <f>IF(X678='Listas suspensas'!$A$21,'Listas suspensas'!$B$23,IF(X678='Listas suspensas'!$A$22,'Listas suspensas'!$B$23,IF(X678='Listas suspensas'!$A$23,'Listas suspensas'!$B$22,IF(X678='Listas suspensas'!$A$26,'Listas suspensas'!$B$22,IF(X678='Listas suspensas'!$A$32,'Listas suspensas'!$B$22,IF(X678='Listas suspensas'!$A$33,'Listas suspensas'!$B$21,IF(X678='Listas suspensas'!$A$24,'Listas suspensas'!$B$22,IF(X678='Listas suspensas'!$A$25,'Listas suspensas'!$B$21,IF(X678='Listas suspensas'!$A$30,'Listas suspensas'!$B$21,"")))))))))</f>
        <v/>
      </c>
      <c r="Z678" s="8" t="s">
        <v>80</v>
      </c>
      <c r="AB678" s="8" t="str">
        <f>IF(AA678='Listas suspensas'!$A$2,'Listas suspensas'!$B$2,IF(AA678='Listas suspensas'!$A$3,'Listas suspensas'!$B$3,IF(AA678='Listas suspensas'!$A$4,'Listas suspensas'!$B$4,IF(AA678='Listas suspensas'!$A$5,'Listas suspensas'!$B$5,IF(AA678='Listas suspensas'!$A$6,'Listas suspensas'!$B$6,"")))))</f>
        <v/>
      </c>
      <c r="AC678" s="8" t="str">
        <f>IF(AA678='Listas suspensas'!$A$2,'Listas suspensas'!$C$2,IF(AA678='Listas suspensas'!$A$3,'Listas suspensas'!$C$3,IF(AA678='Listas suspensas'!$A$4,'Listas suspensas'!$C$4,IF(AA678='Listas suspensas'!$A$5,'Listas suspensas'!$C$5,IF(AA678='Listas suspensas'!$A$6,'Listas suspensas'!$C$6,"")))))</f>
        <v/>
      </c>
      <c r="BD678" s="13">
        <v>0.57199999999999995</v>
      </c>
      <c r="BE678" s="18">
        <f t="shared" si="106"/>
        <v>572</v>
      </c>
      <c r="BF678" s="8">
        <v>0.59899999999999998</v>
      </c>
      <c r="BG678" s="8">
        <v>0.217</v>
      </c>
      <c r="BH678" s="8">
        <v>0.36699999999999999</v>
      </c>
      <c r="BI678" s="13">
        <f t="shared" si="107"/>
        <v>1.1829999999999998</v>
      </c>
      <c r="BJ678" s="14">
        <v>50.7</v>
      </c>
      <c r="BK678" s="14">
        <v>18.3</v>
      </c>
      <c r="BL678" s="14">
        <v>31</v>
      </c>
      <c r="BM678" s="16">
        <f t="shared" si="101"/>
        <v>100</v>
      </c>
      <c r="BN678" s="21">
        <f t="shared" si="102"/>
        <v>3.43</v>
      </c>
      <c r="BO678" s="21">
        <f t="shared" si="103"/>
        <v>1.24</v>
      </c>
      <c r="BP678" s="21">
        <f t="shared" si="104"/>
        <v>2.1</v>
      </c>
      <c r="BQ678" s="14">
        <f t="shared" si="105"/>
        <v>6.77</v>
      </c>
      <c r="BR678" s="22" t="str">
        <f>IF(OR(AND(X678="Mourões", BQ678&gt;=6.5),AND(X678="Postes", BQ678&gt;=9.6),AND(X678="Dormentes", BQ678&gt;=9.6),AND(X678="Estacas - Solo", BQ678&gt;=6.5),AND(X678="Estacas - Suspenso", BQ678&gt;=4),AND(X678="Cruzetas", BQ678&gt;=6.5),AND(X678="Outros - Solo", BQ678&gt;=6.5),AND(X678="Outros - Suspenso",BQ678&gt;=4),AND(X678="Deck",BQ678&gt;=4)),'Listas suspensas'!$C$21,'Listas suspensas'!$C$22)</f>
        <v>Os resultados da análise química apresentaram uma retenção do produto inferior ao padrão mínimo exigido pela norma ABNT NBR 16143</v>
      </c>
    </row>
    <row r="679" spans="2:70" x14ac:dyDescent="0.25">
      <c r="B679" s="8" t="s">
        <v>1864</v>
      </c>
      <c r="C679" s="8" t="s">
        <v>1015</v>
      </c>
      <c r="F679" s="11">
        <v>46058</v>
      </c>
      <c r="G679" s="11">
        <v>46058</v>
      </c>
      <c r="I679" s="8" t="s">
        <v>1877</v>
      </c>
      <c r="J679" s="8" t="s">
        <v>1878</v>
      </c>
      <c r="K679" s="8" t="s">
        <v>144</v>
      </c>
      <c r="L679" s="8" t="s">
        <v>15</v>
      </c>
      <c r="M679" s="30" t="s">
        <v>1879</v>
      </c>
      <c r="N679" s="8" t="s">
        <v>75</v>
      </c>
      <c r="O679" s="8" t="s">
        <v>94</v>
      </c>
      <c r="P679" s="28" t="s">
        <v>471</v>
      </c>
      <c r="Q679" s="16" t="s">
        <v>1881</v>
      </c>
      <c r="Y679" s="34" t="str">
        <f>IF(X679='Listas suspensas'!$A$21,'Listas suspensas'!$B$23,IF(X679='Listas suspensas'!$A$22,'Listas suspensas'!$B$23,IF(X679='Listas suspensas'!$A$23,'Listas suspensas'!$B$22,IF(X679='Listas suspensas'!$A$26,'Listas suspensas'!$B$22,IF(X679='Listas suspensas'!$A$32,'Listas suspensas'!$B$22,IF(X679='Listas suspensas'!$A$33,'Listas suspensas'!$B$21,IF(X679='Listas suspensas'!$A$24,'Listas suspensas'!$B$22,IF(X679='Listas suspensas'!$A$25,'Listas suspensas'!$B$21,IF(X679='Listas suspensas'!$A$30,'Listas suspensas'!$B$21,"")))))))))</f>
        <v/>
      </c>
      <c r="Z679" s="8" t="s">
        <v>80</v>
      </c>
      <c r="AB679" s="8" t="str">
        <f>IF(AA679='Listas suspensas'!$A$2,'Listas suspensas'!$B$2,IF(AA679='Listas suspensas'!$A$3,'Listas suspensas'!$B$3,IF(AA679='Listas suspensas'!$A$4,'Listas suspensas'!$B$4,IF(AA679='Listas suspensas'!$A$5,'Listas suspensas'!$B$5,IF(AA679='Listas suspensas'!$A$6,'Listas suspensas'!$B$6,"")))))</f>
        <v/>
      </c>
      <c r="AC679" s="8" t="str">
        <f>IF(AA679='Listas suspensas'!$A$2,'Listas suspensas'!$C$2,IF(AA679='Listas suspensas'!$A$3,'Listas suspensas'!$C$3,IF(AA679='Listas suspensas'!$A$4,'Listas suspensas'!$C$4,IF(AA679='Listas suspensas'!$A$5,'Listas suspensas'!$C$5,IF(AA679='Listas suspensas'!$A$6,'Listas suspensas'!$C$6,"")))))</f>
        <v/>
      </c>
      <c r="BD679" s="13">
        <v>0.53</v>
      </c>
      <c r="BE679" s="18">
        <f t="shared" si="106"/>
        <v>530</v>
      </c>
      <c r="BF679" s="8">
        <v>0.85699999999999998</v>
      </c>
      <c r="BG679" s="8">
        <v>0.247</v>
      </c>
      <c r="BH679" s="8">
        <v>0.38600000000000001</v>
      </c>
      <c r="BI679" s="13">
        <f t="shared" si="107"/>
        <v>1.4900000000000002</v>
      </c>
      <c r="BJ679" s="14">
        <v>57.5</v>
      </c>
      <c r="BK679" s="14">
        <v>16.600000000000001</v>
      </c>
      <c r="BL679" s="14">
        <v>25.9</v>
      </c>
      <c r="BM679" s="16">
        <f t="shared" si="101"/>
        <v>100</v>
      </c>
      <c r="BN679" s="21">
        <f t="shared" si="102"/>
        <v>4.54</v>
      </c>
      <c r="BO679" s="21">
        <f t="shared" si="103"/>
        <v>1.31</v>
      </c>
      <c r="BP679" s="21">
        <f t="shared" si="104"/>
        <v>2.0499999999999998</v>
      </c>
      <c r="BQ679" s="14">
        <f t="shared" si="105"/>
        <v>7.9</v>
      </c>
      <c r="BR679" s="22" t="str">
        <f>IF(OR(AND(X679="Mourões", BQ679&gt;=6.5),AND(X679="Postes", BQ679&gt;=9.6),AND(X679="Dormentes", BQ679&gt;=9.6),AND(X679="Estacas - Solo", BQ679&gt;=6.5),AND(X679="Estacas - Suspenso", BQ679&gt;=4),AND(X679="Cruzetas", BQ679&gt;=6.5),AND(X679="Outros - Solo", BQ679&gt;=6.5),AND(X679="Outros - Suspenso",BQ679&gt;=4),AND(X679="Deck",BQ679&gt;=4)),'Listas suspensas'!$C$21,'Listas suspensas'!$C$22)</f>
        <v>Os resultados da análise química apresentaram uma retenção do produto inferior ao padrão mínimo exigido pela norma ABNT NBR 16143</v>
      </c>
    </row>
    <row r="680" spans="2:70" x14ac:dyDescent="0.25">
      <c r="B680" s="8" t="s">
        <v>1865</v>
      </c>
      <c r="C680" s="8" t="s">
        <v>1015</v>
      </c>
      <c r="F680" s="11">
        <v>46063</v>
      </c>
      <c r="G680" s="11">
        <v>46063</v>
      </c>
      <c r="I680" s="8" t="s">
        <v>1581</v>
      </c>
      <c r="J680" s="8" t="s">
        <v>188</v>
      </c>
      <c r="K680" s="8" t="s">
        <v>189</v>
      </c>
      <c r="L680" s="8" t="s">
        <v>15</v>
      </c>
      <c r="M680" s="30" t="s">
        <v>190</v>
      </c>
      <c r="N680" s="8" t="s">
        <v>75</v>
      </c>
      <c r="O680" s="8" t="s">
        <v>94</v>
      </c>
      <c r="P680" s="28" t="s">
        <v>77</v>
      </c>
      <c r="Q680" s="16" t="s">
        <v>1892</v>
      </c>
      <c r="X680" s="8" t="s">
        <v>79</v>
      </c>
      <c r="Y680" s="34">
        <f>IF(X680='Listas suspensas'!$A$21,'Listas suspensas'!$B$23,IF(X680='Listas suspensas'!$A$22,'Listas suspensas'!$B$23,IF(X680='Listas suspensas'!$A$23,'Listas suspensas'!$B$22,IF(X680='Listas suspensas'!$A$26,'Listas suspensas'!$B$22,IF(X680='Listas suspensas'!$A$32,'Listas suspensas'!$B$22,IF(X680='Listas suspensas'!$A$33,'Listas suspensas'!$B$21,IF(X680='Listas suspensas'!$A$24,'Listas suspensas'!$B$22,IF(X680='Listas suspensas'!$A$25,'Listas suspensas'!$B$21,IF(X680='Listas suspensas'!$A$30,'Listas suspensas'!$B$21,"")))))))))</f>
        <v>6.5</v>
      </c>
      <c r="Z680" s="8" t="s">
        <v>80</v>
      </c>
      <c r="AB680" s="8" t="str">
        <f>IF(AA680='Listas suspensas'!$A$2,'Listas suspensas'!$B$2,IF(AA680='Listas suspensas'!$A$3,'Listas suspensas'!$B$3,IF(AA680='Listas suspensas'!$A$4,'Listas suspensas'!$B$4,IF(AA680='Listas suspensas'!$A$5,'Listas suspensas'!$B$5,IF(AA680='Listas suspensas'!$A$6,'Listas suspensas'!$B$6,"")))))</f>
        <v/>
      </c>
      <c r="AC680" s="8" t="str">
        <f>IF(AA680='Listas suspensas'!$A$2,'Listas suspensas'!$C$2,IF(AA680='Listas suspensas'!$A$3,'Listas suspensas'!$C$3,IF(AA680='Listas suspensas'!$A$4,'Listas suspensas'!$C$4,IF(AA680='Listas suspensas'!$A$5,'Listas suspensas'!$C$5,IF(AA680='Listas suspensas'!$A$6,'Listas suspensas'!$C$6,"")))))</f>
        <v/>
      </c>
      <c r="BD680" s="13">
        <v>0.93400000000000005</v>
      </c>
      <c r="BE680" s="18">
        <f t="shared" si="106"/>
        <v>934</v>
      </c>
      <c r="BF680" s="8">
        <v>1.6970000000000001</v>
      </c>
      <c r="BG680" s="8">
        <v>0.45200000000000001</v>
      </c>
      <c r="BH680" s="8">
        <v>1.0029999999999999</v>
      </c>
      <c r="BI680" s="13">
        <f t="shared" si="107"/>
        <v>3.1520000000000001</v>
      </c>
      <c r="BJ680" s="14">
        <v>53.8</v>
      </c>
      <c r="BK680" s="14">
        <v>14.4</v>
      </c>
      <c r="BL680" s="14">
        <v>31.8</v>
      </c>
      <c r="BM680" s="16">
        <f t="shared" ref="BM680:BM743" si="108">ROUND(SUM(BJ680:BL680),2)</f>
        <v>100</v>
      </c>
      <c r="BN680" s="21">
        <f t="shared" ref="BN680:BN743" si="109">ROUND((BF680/100)*BE680,2)</f>
        <v>15.85</v>
      </c>
      <c r="BO680" s="21">
        <f t="shared" ref="BO680:BO743" si="110">ROUND((BG680/100)*BE680,2)</f>
        <v>4.22</v>
      </c>
      <c r="BP680" s="21">
        <f t="shared" ref="BP680:BP743" si="111">ROUND((BH680/100)*BE680,2)</f>
        <v>9.3699999999999992</v>
      </c>
      <c r="BQ680" s="14">
        <f t="shared" ref="BQ680:BQ743" si="112">ROUND(SUM(BN680:BP680),2)</f>
        <v>29.44</v>
      </c>
      <c r="BR680" s="22" t="str">
        <f>IF(OR(AND(X680="Mourões", BQ680&gt;=6.5),AND(X680="Postes", BQ680&gt;=9.6),AND(X680="Dormentes", BQ680&gt;=9.6),AND(X680="Estacas - Solo", BQ680&gt;=6.5),AND(X680="Estacas - Suspenso", BQ680&gt;=4),AND(X680="Cruzetas", BQ680&gt;=6.5),AND(X680="Outros - Solo", BQ680&gt;=6.5),AND(X680="Outros - Suspenso",BQ680&gt;=4),AND(X680="Deck",BQ680&gt;=4)),'Listas suspensas'!$C$21,'Listas suspensas'!$C$22)</f>
        <v>Os resultados da análise química apresentaram uma retenção do produto de acordo com o padrão mínimo exigido pela norma ABNT NBR 16143</v>
      </c>
    </row>
    <row r="681" spans="2:70" x14ac:dyDescent="0.25">
      <c r="B681" s="8" t="s">
        <v>1893</v>
      </c>
      <c r="C681" s="8" t="s">
        <v>1015</v>
      </c>
      <c r="F681" s="11">
        <v>46063</v>
      </c>
      <c r="G681" s="11">
        <v>46063</v>
      </c>
      <c r="I681" s="8" t="s">
        <v>1669</v>
      </c>
      <c r="J681" s="8" t="s">
        <v>981</v>
      </c>
      <c r="K681" s="8" t="s">
        <v>74</v>
      </c>
      <c r="L681" s="8" t="s">
        <v>15</v>
      </c>
      <c r="M681" s="30" t="s">
        <v>1670</v>
      </c>
      <c r="N681" s="8" t="s">
        <v>75</v>
      </c>
      <c r="O681" s="8" t="s">
        <v>76</v>
      </c>
      <c r="P681" s="28" t="s">
        <v>77</v>
      </c>
      <c r="Q681" s="16" t="s">
        <v>1904</v>
      </c>
      <c r="X681" s="8" t="s">
        <v>79</v>
      </c>
      <c r="Y681" s="34">
        <f>IF(X681='Listas suspensas'!$A$21,'Listas suspensas'!$B$23,IF(X681='Listas suspensas'!$A$22,'Listas suspensas'!$B$23,IF(X681='Listas suspensas'!$A$23,'Listas suspensas'!$B$22,IF(X681='Listas suspensas'!$A$26,'Listas suspensas'!$B$22,IF(X681='Listas suspensas'!$A$32,'Listas suspensas'!$B$22,IF(X681='Listas suspensas'!$A$33,'Listas suspensas'!$B$21,IF(X681='Listas suspensas'!$A$24,'Listas suspensas'!$B$22,IF(X681='Listas suspensas'!$A$25,'Listas suspensas'!$B$21,IF(X681='Listas suspensas'!$A$30,'Listas suspensas'!$B$21,"")))))))))</f>
        <v>6.5</v>
      </c>
      <c r="Z681" s="8" t="s">
        <v>80</v>
      </c>
      <c r="AB681" s="8" t="str">
        <f>IF(AA681='Listas suspensas'!$A$2,'Listas suspensas'!$B$2,IF(AA681='Listas suspensas'!$A$3,'Listas suspensas'!$B$3,IF(AA681='Listas suspensas'!$A$4,'Listas suspensas'!$B$4,IF(AA681='Listas suspensas'!$A$5,'Listas suspensas'!$B$5,IF(AA681='Listas suspensas'!$A$6,'Listas suspensas'!$B$6,"")))))</f>
        <v/>
      </c>
      <c r="AC681" s="8" t="str">
        <f>IF(AA681='Listas suspensas'!$A$2,'Listas suspensas'!$C$2,IF(AA681='Listas suspensas'!$A$3,'Listas suspensas'!$C$3,IF(AA681='Listas suspensas'!$A$4,'Listas suspensas'!$C$4,IF(AA681='Listas suspensas'!$A$5,'Listas suspensas'!$C$5,IF(AA681='Listas suspensas'!$A$6,'Listas suspensas'!$C$6,"")))))</f>
        <v/>
      </c>
      <c r="BE681" s="18">
        <f t="shared" si="106"/>
        <v>0</v>
      </c>
      <c r="BI681" s="13">
        <f t="shared" si="107"/>
        <v>0</v>
      </c>
      <c r="BM681" s="16">
        <f t="shared" si="108"/>
        <v>0</v>
      </c>
      <c r="BN681" s="21">
        <f t="shared" si="109"/>
        <v>0</v>
      </c>
      <c r="BO681" s="21">
        <f t="shared" si="110"/>
        <v>0</v>
      </c>
      <c r="BP681" s="21">
        <f t="shared" si="111"/>
        <v>0</v>
      </c>
      <c r="BQ681" s="14">
        <f t="shared" si="112"/>
        <v>0</v>
      </c>
      <c r="BR681" s="22" t="str">
        <f>IF(OR(AND(X681="Mourões", BQ681&gt;=6.5),AND(X681="Postes", BQ681&gt;=9.6),AND(X681="Dormentes", BQ681&gt;=9.6),AND(X681="Estacas - Solo", BQ681&gt;=6.5),AND(X681="Estacas - Suspenso", BQ681&gt;=4),AND(X681="Cruzetas", BQ681&gt;=6.5),AND(X681="Outros - Solo", BQ681&gt;=6.5),AND(X681="Outros - Suspenso",BQ681&gt;=4),AND(X681="Deck",BQ681&gt;=4)),'Listas suspensas'!$C$21,'Listas suspensas'!$C$22)</f>
        <v>Os resultados da análise química apresentaram uma retenção do produto inferior ao padrão mínimo exigido pela norma ABNT NBR 16143</v>
      </c>
    </row>
    <row r="682" spans="2:70" x14ac:dyDescent="0.25">
      <c r="B682" s="8" t="s">
        <v>1894</v>
      </c>
      <c r="C682" s="8" t="s">
        <v>1015</v>
      </c>
      <c r="F682" s="11">
        <v>46063</v>
      </c>
      <c r="G682" s="11">
        <v>46063</v>
      </c>
      <c r="I682" s="8" t="s">
        <v>1669</v>
      </c>
      <c r="J682" s="8" t="s">
        <v>981</v>
      </c>
      <c r="K682" s="8" t="s">
        <v>74</v>
      </c>
      <c r="L682" s="8" t="s">
        <v>15</v>
      </c>
      <c r="M682" s="30" t="s">
        <v>1670</v>
      </c>
      <c r="N682" s="8" t="s">
        <v>75</v>
      </c>
      <c r="O682" s="8" t="s">
        <v>76</v>
      </c>
      <c r="P682" s="28" t="s">
        <v>77</v>
      </c>
      <c r="Q682" s="16" t="s">
        <v>1905</v>
      </c>
      <c r="X682" s="8" t="s">
        <v>79</v>
      </c>
      <c r="Y682" s="34">
        <f>IF(X682='Listas suspensas'!$A$21,'Listas suspensas'!$B$23,IF(X682='Listas suspensas'!$A$22,'Listas suspensas'!$B$23,IF(X682='Listas suspensas'!$A$23,'Listas suspensas'!$B$22,IF(X682='Listas suspensas'!$A$26,'Listas suspensas'!$B$22,IF(X682='Listas suspensas'!$A$32,'Listas suspensas'!$B$22,IF(X682='Listas suspensas'!$A$33,'Listas suspensas'!$B$21,IF(X682='Listas suspensas'!$A$24,'Listas suspensas'!$B$22,IF(X682='Listas suspensas'!$A$25,'Listas suspensas'!$B$21,IF(X682='Listas suspensas'!$A$30,'Listas suspensas'!$B$21,"")))))))))</f>
        <v>6.5</v>
      </c>
      <c r="Z682" s="8" t="s">
        <v>80</v>
      </c>
      <c r="AB682" s="8" t="str">
        <f>IF(AA682='Listas suspensas'!$A$2,'Listas suspensas'!$B$2,IF(AA682='Listas suspensas'!$A$3,'Listas suspensas'!$B$3,IF(AA682='Listas suspensas'!$A$4,'Listas suspensas'!$B$4,IF(AA682='Listas suspensas'!$A$5,'Listas suspensas'!$B$5,IF(AA682='Listas suspensas'!$A$6,'Listas suspensas'!$B$6,"")))))</f>
        <v/>
      </c>
      <c r="AC682" s="8" t="str">
        <f>IF(AA682='Listas suspensas'!$A$2,'Listas suspensas'!$C$2,IF(AA682='Listas suspensas'!$A$3,'Listas suspensas'!$C$3,IF(AA682='Listas suspensas'!$A$4,'Listas suspensas'!$C$4,IF(AA682='Listas suspensas'!$A$5,'Listas suspensas'!$C$5,IF(AA682='Listas suspensas'!$A$6,'Listas suspensas'!$C$6,"")))))</f>
        <v/>
      </c>
      <c r="BE682" s="18">
        <f t="shared" si="106"/>
        <v>0</v>
      </c>
      <c r="BI682" s="13">
        <f t="shared" si="107"/>
        <v>0</v>
      </c>
      <c r="BM682" s="16">
        <f t="shared" si="108"/>
        <v>0</v>
      </c>
      <c r="BN682" s="21">
        <f t="shared" si="109"/>
        <v>0</v>
      </c>
      <c r="BO682" s="21">
        <f t="shared" si="110"/>
        <v>0</v>
      </c>
      <c r="BP682" s="21">
        <f t="shared" si="111"/>
        <v>0</v>
      </c>
      <c r="BQ682" s="14">
        <f t="shared" si="112"/>
        <v>0</v>
      </c>
      <c r="BR682" s="22" t="str">
        <f>IF(OR(AND(X682="Mourões", BQ682&gt;=6.5),AND(X682="Postes", BQ682&gt;=9.6),AND(X682="Dormentes", BQ682&gt;=9.6),AND(X682="Estacas - Solo", BQ682&gt;=6.5),AND(X682="Estacas - Suspenso", BQ682&gt;=4),AND(X682="Cruzetas", BQ682&gt;=6.5),AND(X682="Outros - Solo", BQ682&gt;=6.5),AND(X682="Outros - Suspenso",BQ682&gt;=4),AND(X682="Deck",BQ682&gt;=4)),'Listas suspensas'!$C$21,'Listas suspensas'!$C$22)</f>
        <v>Os resultados da análise química apresentaram uma retenção do produto inferior ao padrão mínimo exigido pela norma ABNT NBR 16143</v>
      </c>
    </row>
    <row r="683" spans="2:70" x14ac:dyDescent="0.25">
      <c r="B683" s="8" t="s">
        <v>1895</v>
      </c>
      <c r="C683" s="8" t="s">
        <v>1015</v>
      </c>
      <c r="F683" s="11">
        <v>46063</v>
      </c>
      <c r="G683" s="11">
        <v>46063</v>
      </c>
      <c r="I683" s="8" t="s">
        <v>1669</v>
      </c>
      <c r="J683" s="8" t="s">
        <v>981</v>
      </c>
      <c r="K683" s="8" t="s">
        <v>74</v>
      </c>
      <c r="L683" s="8" t="s">
        <v>15</v>
      </c>
      <c r="M683" s="30" t="s">
        <v>1670</v>
      </c>
      <c r="N683" s="8" t="s">
        <v>75</v>
      </c>
      <c r="O683" s="8" t="s">
        <v>76</v>
      </c>
      <c r="P683" s="28" t="s">
        <v>77</v>
      </c>
      <c r="Q683" s="16" t="s">
        <v>1906</v>
      </c>
      <c r="X683" s="8" t="s">
        <v>79</v>
      </c>
      <c r="Y683" s="34">
        <f>IF(X683='Listas suspensas'!$A$21,'Listas suspensas'!$B$23,IF(X683='Listas suspensas'!$A$22,'Listas suspensas'!$B$23,IF(X683='Listas suspensas'!$A$23,'Listas suspensas'!$B$22,IF(X683='Listas suspensas'!$A$26,'Listas suspensas'!$B$22,IF(X683='Listas suspensas'!$A$32,'Listas suspensas'!$B$22,IF(X683='Listas suspensas'!$A$33,'Listas suspensas'!$B$21,IF(X683='Listas suspensas'!$A$24,'Listas suspensas'!$B$22,IF(X683='Listas suspensas'!$A$25,'Listas suspensas'!$B$21,IF(X683='Listas suspensas'!$A$30,'Listas suspensas'!$B$21,"")))))))))</f>
        <v>6.5</v>
      </c>
      <c r="Z683" s="8" t="s">
        <v>80</v>
      </c>
      <c r="AB683" s="8" t="str">
        <f>IF(AA683='Listas suspensas'!$A$2,'Listas suspensas'!$B$2,IF(AA683='Listas suspensas'!$A$3,'Listas suspensas'!$B$3,IF(AA683='Listas suspensas'!$A$4,'Listas suspensas'!$B$4,IF(AA683='Listas suspensas'!$A$5,'Listas suspensas'!$B$5,IF(AA683='Listas suspensas'!$A$6,'Listas suspensas'!$B$6,"")))))</f>
        <v/>
      </c>
      <c r="AC683" s="8" t="str">
        <f>IF(AA683='Listas suspensas'!$A$2,'Listas suspensas'!$C$2,IF(AA683='Listas suspensas'!$A$3,'Listas suspensas'!$C$3,IF(AA683='Listas suspensas'!$A$4,'Listas suspensas'!$C$4,IF(AA683='Listas suspensas'!$A$5,'Listas suspensas'!$C$5,IF(AA683='Listas suspensas'!$A$6,'Listas suspensas'!$C$6,"")))))</f>
        <v/>
      </c>
      <c r="BE683" s="18">
        <f t="shared" si="106"/>
        <v>0</v>
      </c>
      <c r="BI683" s="13">
        <f t="shared" si="107"/>
        <v>0</v>
      </c>
      <c r="BM683" s="16">
        <f t="shared" si="108"/>
        <v>0</v>
      </c>
      <c r="BN683" s="21">
        <f t="shared" si="109"/>
        <v>0</v>
      </c>
      <c r="BO683" s="21">
        <f t="shared" si="110"/>
        <v>0</v>
      </c>
      <c r="BP683" s="21">
        <f t="shared" si="111"/>
        <v>0</v>
      </c>
      <c r="BQ683" s="14">
        <f t="shared" si="112"/>
        <v>0</v>
      </c>
      <c r="BR683" s="22" t="str">
        <f>IF(OR(AND(X683="Mourões", BQ683&gt;=6.5),AND(X683="Postes", BQ683&gt;=9.6),AND(X683="Dormentes", BQ683&gt;=9.6),AND(X683="Estacas - Solo", BQ683&gt;=6.5),AND(X683="Estacas - Suspenso", BQ683&gt;=4),AND(X683="Cruzetas", BQ683&gt;=6.5),AND(X683="Outros - Solo", BQ683&gt;=6.5),AND(X683="Outros - Suspenso",BQ683&gt;=4),AND(X683="Deck",BQ683&gt;=4)),'Listas suspensas'!$C$21,'Listas suspensas'!$C$22)</f>
        <v>Os resultados da análise química apresentaram uma retenção do produto inferior ao padrão mínimo exigido pela norma ABNT NBR 16143</v>
      </c>
    </row>
    <row r="684" spans="2:70" x14ac:dyDescent="0.25">
      <c r="B684" s="8" t="s">
        <v>1896</v>
      </c>
      <c r="C684" s="8" t="s">
        <v>1015</v>
      </c>
      <c r="F684" s="11">
        <v>46063</v>
      </c>
      <c r="G684" s="11">
        <v>46063</v>
      </c>
      <c r="I684" s="8" t="s">
        <v>1669</v>
      </c>
      <c r="J684" s="8" t="s">
        <v>981</v>
      </c>
      <c r="K684" s="8" t="s">
        <v>74</v>
      </c>
      <c r="L684" s="8" t="s">
        <v>15</v>
      </c>
      <c r="M684" s="30" t="s">
        <v>1670</v>
      </c>
      <c r="N684" s="8" t="s">
        <v>75</v>
      </c>
      <c r="O684" s="8" t="s">
        <v>76</v>
      </c>
      <c r="P684" s="28" t="s">
        <v>77</v>
      </c>
      <c r="Q684" s="16" t="s">
        <v>1907</v>
      </c>
      <c r="X684" s="8" t="s">
        <v>79</v>
      </c>
      <c r="Y684" s="34">
        <f>IF(X684='Listas suspensas'!$A$21,'Listas suspensas'!$B$23,IF(X684='Listas suspensas'!$A$22,'Listas suspensas'!$B$23,IF(X684='Listas suspensas'!$A$23,'Listas suspensas'!$B$22,IF(X684='Listas suspensas'!$A$26,'Listas suspensas'!$B$22,IF(X684='Listas suspensas'!$A$32,'Listas suspensas'!$B$22,IF(X684='Listas suspensas'!$A$33,'Listas suspensas'!$B$21,IF(X684='Listas suspensas'!$A$24,'Listas suspensas'!$B$22,IF(X684='Listas suspensas'!$A$25,'Listas suspensas'!$B$21,IF(X684='Listas suspensas'!$A$30,'Listas suspensas'!$B$21,"")))))))))</f>
        <v>6.5</v>
      </c>
      <c r="Z684" s="8" t="s">
        <v>80</v>
      </c>
      <c r="AB684" s="8" t="str">
        <f>IF(AA684='Listas suspensas'!$A$2,'Listas suspensas'!$B$2,IF(AA684='Listas suspensas'!$A$3,'Listas suspensas'!$B$3,IF(AA684='Listas suspensas'!$A$4,'Listas suspensas'!$B$4,IF(AA684='Listas suspensas'!$A$5,'Listas suspensas'!$B$5,IF(AA684='Listas suspensas'!$A$6,'Listas suspensas'!$B$6,"")))))</f>
        <v/>
      </c>
      <c r="AC684" s="8" t="str">
        <f>IF(AA684='Listas suspensas'!$A$2,'Listas suspensas'!$C$2,IF(AA684='Listas suspensas'!$A$3,'Listas suspensas'!$C$3,IF(AA684='Listas suspensas'!$A$4,'Listas suspensas'!$C$4,IF(AA684='Listas suspensas'!$A$5,'Listas suspensas'!$C$5,IF(AA684='Listas suspensas'!$A$6,'Listas suspensas'!$C$6,"")))))</f>
        <v/>
      </c>
      <c r="BE684" s="18">
        <f t="shared" si="106"/>
        <v>0</v>
      </c>
      <c r="BI684" s="13">
        <f t="shared" si="107"/>
        <v>0</v>
      </c>
      <c r="BM684" s="16">
        <f t="shared" si="108"/>
        <v>0</v>
      </c>
      <c r="BN684" s="21">
        <f t="shared" si="109"/>
        <v>0</v>
      </c>
      <c r="BO684" s="21">
        <f t="shared" si="110"/>
        <v>0</v>
      </c>
      <c r="BP684" s="21">
        <f t="shared" si="111"/>
        <v>0</v>
      </c>
      <c r="BQ684" s="14">
        <f t="shared" si="112"/>
        <v>0</v>
      </c>
      <c r="BR684" s="22" t="str">
        <f>IF(OR(AND(X684="Mourões", BQ684&gt;=6.5),AND(X684="Postes", BQ684&gt;=9.6),AND(X684="Dormentes", BQ684&gt;=9.6),AND(X684="Estacas - Solo", BQ684&gt;=6.5),AND(X684="Estacas - Suspenso", BQ684&gt;=4),AND(X684="Cruzetas", BQ684&gt;=6.5),AND(X684="Outros - Solo", BQ684&gt;=6.5),AND(X684="Outros - Suspenso",BQ684&gt;=4),AND(X684="Deck",BQ684&gt;=4)),'Listas suspensas'!$C$21,'Listas suspensas'!$C$22)</f>
        <v>Os resultados da análise química apresentaram uma retenção do produto inferior ao padrão mínimo exigido pela norma ABNT NBR 16143</v>
      </c>
    </row>
    <row r="685" spans="2:70" x14ac:dyDescent="0.25">
      <c r="B685" s="8" t="s">
        <v>1897</v>
      </c>
      <c r="C685" s="8" t="s">
        <v>1015</v>
      </c>
      <c r="F685" s="11">
        <v>46063</v>
      </c>
      <c r="G685" s="11">
        <v>46063</v>
      </c>
      <c r="I685" s="8" t="s">
        <v>1669</v>
      </c>
      <c r="J685" s="8" t="s">
        <v>981</v>
      </c>
      <c r="K685" s="8" t="s">
        <v>74</v>
      </c>
      <c r="L685" s="8" t="s">
        <v>15</v>
      </c>
      <c r="M685" s="30" t="s">
        <v>1670</v>
      </c>
      <c r="N685" s="8" t="s">
        <v>75</v>
      </c>
      <c r="O685" s="8" t="s">
        <v>76</v>
      </c>
      <c r="P685" s="28" t="s">
        <v>77</v>
      </c>
      <c r="Q685" s="16" t="s">
        <v>1908</v>
      </c>
      <c r="X685" s="8" t="s">
        <v>79</v>
      </c>
      <c r="Y685" s="34">
        <f>IF(X685='Listas suspensas'!$A$21,'Listas suspensas'!$B$23,IF(X685='Listas suspensas'!$A$22,'Listas suspensas'!$B$23,IF(X685='Listas suspensas'!$A$23,'Listas suspensas'!$B$22,IF(X685='Listas suspensas'!$A$26,'Listas suspensas'!$B$22,IF(X685='Listas suspensas'!$A$32,'Listas suspensas'!$B$22,IF(X685='Listas suspensas'!$A$33,'Listas suspensas'!$B$21,IF(X685='Listas suspensas'!$A$24,'Listas suspensas'!$B$22,IF(X685='Listas suspensas'!$A$25,'Listas suspensas'!$B$21,IF(X685='Listas suspensas'!$A$30,'Listas suspensas'!$B$21,"")))))))))</f>
        <v>6.5</v>
      </c>
      <c r="Z685" s="8" t="s">
        <v>80</v>
      </c>
      <c r="AB685" s="8" t="str">
        <f>IF(AA685='Listas suspensas'!$A$2,'Listas suspensas'!$B$2,IF(AA685='Listas suspensas'!$A$3,'Listas suspensas'!$B$3,IF(AA685='Listas suspensas'!$A$4,'Listas suspensas'!$B$4,IF(AA685='Listas suspensas'!$A$5,'Listas suspensas'!$B$5,IF(AA685='Listas suspensas'!$A$6,'Listas suspensas'!$B$6,"")))))</f>
        <v/>
      </c>
      <c r="AC685" s="8" t="str">
        <f>IF(AA685='Listas suspensas'!$A$2,'Listas suspensas'!$C$2,IF(AA685='Listas suspensas'!$A$3,'Listas suspensas'!$C$3,IF(AA685='Listas suspensas'!$A$4,'Listas suspensas'!$C$4,IF(AA685='Listas suspensas'!$A$5,'Listas suspensas'!$C$5,IF(AA685='Listas suspensas'!$A$6,'Listas suspensas'!$C$6,"")))))</f>
        <v/>
      </c>
      <c r="BE685" s="18">
        <f t="shared" si="106"/>
        <v>0</v>
      </c>
      <c r="BI685" s="13">
        <f t="shared" si="107"/>
        <v>0</v>
      </c>
      <c r="BM685" s="16">
        <f t="shared" si="108"/>
        <v>0</v>
      </c>
      <c r="BN685" s="21">
        <f t="shared" si="109"/>
        <v>0</v>
      </c>
      <c r="BO685" s="21">
        <f t="shared" si="110"/>
        <v>0</v>
      </c>
      <c r="BP685" s="21">
        <f t="shared" si="111"/>
        <v>0</v>
      </c>
      <c r="BQ685" s="14">
        <f t="shared" si="112"/>
        <v>0</v>
      </c>
      <c r="BR685" s="22" t="str">
        <f>IF(OR(AND(X685="Mourões", BQ685&gt;=6.5),AND(X685="Postes", BQ685&gt;=9.6),AND(X685="Dormentes", BQ685&gt;=9.6),AND(X685="Estacas - Solo", BQ685&gt;=6.5),AND(X685="Estacas - Suspenso", BQ685&gt;=4),AND(X685="Cruzetas", BQ685&gt;=6.5),AND(X685="Outros - Solo", BQ685&gt;=6.5),AND(X685="Outros - Suspenso",BQ685&gt;=4),AND(X685="Deck",BQ685&gt;=4)),'Listas suspensas'!$C$21,'Listas suspensas'!$C$22)</f>
        <v>Os resultados da análise química apresentaram uma retenção do produto inferior ao padrão mínimo exigido pela norma ABNT NBR 16143</v>
      </c>
    </row>
    <row r="686" spans="2:70" x14ac:dyDescent="0.25">
      <c r="B686" s="8" t="s">
        <v>1898</v>
      </c>
      <c r="C686" s="8" t="s">
        <v>1015</v>
      </c>
      <c r="F686" s="11">
        <v>46063</v>
      </c>
      <c r="G686" s="11">
        <v>46063</v>
      </c>
      <c r="I686" s="8" t="s">
        <v>1669</v>
      </c>
      <c r="J686" s="8" t="s">
        <v>981</v>
      </c>
      <c r="K686" s="8" t="s">
        <v>74</v>
      </c>
      <c r="L686" s="8" t="s">
        <v>15</v>
      </c>
      <c r="M686" s="30" t="s">
        <v>1670</v>
      </c>
      <c r="N686" s="8" t="s">
        <v>75</v>
      </c>
      <c r="O686" s="8" t="s">
        <v>76</v>
      </c>
      <c r="P686" s="28" t="s">
        <v>77</v>
      </c>
      <c r="Q686" s="16" t="s">
        <v>1909</v>
      </c>
      <c r="X686" s="8" t="s">
        <v>79</v>
      </c>
      <c r="Y686" s="34">
        <f>IF(X686='Listas suspensas'!$A$21,'Listas suspensas'!$B$23,IF(X686='Listas suspensas'!$A$22,'Listas suspensas'!$B$23,IF(X686='Listas suspensas'!$A$23,'Listas suspensas'!$B$22,IF(X686='Listas suspensas'!$A$26,'Listas suspensas'!$B$22,IF(X686='Listas suspensas'!$A$32,'Listas suspensas'!$B$22,IF(X686='Listas suspensas'!$A$33,'Listas suspensas'!$B$21,IF(X686='Listas suspensas'!$A$24,'Listas suspensas'!$B$22,IF(X686='Listas suspensas'!$A$25,'Listas suspensas'!$B$21,IF(X686='Listas suspensas'!$A$30,'Listas suspensas'!$B$21,"")))))))))</f>
        <v>6.5</v>
      </c>
      <c r="Z686" s="8" t="s">
        <v>80</v>
      </c>
      <c r="AB686" s="8" t="str">
        <f>IF(AA686='Listas suspensas'!$A$2,'Listas suspensas'!$B$2,IF(AA686='Listas suspensas'!$A$3,'Listas suspensas'!$B$3,IF(AA686='Listas suspensas'!$A$4,'Listas suspensas'!$B$4,IF(AA686='Listas suspensas'!$A$5,'Listas suspensas'!$B$5,IF(AA686='Listas suspensas'!$A$6,'Listas suspensas'!$B$6,"")))))</f>
        <v/>
      </c>
      <c r="AC686" s="8" t="str">
        <f>IF(AA686='Listas suspensas'!$A$2,'Listas suspensas'!$C$2,IF(AA686='Listas suspensas'!$A$3,'Listas suspensas'!$C$3,IF(AA686='Listas suspensas'!$A$4,'Listas suspensas'!$C$4,IF(AA686='Listas suspensas'!$A$5,'Listas suspensas'!$C$5,IF(AA686='Listas suspensas'!$A$6,'Listas suspensas'!$C$6,"")))))</f>
        <v/>
      </c>
      <c r="BE686" s="18">
        <f t="shared" si="106"/>
        <v>0</v>
      </c>
      <c r="BI686" s="13">
        <f t="shared" si="107"/>
        <v>0</v>
      </c>
      <c r="BM686" s="16">
        <f t="shared" si="108"/>
        <v>0</v>
      </c>
      <c r="BN686" s="21">
        <f t="shared" si="109"/>
        <v>0</v>
      </c>
      <c r="BO686" s="21">
        <f t="shared" si="110"/>
        <v>0</v>
      </c>
      <c r="BP686" s="21">
        <f t="shared" si="111"/>
        <v>0</v>
      </c>
      <c r="BQ686" s="14">
        <f t="shared" si="112"/>
        <v>0</v>
      </c>
      <c r="BR686" s="22" t="str">
        <f>IF(OR(AND(X686="Mourões", BQ686&gt;=6.5),AND(X686="Postes", BQ686&gt;=9.6),AND(X686="Dormentes", BQ686&gt;=9.6),AND(X686="Estacas - Solo", BQ686&gt;=6.5),AND(X686="Estacas - Suspenso", BQ686&gt;=4),AND(X686="Cruzetas", BQ686&gt;=6.5),AND(X686="Outros - Solo", BQ686&gt;=6.5),AND(X686="Outros - Suspenso",BQ686&gt;=4),AND(X686="Deck",BQ686&gt;=4)),'Listas suspensas'!$C$21,'Listas suspensas'!$C$22)</f>
        <v>Os resultados da análise química apresentaram uma retenção do produto inferior ao padrão mínimo exigido pela norma ABNT NBR 16143</v>
      </c>
    </row>
    <row r="687" spans="2:70" x14ac:dyDescent="0.25">
      <c r="B687" s="8" t="s">
        <v>1899</v>
      </c>
      <c r="C687" s="8" t="s">
        <v>1015</v>
      </c>
      <c r="F687" s="11">
        <v>46063</v>
      </c>
      <c r="G687" s="11">
        <v>46063</v>
      </c>
      <c r="I687" s="8" t="s">
        <v>1669</v>
      </c>
      <c r="J687" s="8" t="s">
        <v>981</v>
      </c>
      <c r="K687" s="8" t="s">
        <v>74</v>
      </c>
      <c r="L687" s="8" t="s">
        <v>15</v>
      </c>
      <c r="M687" s="30" t="s">
        <v>1670</v>
      </c>
      <c r="N687" s="8" t="s">
        <v>75</v>
      </c>
      <c r="O687" s="8" t="s">
        <v>76</v>
      </c>
      <c r="P687" s="28" t="s">
        <v>77</v>
      </c>
      <c r="Q687" s="16" t="s">
        <v>1910</v>
      </c>
      <c r="X687" s="8" t="s">
        <v>79</v>
      </c>
      <c r="Y687" s="34">
        <f>IF(X687='Listas suspensas'!$A$21,'Listas suspensas'!$B$23,IF(X687='Listas suspensas'!$A$22,'Listas suspensas'!$B$23,IF(X687='Listas suspensas'!$A$23,'Listas suspensas'!$B$22,IF(X687='Listas suspensas'!$A$26,'Listas suspensas'!$B$22,IF(X687='Listas suspensas'!$A$32,'Listas suspensas'!$B$22,IF(X687='Listas suspensas'!$A$33,'Listas suspensas'!$B$21,IF(X687='Listas suspensas'!$A$24,'Listas suspensas'!$B$22,IF(X687='Listas suspensas'!$A$25,'Listas suspensas'!$B$21,IF(X687='Listas suspensas'!$A$30,'Listas suspensas'!$B$21,"")))))))))</f>
        <v>6.5</v>
      </c>
      <c r="Z687" s="8" t="s">
        <v>80</v>
      </c>
      <c r="AB687" s="8" t="str">
        <f>IF(AA687='Listas suspensas'!$A$2,'Listas suspensas'!$B$2,IF(AA687='Listas suspensas'!$A$3,'Listas suspensas'!$B$3,IF(AA687='Listas suspensas'!$A$4,'Listas suspensas'!$B$4,IF(AA687='Listas suspensas'!$A$5,'Listas suspensas'!$B$5,IF(AA687='Listas suspensas'!$A$6,'Listas suspensas'!$B$6,"")))))</f>
        <v/>
      </c>
      <c r="AC687" s="8" t="str">
        <f>IF(AA687='Listas suspensas'!$A$2,'Listas suspensas'!$C$2,IF(AA687='Listas suspensas'!$A$3,'Listas suspensas'!$C$3,IF(AA687='Listas suspensas'!$A$4,'Listas suspensas'!$C$4,IF(AA687='Listas suspensas'!$A$5,'Listas suspensas'!$C$5,IF(AA687='Listas suspensas'!$A$6,'Listas suspensas'!$C$6,"")))))</f>
        <v/>
      </c>
      <c r="BE687" s="18">
        <f t="shared" si="106"/>
        <v>0</v>
      </c>
      <c r="BI687" s="13">
        <f t="shared" si="107"/>
        <v>0</v>
      </c>
      <c r="BM687" s="16">
        <f t="shared" si="108"/>
        <v>0</v>
      </c>
      <c r="BN687" s="21">
        <f t="shared" si="109"/>
        <v>0</v>
      </c>
      <c r="BO687" s="21">
        <f t="shared" si="110"/>
        <v>0</v>
      </c>
      <c r="BP687" s="21">
        <f t="shared" si="111"/>
        <v>0</v>
      </c>
      <c r="BQ687" s="14">
        <f t="shared" si="112"/>
        <v>0</v>
      </c>
      <c r="BR687" s="22" t="str">
        <f>IF(OR(AND(X687="Mourões", BQ687&gt;=6.5),AND(X687="Postes", BQ687&gt;=9.6),AND(X687="Dormentes", BQ687&gt;=9.6),AND(X687="Estacas - Solo", BQ687&gt;=6.5),AND(X687="Estacas - Suspenso", BQ687&gt;=4),AND(X687="Cruzetas", BQ687&gt;=6.5),AND(X687="Outros - Solo", BQ687&gt;=6.5),AND(X687="Outros - Suspenso",BQ687&gt;=4),AND(X687="Deck",BQ687&gt;=4)),'Listas suspensas'!$C$21,'Listas suspensas'!$C$22)</f>
        <v>Os resultados da análise química apresentaram uma retenção do produto inferior ao padrão mínimo exigido pela norma ABNT NBR 16143</v>
      </c>
    </row>
    <row r="688" spans="2:70" x14ac:dyDescent="0.25">
      <c r="B688" s="8" t="s">
        <v>1900</v>
      </c>
      <c r="C688" s="8" t="s">
        <v>1015</v>
      </c>
      <c r="F688" s="11">
        <v>46063</v>
      </c>
      <c r="G688" s="11">
        <v>46063</v>
      </c>
      <c r="I688" s="8" t="s">
        <v>1669</v>
      </c>
      <c r="J688" s="8" t="s">
        <v>981</v>
      </c>
      <c r="K688" s="8" t="s">
        <v>74</v>
      </c>
      <c r="L688" s="8" t="s">
        <v>15</v>
      </c>
      <c r="M688" s="30" t="s">
        <v>1670</v>
      </c>
      <c r="N688" s="8" t="s">
        <v>75</v>
      </c>
      <c r="O688" s="8" t="s">
        <v>76</v>
      </c>
      <c r="P688" s="28" t="s">
        <v>77</v>
      </c>
      <c r="Q688" s="16" t="s">
        <v>1911</v>
      </c>
      <c r="X688" s="8" t="s">
        <v>79</v>
      </c>
      <c r="Y688" s="34">
        <f>IF(X688='Listas suspensas'!$A$21,'Listas suspensas'!$B$23,IF(X688='Listas suspensas'!$A$22,'Listas suspensas'!$B$23,IF(X688='Listas suspensas'!$A$23,'Listas suspensas'!$B$22,IF(X688='Listas suspensas'!$A$26,'Listas suspensas'!$B$22,IF(X688='Listas suspensas'!$A$32,'Listas suspensas'!$B$22,IF(X688='Listas suspensas'!$A$33,'Listas suspensas'!$B$21,IF(X688='Listas suspensas'!$A$24,'Listas suspensas'!$B$22,IF(X688='Listas suspensas'!$A$25,'Listas suspensas'!$B$21,IF(X688='Listas suspensas'!$A$30,'Listas suspensas'!$B$21,"")))))))))</f>
        <v>6.5</v>
      </c>
      <c r="Z688" s="8" t="s">
        <v>80</v>
      </c>
      <c r="AB688" s="8" t="str">
        <f>IF(AA688='Listas suspensas'!$A$2,'Listas suspensas'!$B$2,IF(AA688='Listas suspensas'!$A$3,'Listas suspensas'!$B$3,IF(AA688='Listas suspensas'!$A$4,'Listas suspensas'!$B$4,IF(AA688='Listas suspensas'!$A$5,'Listas suspensas'!$B$5,IF(AA688='Listas suspensas'!$A$6,'Listas suspensas'!$B$6,"")))))</f>
        <v/>
      </c>
      <c r="AC688" s="8" t="str">
        <f>IF(AA688='Listas suspensas'!$A$2,'Listas suspensas'!$C$2,IF(AA688='Listas suspensas'!$A$3,'Listas suspensas'!$C$3,IF(AA688='Listas suspensas'!$A$4,'Listas suspensas'!$C$4,IF(AA688='Listas suspensas'!$A$5,'Listas suspensas'!$C$5,IF(AA688='Listas suspensas'!$A$6,'Listas suspensas'!$C$6,"")))))</f>
        <v/>
      </c>
      <c r="BE688" s="18">
        <f t="shared" si="106"/>
        <v>0</v>
      </c>
      <c r="BI688" s="13">
        <f t="shared" si="107"/>
        <v>0</v>
      </c>
      <c r="BM688" s="16">
        <f t="shared" si="108"/>
        <v>0</v>
      </c>
      <c r="BN688" s="21">
        <f t="shared" si="109"/>
        <v>0</v>
      </c>
      <c r="BO688" s="21">
        <f t="shared" si="110"/>
        <v>0</v>
      </c>
      <c r="BP688" s="21">
        <f t="shared" si="111"/>
        <v>0</v>
      </c>
      <c r="BQ688" s="14">
        <f t="shared" si="112"/>
        <v>0</v>
      </c>
      <c r="BR688" s="22" t="str">
        <f>IF(OR(AND(X688="Mourões", BQ688&gt;=6.5),AND(X688="Postes", BQ688&gt;=9.6),AND(X688="Dormentes", BQ688&gt;=9.6),AND(X688="Estacas - Solo", BQ688&gt;=6.5),AND(X688="Estacas - Suspenso", BQ688&gt;=4),AND(X688="Cruzetas", BQ688&gt;=6.5),AND(X688="Outros - Solo", BQ688&gt;=6.5),AND(X688="Outros - Suspenso",BQ688&gt;=4),AND(X688="Deck",BQ688&gt;=4)),'Listas suspensas'!$C$21,'Listas suspensas'!$C$22)</f>
        <v>Os resultados da análise química apresentaram uma retenção do produto inferior ao padrão mínimo exigido pela norma ABNT NBR 16143</v>
      </c>
    </row>
    <row r="689" spans="2:70" x14ac:dyDescent="0.25">
      <c r="B689" s="8" t="s">
        <v>1901</v>
      </c>
      <c r="C689" s="8" t="s">
        <v>1015</v>
      </c>
      <c r="F689" s="11">
        <v>46063</v>
      </c>
      <c r="G689" s="11">
        <v>46063</v>
      </c>
      <c r="I689" s="8" t="s">
        <v>1669</v>
      </c>
      <c r="J689" s="8" t="s">
        <v>981</v>
      </c>
      <c r="K689" s="8" t="s">
        <v>74</v>
      </c>
      <c r="L689" s="8" t="s">
        <v>15</v>
      </c>
      <c r="M689" s="30" t="s">
        <v>1670</v>
      </c>
      <c r="N689" s="8" t="s">
        <v>75</v>
      </c>
      <c r="O689" s="8" t="s">
        <v>76</v>
      </c>
      <c r="P689" s="28" t="s">
        <v>77</v>
      </c>
      <c r="Q689" s="16" t="s">
        <v>1912</v>
      </c>
      <c r="X689" s="8" t="s">
        <v>79</v>
      </c>
      <c r="Y689" s="34">
        <f>IF(X689='Listas suspensas'!$A$21,'Listas suspensas'!$B$23,IF(X689='Listas suspensas'!$A$22,'Listas suspensas'!$B$23,IF(X689='Listas suspensas'!$A$23,'Listas suspensas'!$B$22,IF(X689='Listas suspensas'!$A$26,'Listas suspensas'!$B$22,IF(X689='Listas suspensas'!$A$32,'Listas suspensas'!$B$22,IF(X689='Listas suspensas'!$A$33,'Listas suspensas'!$B$21,IF(X689='Listas suspensas'!$A$24,'Listas suspensas'!$B$22,IF(X689='Listas suspensas'!$A$25,'Listas suspensas'!$B$21,IF(X689='Listas suspensas'!$A$30,'Listas suspensas'!$B$21,"")))))))))</f>
        <v>6.5</v>
      </c>
      <c r="Z689" s="8" t="s">
        <v>80</v>
      </c>
      <c r="AB689" s="8" t="str">
        <f>IF(AA689='Listas suspensas'!$A$2,'Listas suspensas'!$B$2,IF(AA689='Listas suspensas'!$A$3,'Listas suspensas'!$B$3,IF(AA689='Listas suspensas'!$A$4,'Listas suspensas'!$B$4,IF(AA689='Listas suspensas'!$A$5,'Listas suspensas'!$B$5,IF(AA689='Listas suspensas'!$A$6,'Listas suspensas'!$B$6,"")))))</f>
        <v/>
      </c>
      <c r="AC689" s="8" t="str">
        <f>IF(AA689='Listas suspensas'!$A$2,'Listas suspensas'!$C$2,IF(AA689='Listas suspensas'!$A$3,'Listas suspensas'!$C$3,IF(AA689='Listas suspensas'!$A$4,'Listas suspensas'!$C$4,IF(AA689='Listas suspensas'!$A$5,'Listas suspensas'!$C$5,IF(AA689='Listas suspensas'!$A$6,'Listas suspensas'!$C$6,"")))))</f>
        <v/>
      </c>
      <c r="BE689" s="18">
        <f t="shared" si="106"/>
        <v>0</v>
      </c>
      <c r="BI689" s="13">
        <f t="shared" si="107"/>
        <v>0</v>
      </c>
      <c r="BM689" s="16">
        <f t="shared" si="108"/>
        <v>0</v>
      </c>
      <c r="BN689" s="21">
        <f t="shared" si="109"/>
        <v>0</v>
      </c>
      <c r="BO689" s="21">
        <f t="shared" si="110"/>
        <v>0</v>
      </c>
      <c r="BP689" s="21">
        <f t="shared" si="111"/>
        <v>0</v>
      </c>
      <c r="BQ689" s="14">
        <f t="shared" si="112"/>
        <v>0</v>
      </c>
      <c r="BR689" s="22" t="str">
        <f>IF(OR(AND(X689="Mourões", BQ689&gt;=6.5),AND(X689="Postes", BQ689&gt;=9.6),AND(X689="Dormentes", BQ689&gt;=9.6),AND(X689="Estacas - Solo", BQ689&gt;=6.5),AND(X689="Estacas - Suspenso", BQ689&gt;=4),AND(X689="Cruzetas", BQ689&gt;=6.5),AND(X689="Outros - Solo", BQ689&gt;=6.5),AND(X689="Outros - Suspenso",BQ689&gt;=4),AND(X689="Deck",BQ689&gt;=4)),'Listas suspensas'!$C$21,'Listas suspensas'!$C$22)</f>
        <v>Os resultados da análise química apresentaram uma retenção do produto inferior ao padrão mínimo exigido pela norma ABNT NBR 16143</v>
      </c>
    </row>
    <row r="690" spans="2:70" x14ac:dyDescent="0.25">
      <c r="B690" s="8" t="s">
        <v>1902</v>
      </c>
      <c r="C690" s="8" t="s">
        <v>1015</v>
      </c>
      <c r="F690" s="11">
        <v>46063</v>
      </c>
      <c r="G690" s="11">
        <v>46063</v>
      </c>
      <c r="I690" s="8" t="s">
        <v>1669</v>
      </c>
      <c r="J690" s="8" t="s">
        <v>981</v>
      </c>
      <c r="K690" s="8" t="s">
        <v>74</v>
      </c>
      <c r="L690" s="8" t="s">
        <v>15</v>
      </c>
      <c r="M690" s="30" t="s">
        <v>1670</v>
      </c>
      <c r="N690" s="8" t="s">
        <v>75</v>
      </c>
      <c r="O690" s="8" t="s">
        <v>76</v>
      </c>
      <c r="P690" s="28" t="s">
        <v>77</v>
      </c>
      <c r="Q690" s="16" t="s">
        <v>1913</v>
      </c>
      <c r="X690" s="8" t="s">
        <v>79</v>
      </c>
      <c r="Y690" s="34">
        <f>IF(X690='Listas suspensas'!$A$21,'Listas suspensas'!$B$23,IF(X690='Listas suspensas'!$A$22,'Listas suspensas'!$B$23,IF(X690='Listas suspensas'!$A$23,'Listas suspensas'!$B$22,IF(X690='Listas suspensas'!$A$26,'Listas suspensas'!$B$22,IF(X690='Listas suspensas'!$A$32,'Listas suspensas'!$B$22,IF(X690='Listas suspensas'!$A$33,'Listas suspensas'!$B$21,IF(X690='Listas suspensas'!$A$24,'Listas suspensas'!$B$22,IF(X690='Listas suspensas'!$A$25,'Listas suspensas'!$B$21,IF(X690='Listas suspensas'!$A$30,'Listas suspensas'!$B$21,"")))))))))</f>
        <v>6.5</v>
      </c>
      <c r="Z690" s="8" t="s">
        <v>80</v>
      </c>
      <c r="AB690" s="8" t="str">
        <f>IF(AA690='Listas suspensas'!$A$2,'Listas suspensas'!$B$2,IF(AA690='Listas suspensas'!$A$3,'Listas suspensas'!$B$3,IF(AA690='Listas suspensas'!$A$4,'Listas suspensas'!$B$4,IF(AA690='Listas suspensas'!$A$5,'Listas suspensas'!$B$5,IF(AA690='Listas suspensas'!$A$6,'Listas suspensas'!$B$6,"")))))</f>
        <v/>
      </c>
      <c r="AC690" s="8" t="str">
        <f>IF(AA690='Listas suspensas'!$A$2,'Listas suspensas'!$C$2,IF(AA690='Listas suspensas'!$A$3,'Listas suspensas'!$C$3,IF(AA690='Listas suspensas'!$A$4,'Listas suspensas'!$C$4,IF(AA690='Listas suspensas'!$A$5,'Listas suspensas'!$C$5,IF(AA690='Listas suspensas'!$A$6,'Listas suspensas'!$C$6,"")))))</f>
        <v/>
      </c>
      <c r="BE690" s="18">
        <f t="shared" si="106"/>
        <v>0</v>
      </c>
      <c r="BI690" s="13">
        <f t="shared" si="107"/>
        <v>0</v>
      </c>
      <c r="BM690" s="16">
        <f t="shared" si="108"/>
        <v>0</v>
      </c>
      <c r="BN690" s="21">
        <f t="shared" si="109"/>
        <v>0</v>
      </c>
      <c r="BO690" s="21">
        <f t="shared" si="110"/>
        <v>0</v>
      </c>
      <c r="BP690" s="21">
        <f t="shared" si="111"/>
        <v>0</v>
      </c>
      <c r="BQ690" s="14">
        <f t="shared" si="112"/>
        <v>0</v>
      </c>
      <c r="BR690" s="22" t="str">
        <f>IF(OR(AND(X690="Mourões", BQ690&gt;=6.5),AND(X690="Postes", BQ690&gt;=9.6),AND(X690="Dormentes", BQ690&gt;=9.6),AND(X690="Estacas - Solo", BQ690&gt;=6.5),AND(X690="Estacas - Suspenso", BQ690&gt;=4),AND(X690="Cruzetas", BQ690&gt;=6.5),AND(X690="Outros - Solo", BQ690&gt;=6.5),AND(X690="Outros - Suspenso",BQ690&gt;=4),AND(X690="Deck",BQ690&gt;=4)),'Listas suspensas'!$C$21,'Listas suspensas'!$C$22)</f>
        <v>Os resultados da análise química apresentaram uma retenção do produto inferior ao padrão mínimo exigido pela norma ABNT NBR 16143</v>
      </c>
    </row>
    <row r="691" spans="2:70" x14ac:dyDescent="0.25">
      <c r="B691" s="8" t="s">
        <v>1903</v>
      </c>
      <c r="Y691" s="34" t="str">
        <f>IF(X691='Listas suspensas'!$A$21,'Listas suspensas'!$B$23,IF(X691='Listas suspensas'!$A$22,'Listas suspensas'!$B$23,IF(X691='Listas suspensas'!$A$23,'Listas suspensas'!$B$22,IF(X691='Listas suspensas'!$A$26,'Listas suspensas'!$B$22,IF(X691='Listas suspensas'!$A$32,'Listas suspensas'!$B$22,IF(X691='Listas suspensas'!$A$33,'Listas suspensas'!$B$21,IF(X691='Listas suspensas'!$A$24,'Listas suspensas'!$B$22,IF(X691='Listas suspensas'!$A$25,'Listas suspensas'!$B$21,IF(X691='Listas suspensas'!$A$30,'Listas suspensas'!$B$21,"")))))))))</f>
        <v/>
      </c>
      <c r="AB691" s="8" t="str">
        <f>IF(AA691='Listas suspensas'!$A$2,'Listas suspensas'!$B$2,IF(AA691='Listas suspensas'!$A$3,'Listas suspensas'!$B$3,IF(AA691='Listas suspensas'!$A$4,'Listas suspensas'!$B$4,IF(AA691='Listas suspensas'!$A$5,'Listas suspensas'!$B$5,IF(AA691='Listas suspensas'!$A$6,'Listas suspensas'!$B$6,"")))))</f>
        <v/>
      </c>
      <c r="AC691" s="8" t="str">
        <f>IF(AA691='Listas suspensas'!$A$2,'Listas suspensas'!$C$2,IF(AA691='Listas suspensas'!$A$3,'Listas suspensas'!$C$3,IF(AA691='Listas suspensas'!$A$4,'Listas suspensas'!$C$4,IF(AA691='Listas suspensas'!$A$5,'Listas suspensas'!$C$5,IF(AA691='Listas suspensas'!$A$6,'Listas suspensas'!$C$6,"")))))</f>
        <v/>
      </c>
      <c r="BE691" s="18">
        <f t="shared" si="106"/>
        <v>0</v>
      </c>
      <c r="BI691" s="13">
        <f t="shared" si="107"/>
        <v>0</v>
      </c>
      <c r="BM691" s="16">
        <f t="shared" si="108"/>
        <v>0</v>
      </c>
      <c r="BN691" s="21">
        <f t="shared" si="109"/>
        <v>0</v>
      </c>
      <c r="BO691" s="21">
        <f t="shared" si="110"/>
        <v>0</v>
      </c>
      <c r="BP691" s="21">
        <f t="shared" si="111"/>
        <v>0</v>
      </c>
      <c r="BQ691" s="14">
        <f t="shared" si="112"/>
        <v>0</v>
      </c>
      <c r="BR691" s="22" t="str">
        <f>IF(OR(AND(X691="Mourões", BQ691&gt;=6.5),AND(X691="Postes", BQ691&gt;=9.6),AND(X691="Dormentes", BQ691&gt;=9.6),AND(X691="Estacas - Solo", BQ691&gt;=6.5),AND(X691="Estacas - Suspenso", BQ691&gt;=4),AND(X691="Cruzetas", BQ691&gt;=6.5),AND(X691="Outros - Solo", BQ691&gt;=6.5),AND(X691="Outros - Suspenso",BQ691&gt;=4),AND(X691="Deck",BQ691&gt;=4)),'Listas suspensas'!$C$21,'Listas suspensas'!$C$22)</f>
        <v>Os resultados da análise química apresentaram uma retenção do produto inferior ao padrão mínimo exigido pela norma ABNT NBR 16143</v>
      </c>
    </row>
    <row r="692" spans="2:70" x14ac:dyDescent="0.25">
      <c r="Y692" s="34" t="str">
        <f>IF(X692='Listas suspensas'!$A$21,'Listas suspensas'!$B$23,IF(X692='Listas suspensas'!$A$22,'Listas suspensas'!$B$23,IF(X692='Listas suspensas'!$A$23,'Listas suspensas'!$B$22,IF(X692='Listas suspensas'!$A$26,'Listas suspensas'!$B$22,IF(X692='Listas suspensas'!$A$32,'Listas suspensas'!$B$22,IF(X692='Listas suspensas'!$A$33,'Listas suspensas'!$B$21,IF(X692='Listas suspensas'!$A$24,'Listas suspensas'!$B$22,IF(X692='Listas suspensas'!$A$25,'Listas suspensas'!$B$21,IF(X692='Listas suspensas'!$A$30,'Listas suspensas'!$B$21,"")))))))))</f>
        <v/>
      </c>
      <c r="AB692" s="8" t="str">
        <f>IF(AA692='Listas suspensas'!$A$2,'Listas suspensas'!$B$2,IF(AA692='Listas suspensas'!$A$3,'Listas suspensas'!$B$3,IF(AA692='Listas suspensas'!$A$4,'Listas suspensas'!$B$4,IF(AA692='Listas suspensas'!$A$5,'Listas suspensas'!$B$5,IF(AA692='Listas suspensas'!$A$6,'Listas suspensas'!$B$6,"")))))</f>
        <v/>
      </c>
      <c r="AC692" s="8" t="str">
        <f>IF(AA692='Listas suspensas'!$A$2,'Listas suspensas'!$C$2,IF(AA692='Listas suspensas'!$A$3,'Listas suspensas'!$C$3,IF(AA692='Listas suspensas'!$A$4,'Listas suspensas'!$C$4,IF(AA692='Listas suspensas'!$A$5,'Listas suspensas'!$C$5,IF(AA692='Listas suspensas'!$A$6,'Listas suspensas'!$C$6,"")))))</f>
        <v/>
      </c>
      <c r="BE692" s="18">
        <f t="shared" si="106"/>
        <v>0</v>
      </c>
      <c r="BI692" s="13">
        <f t="shared" si="107"/>
        <v>0</v>
      </c>
      <c r="BM692" s="16">
        <f t="shared" si="108"/>
        <v>0</v>
      </c>
      <c r="BN692" s="21">
        <f t="shared" si="109"/>
        <v>0</v>
      </c>
      <c r="BO692" s="21">
        <f t="shared" si="110"/>
        <v>0</v>
      </c>
      <c r="BP692" s="21">
        <f t="shared" si="111"/>
        <v>0</v>
      </c>
      <c r="BQ692" s="14">
        <f t="shared" si="112"/>
        <v>0</v>
      </c>
      <c r="BR692" s="22" t="str">
        <f>IF(OR(AND(X692="Mourões", BQ692&gt;=6.5),AND(X692="Postes", BQ692&gt;=9.6),AND(X692="Dormentes", BQ692&gt;=9.6),AND(X692="Estacas - Solo", BQ692&gt;=6.5),AND(X692="Estacas - Suspenso", BQ692&gt;=4),AND(X692="Cruzetas", BQ692&gt;=6.5),AND(X692="Outros - Solo", BQ692&gt;=6.5),AND(X692="Outros - Suspenso",BQ692&gt;=4),AND(X692="Deck",BQ692&gt;=4)),'Listas suspensas'!$C$21,'Listas suspensas'!$C$22)</f>
        <v>Os resultados da análise química apresentaram uma retenção do produto inferior ao padrão mínimo exigido pela norma ABNT NBR 16143</v>
      </c>
    </row>
    <row r="693" spans="2:70" x14ac:dyDescent="0.25">
      <c r="Y693" s="34" t="str">
        <f>IF(X693='Listas suspensas'!$A$21,'Listas suspensas'!$B$23,IF(X693='Listas suspensas'!$A$22,'Listas suspensas'!$B$23,IF(X693='Listas suspensas'!$A$23,'Listas suspensas'!$B$22,IF(X693='Listas suspensas'!$A$26,'Listas suspensas'!$B$22,IF(X693='Listas suspensas'!$A$32,'Listas suspensas'!$B$22,IF(X693='Listas suspensas'!$A$33,'Listas suspensas'!$B$21,IF(X693='Listas suspensas'!$A$24,'Listas suspensas'!$B$22,IF(X693='Listas suspensas'!$A$25,'Listas suspensas'!$B$21,IF(X693='Listas suspensas'!$A$30,'Listas suspensas'!$B$21,"")))))))))</f>
        <v/>
      </c>
      <c r="AB693" s="8" t="str">
        <f>IF(AA693='Listas suspensas'!$A$2,'Listas suspensas'!$B$2,IF(AA693='Listas suspensas'!$A$3,'Listas suspensas'!$B$3,IF(AA693='Listas suspensas'!$A$4,'Listas suspensas'!$B$4,IF(AA693='Listas suspensas'!$A$5,'Listas suspensas'!$B$5,IF(AA693='Listas suspensas'!$A$6,'Listas suspensas'!$B$6,"")))))</f>
        <v/>
      </c>
      <c r="AC693" s="8" t="str">
        <f>IF(AA693='Listas suspensas'!$A$2,'Listas suspensas'!$C$2,IF(AA693='Listas suspensas'!$A$3,'Listas suspensas'!$C$3,IF(AA693='Listas suspensas'!$A$4,'Listas suspensas'!$C$4,IF(AA693='Listas suspensas'!$A$5,'Listas suspensas'!$C$5,IF(AA693='Listas suspensas'!$A$6,'Listas suspensas'!$C$6,"")))))</f>
        <v/>
      </c>
      <c r="BE693" s="18">
        <f t="shared" si="106"/>
        <v>0</v>
      </c>
      <c r="BI693" s="13">
        <f t="shared" si="107"/>
        <v>0</v>
      </c>
      <c r="BM693" s="16">
        <f t="shared" si="108"/>
        <v>0</v>
      </c>
      <c r="BN693" s="21">
        <f t="shared" si="109"/>
        <v>0</v>
      </c>
      <c r="BO693" s="21">
        <f t="shared" si="110"/>
        <v>0</v>
      </c>
      <c r="BP693" s="21">
        <f t="shared" si="111"/>
        <v>0</v>
      </c>
      <c r="BQ693" s="14">
        <f t="shared" si="112"/>
        <v>0</v>
      </c>
      <c r="BR693" s="22" t="str">
        <f>IF(OR(AND(X693="Mourões", BQ693&gt;=6.5),AND(X693="Postes", BQ693&gt;=9.6),AND(X693="Dormentes", BQ693&gt;=9.6),AND(X693="Estacas - Solo", BQ693&gt;=6.5),AND(X693="Estacas - Suspenso", BQ693&gt;=4),AND(X693="Cruzetas", BQ693&gt;=6.5),AND(X693="Outros - Solo", BQ693&gt;=6.5),AND(X693="Outros - Suspenso",BQ693&gt;=4),AND(X693="Deck",BQ693&gt;=4)),'Listas suspensas'!$C$21,'Listas suspensas'!$C$22)</f>
        <v>Os resultados da análise química apresentaram uma retenção do produto inferior ao padrão mínimo exigido pela norma ABNT NBR 16143</v>
      </c>
    </row>
    <row r="694" spans="2:70" x14ac:dyDescent="0.25">
      <c r="Y694" s="34" t="str">
        <f>IF(X694='Listas suspensas'!$A$21,'Listas suspensas'!$B$23,IF(X694='Listas suspensas'!$A$22,'Listas suspensas'!$B$23,IF(X694='Listas suspensas'!$A$23,'Listas suspensas'!$B$22,IF(X694='Listas suspensas'!$A$26,'Listas suspensas'!$B$22,IF(X694='Listas suspensas'!$A$32,'Listas suspensas'!$B$22,IF(X694='Listas suspensas'!$A$33,'Listas suspensas'!$B$21,IF(X694='Listas suspensas'!$A$24,'Listas suspensas'!$B$22,IF(X694='Listas suspensas'!$A$25,'Listas suspensas'!$B$21,IF(X694='Listas suspensas'!$A$30,'Listas suspensas'!$B$21,"")))))))))</f>
        <v/>
      </c>
      <c r="AB694" s="8" t="str">
        <f>IF(AA694='Listas suspensas'!$A$2,'Listas suspensas'!$B$2,IF(AA694='Listas suspensas'!$A$3,'Listas suspensas'!$B$3,IF(AA694='Listas suspensas'!$A$4,'Listas suspensas'!$B$4,IF(AA694='Listas suspensas'!$A$5,'Listas suspensas'!$B$5,IF(AA694='Listas suspensas'!$A$6,'Listas suspensas'!$B$6,"")))))</f>
        <v/>
      </c>
      <c r="AC694" s="8" t="str">
        <f>IF(AA694='Listas suspensas'!$A$2,'Listas suspensas'!$C$2,IF(AA694='Listas suspensas'!$A$3,'Listas suspensas'!$C$3,IF(AA694='Listas suspensas'!$A$4,'Listas suspensas'!$C$4,IF(AA694='Listas suspensas'!$A$5,'Listas suspensas'!$C$5,IF(AA694='Listas suspensas'!$A$6,'Listas suspensas'!$C$6,"")))))</f>
        <v/>
      </c>
      <c r="BE694" s="18">
        <f t="shared" si="106"/>
        <v>0</v>
      </c>
      <c r="BI694" s="13">
        <f t="shared" si="107"/>
        <v>0</v>
      </c>
      <c r="BM694" s="16">
        <f t="shared" si="108"/>
        <v>0</v>
      </c>
      <c r="BN694" s="21">
        <f t="shared" si="109"/>
        <v>0</v>
      </c>
      <c r="BO694" s="21">
        <f t="shared" si="110"/>
        <v>0</v>
      </c>
      <c r="BP694" s="21">
        <f t="shared" si="111"/>
        <v>0</v>
      </c>
      <c r="BQ694" s="14">
        <f t="shared" si="112"/>
        <v>0</v>
      </c>
      <c r="BR694" s="22" t="str">
        <f>IF(OR(AND(X694="Mourões", BQ694&gt;=6.5),AND(X694="Postes", BQ694&gt;=9.6),AND(X694="Dormentes", BQ694&gt;=9.6),AND(X694="Estacas - Solo", BQ694&gt;=6.5),AND(X694="Estacas - Suspenso", BQ694&gt;=4),AND(X694="Cruzetas", BQ694&gt;=6.5),AND(X694="Outros - Solo", BQ694&gt;=6.5),AND(X694="Outros - Suspenso",BQ694&gt;=4),AND(X694="Deck",BQ694&gt;=4)),'Listas suspensas'!$C$21,'Listas suspensas'!$C$22)</f>
        <v>Os resultados da análise química apresentaram uma retenção do produto inferior ao padrão mínimo exigido pela norma ABNT NBR 16143</v>
      </c>
    </row>
    <row r="695" spans="2:70" x14ac:dyDescent="0.25">
      <c r="Y695" s="34" t="str">
        <f>IF(X695='Listas suspensas'!$A$21,'Listas suspensas'!$B$23,IF(X695='Listas suspensas'!$A$22,'Listas suspensas'!$B$23,IF(X695='Listas suspensas'!$A$23,'Listas suspensas'!$B$22,IF(X695='Listas suspensas'!$A$26,'Listas suspensas'!$B$22,IF(X695='Listas suspensas'!$A$32,'Listas suspensas'!$B$22,IF(X695='Listas suspensas'!$A$33,'Listas suspensas'!$B$21,IF(X695='Listas suspensas'!$A$24,'Listas suspensas'!$B$22,IF(X695='Listas suspensas'!$A$25,'Listas suspensas'!$B$21,IF(X695='Listas suspensas'!$A$30,'Listas suspensas'!$B$21,"")))))))))</f>
        <v/>
      </c>
      <c r="AB695" s="8" t="str">
        <f>IF(AA695='Listas suspensas'!$A$2,'Listas suspensas'!$B$2,IF(AA695='Listas suspensas'!$A$3,'Listas suspensas'!$B$3,IF(AA695='Listas suspensas'!$A$4,'Listas suspensas'!$B$4,IF(AA695='Listas suspensas'!$A$5,'Listas suspensas'!$B$5,IF(AA695='Listas suspensas'!$A$6,'Listas suspensas'!$B$6,"")))))</f>
        <v/>
      </c>
      <c r="AC695" s="8" t="str">
        <f>IF(AA695='Listas suspensas'!$A$2,'Listas suspensas'!$C$2,IF(AA695='Listas suspensas'!$A$3,'Listas suspensas'!$C$3,IF(AA695='Listas suspensas'!$A$4,'Listas suspensas'!$C$4,IF(AA695='Listas suspensas'!$A$5,'Listas suspensas'!$C$5,IF(AA695='Listas suspensas'!$A$6,'Listas suspensas'!$C$6,"")))))</f>
        <v/>
      </c>
      <c r="BE695" s="18">
        <f t="shared" si="106"/>
        <v>0</v>
      </c>
      <c r="BI695" s="13">
        <f t="shared" si="107"/>
        <v>0</v>
      </c>
      <c r="BM695" s="16">
        <f t="shared" si="108"/>
        <v>0</v>
      </c>
      <c r="BN695" s="21">
        <f t="shared" si="109"/>
        <v>0</v>
      </c>
      <c r="BO695" s="21">
        <f t="shared" si="110"/>
        <v>0</v>
      </c>
      <c r="BP695" s="21">
        <f t="shared" si="111"/>
        <v>0</v>
      </c>
      <c r="BQ695" s="14">
        <f t="shared" si="112"/>
        <v>0</v>
      </c>
      <c r="BR695" s="22" t="str">
        <f>IF(OR(AND(X695="Mourões", BQ695&gt;=6.5),AND(X695="Postes", BQ695&gt;=9.6),AND(X695="Dormentes", BQ695&gt;=9.6),AND(X695="Estacas - Solo", BQ695&gt;=6.5),AND(X695="Estacas - Suspenso", BQ695&gt;=4),AND(X695="Cruzetas", BQ695&gt;=6.5),AND(X695="Outros - Solo", BQ695&gt;=6.5),AND(X695="Outros - Suspenso",BQ695&gt;=4),AND(X695="Deck",BQ695&gt;=4)),'Listas suspensas'!$C$21,'Listas suspensas'!$C$22)</f>
        <v>Os resultados da análise química apresentaram uma retenção do produto inferior ao padrão mínimo exigido pela norma ABNT NBR 16143</v>
      </c>
    </row>
    <row r="696" spans="2:70" x14ac:dyDescent="0.25">
      <c r="Y696" s="34" t="str">
        <f>IF(X696='Listas suspensas'!$A$21,'Listas suspensas'!$B$23,IF(X696='Listas suspensas'!$A$22,'Listas suspensas'!$B$23,IF(X696='Listas suspensas'!$A$23,'Listas suspensas'!$B$22,IF(X696='Listas suspensas'!$A$26,'Listas suspensas'!$B$22,IF(X696='Listas suspensas'!$A$32,'Listas suspensas'!$B$22,IF(X696='Listas suspensas'!$A$33,'Listas suspensas'!$B$21,IF(X696='Listas suspensas'!$A$24,'Listas suspensas'!$B$22,IF(X696='Listas suspensas'!$A$25,'Listas suspensas'!$B$21,IF(X696='Listas suspensas'!$A$30,'Listas suspensas'!$B$21,"")))))))))</f>
        <v/>
      </c>
      <c r="AB696" s="8" t="str">
        <f>IF(AA696='Listas suspensas'!$A$2,'Listas suspensas'!$B$2,IF(AA696='Listas suspensas'!$A$3,'Listas suspensas'!$B$3,IF(AA696='Listas suspensas'!$A$4,'Listas suspensas'!$B$4,IF(AA696='Listas suspensas'!$A$5,'Listas suspensas'!$B$5,IF(AA696='Listas suspensas'!$A$6,'Listas suspensas'!$B$6,"")))))</f>
        <v/>
      </c>
      <c r="AC696" s="8" t="str">
        <f>IF(AA696='Listas suspensas'!$A$2,'Listas suspensas'!$C$2,IF(AA696='Listas suspensas'!$A$3,'Listas suspensas'!$C$3,IF(AA696='Listas suspensas'!$A$4,'Listas suspensas'!$C$4,IF(AA696='Listas suspensas'!$A$5,'Listas suspensas'!$C$5,IF(AA696='Listas suspensas'!$A$6,'Listas suspensas'!$C$6,"")))))</f>
        <v/>
      </c>
      <c r="BE696" s="18">
        <f t="shared" si="106"/>
        <v>0</v>
      </c>
      <c r="BI696" s="13">
        <f t="shared" si="107"/>
        <v>0</v>
      </c>
      <c r="BM696" s="16">
        <f t="shared" si="108"/>
        <v>0</v>
      </c>
      <c r="BN696" s="21">
        <f t="shared" si="109"/>
        <v>0</v>
      </c>
      <c r="BO696" s="21">
        <f t="shared" si="110"/>
        <v>0</v>
      </c>
      <c r="BP696" s="21">
        <f t="shared" si="111"/>
        <v>0</v>
      </c>
      <c r="BQ696" s="14">
        <f t="shared" si="112"/>
        <v>0</v>
      </c>
      <c r="BR696" s="22" t="str">
        <f>IF(OR(AND(X696="Mourões", BQ696&gt;=6.5),AND(X696="Postes", BQ696&gt;=9.6),AND(X696="Dormentes", BQ696&gt;=9.6),AND(X696="Estacas - Solo", BQ696&gt;=6.5),AND(X696="Estacas - Suspenso", BQ696&gt;=4),AND(X696="Cruzetas", BQ696&gt;=6.5),AND(X696="Outros - Solo", BQ696&gt;=6.5),AND(X696="Outros - Suspenso",BQ696&gt;=4),AND(X696="Deck",BQ696&gt;=4)),'Listas suspensas'!$C$21,'Listas suspensas'!$C$22)</f>
        <v>Os resultados da análise química apresentaram uma retenção do produto inferior ao padrão mínimo exigido pela norma ABNT NBR 16143</v>
      </c>
    </row>
    <row r="697" spans="2:70" x14ac:dyDescent="0.25">
      <c r="Y697" s="34" t="str">
        <f>IF(X697='Listas suspensas'!$A$21,'Listas suspensas'!$B$23,IF(X697='Listas suspensas'!$A$22,'Listas suspensas'!$B$23,IF(X697='Listas suspensas'!$A$23,'Listas suspensas'!$B$22,IF(X697='Listas suspensas'!$A$26,'Listas suspensas'!$B$22,IF(X697='Listas suspensas'!$A$32,'Listas suspensas'!$B$22,IF(X697='Listas suspensas'!$A$33,'Listas suspensas'!$B$21,IF(X697='Listas suspensas'!$A$24,'Listas suspensas'!$B$22,IF(X697='Listas suspensas'!$A$25,'Listas suspensas'!$B$21,IF(X697='Listas suspensas'!$A$30,'Listas suspensas'!$B$21,"")))))))))</f>
        <v/>
      </c>
      <c r="AB697" s="8" t="str">
        <f>IF(AA697='Listas suspensas'!$A$2,'Listas suspensas'!$B$2,IF(AA697='Listas suspensas'!$A$3,'Listas suspensas'!$B$3,IF(AA697='Listas suspensas'!$A$4,'Listas suspensas'!$B$4,IF(AA697='Listas suspensas'!$A$5,'Listas suspensas'!$B$5,IF(AA697='Listas suspensas'!$A$6,'Listas suspensas'!$B$6,"")))))</f>
        <v/>
      </c>
      <c r="AC697" s="8" t="str">
        <f>IF(AA697='Listas suspensas'!$A$2,'Listas suspensas'!$C$2,IF(AA697='Listas suspensas'!$A$3,'Listas suspensas'!$C$3,IF(AA697='Listas suspensas'!$A$4,'Listas suspensas'!$C$4,IF(AA697='Listas suspensas'!$A$5,'Listas suspensas'!$C$5,IF(AA697='Listas suspensas'!$A$6,'Listas suspensas'!$C$6,"")))))</f>
        <v/>
      </c>
      <c r="BE697" s="18">
        <f t="shared" ref="BE697:BE760" si="113">BD697*1000</f>
        <v>0</v>
      </c>
      <c r="BI697" s="13">
        <f t="shared" si="107"/>
        <v>0</v>
      </c>
      <c r="BM697" s="16">
        <f t="shared" si="108"/>
        <v>0</v>
      </c>
      <c r="BN697" s="21">
        <f t="shared" si="109"/>
        <v>0</v>
      </c>
      <c r="BO697" s="21">
        <f t="shared" si="110"/>
        <v>0</v>
      </c>
      <c r="BP697" s="21">
        <f t="shared" si="111"/>
        <v>0</v>
      </c>
      <c r="BQ697" s="14">
        <f t="shared" si="112"/>
        <v>0</v>
      </c>
      <c r="BR697" s="22" t="str">
        <f>IF(OR(AND(X697="Mourões", BQ697&gt;=6.5),AND(X697="Postes", BQ697&gt;=9.6),AND(X697="Dormentes", BQ697&gt;=9.6),AND(X697="Estacas - Solo", BQ697&gt;=6.5),AND(X697="Estacas - Suspenso", BQ697&gt;=4),AND(X697="Cruzetas", BQ697&gt;=6.5),AND(X697="Outros - Solo", BQ697&gt;=6.5),AND(X697="Outros - Suspenso",BQ697&gt;=4),AND(X697="Deck",BQ697&gt;=4)),'Listas suspensas'!$C$21,'Listas suspensas'!$C$22)</f>
        <v>Os resultados da análise química apresentaram uma retenção do produto inferior ao padrão mínimo exigido pela norma ABNT NBR 16143</v>
      </c>
    </row>
    <row r="698" spans="2:70" x14ac:dyDescent="0.25">
      <c r="Y698" s="34" t="str">
        <f>IF(X698='Listas suspensas'!$A$21,'Listas suspensas'!$B$23,IF(X698='Listas suspensas'!$A$22,'Listas suspensas'!$B$23,IF(X698='Listas suspensas'!$A$23,'Listas suspensas'!$B$22,IF(X698='Listas suspensas'!$A$26,'Listas suspensas'!$B$22,IF(X698='Listas suspensas'!$A$32,'Listas suspensas'!$B$22,IF(X698='Listas suspensas'!$A$33,'Listas suspensas'!$B$21,IF(X698='Listas suspensas'!$A$24,'Listas suspensas'!$B$22,IF(X698='Listas suspensas'!$A$25,'Listas suspensas'!$B$21,IF(X698='Listas suspensas'!$A$30,'Listas suspensas'!$B$21,"")))))))))</f>
        <v/>
      </c>
      <c r="AB698" s="8" t="str">
        <f>IF(AA698='Listas suspensas'!$A$2,'Listas suspensas'!$B$2,IF(AA698='Listas suspensas'!$A$3,'Listas suspensas'!$B$3,IF(AA698='Listas suspensas'!$A$4,'Listas suspensas'!$B$4,IF(AA698='Listas suspensas'!$A$5,'Listas suspensas'!$B$5,IF(AA698='Listas suspensas'!$A$6,'Listas suspensas'!$B$6,"")))))</f>
        <v/>
      </c>
      <c r="AC698" s="8" t="str">
        <f>IF(AA698='Listas suspensas'!$A$2,'Listas suspensas'!$C$2,IF(AA698='Listas suspensas'!$A$3,'Listas suspensas'!$C$3,IF(AA698='Listas suspensas'!$A$4,'Listas suspensas'!$C$4,IF(AA698='Listas suspensas'!$A$5,'Listas suspensas'!$C$5,IF(AA698='Listas suspensas'!$A$6,'Listas suspensas'!$C$6,"")))))</f>
        <v/>
      </c>
      <c r="BE698" s="18">
        <f t="shared" si="113"/>
        <v>0</v>
      </c>
      <c r="BI698" s="13">
        <f t="shared" si="107"/>
        <v>0</v>
      </c>
      <c r="BM698" s="16">
        <f t="shared" si="108"/>
        <v>0</v>
      </c>
      <c r="BN698" s="21">
        <f t="shared" si="109"/>
        <v>0</v>
      </c>
      <c r="BO698" s="21">
        <f t="shared" si="110"/>
        <v>0</v>
      </c>
      <c r="BP698" s="21">
        <f t="shared" si="111"/>
        <v>0</v>
      </c>
      <c r="BQ698" s="14">
        <f t="shared" si="112"/>
        <v>0</v>
      </c>
      <c r="BR698" s="22" t="str">
        <f>IF(OR(AND(X698="Mourões", BQ698&gt;=6.5),AND(X698="Postes", BQ698&gt;=9.6),AND(X698="Dormentes", BQ698&gt;=9.6),AND(X698="Estacas - Solo", BQ698&gt;=6.5),AND(X698="Estacas - Suspenso", BQ698&gt;=4),AND(X698="Cruzetas", BQ698&gt;=6.5),AND(X698="Outros - Solo", BQ698&gt;=6.5),AND(X698="Outros - Suspenso",BQ698&gt;=4),AND(X698="Deck",BQ698&gt;=4)),'Listas suspensas'!$C$21,'Listas suspensas'!$C$22)</f>
        <v>Os resultados da análise química apresentaram uma retenção do produto inferior ao padrão mínimo exigido pela norma ABNT NBR 16143</v>
      </c>
    </row>
    <row r="699" spans="2:70" x14ac:dyDescent="0.25">
      <c r="Y699" s="34" t="str">
        <f>IF(X699='Listas suspensas'!$A$21,'Listas suspensas'!$B$23,IF(X699='Listas suspensas'!$A$22,'Listas suspensas'!$B$23,IF(X699='Listas suspensas'!$A$23,'Listas suspensas'!$B$22,IF(X699='Listas suspensas'!$A$26,'Listas suspensas'!$B$22,IF(X699='Listas suspensas'!$A$32,'Listas suspensas'!$B$22,IF(X699='Listas suspensas'!$A$33,'Listas suspensas'!$B$21,IF(X699='Listas suspensas'!$A$24,'Listas suspensas'!$B$22,IF(X699='Listas suspensas'!$A$25,'Listas suspensas'!$B$21,IF(X699='Listas suspensas'!$A$30,'Listas suspensas'!$B$21,"")))))))))</f>
        <v/>
      </c>
      <c r="AB699" s="8" t="str">
        <f>IF(AA699='Listas suspensas'!$A$2,'Listas suspensas'!$B$2,IF(AA699='Listas suspensas'!$A$3,'Listas suspensas'!$B$3,IF(AA699='Listas suspensas'!$A$4,'Listas suspensas'!$B$4,IF(AA699='Listas suspensas'!$A$5,'Listas suspensas'!$B$5,IF(AA699='Listas suspensas'!$A$6,'Listas suspensas'!$B$6,"")))))</f>
        <v/>
      </c>
      <c r="AC699" s="8" t="str">
        <f>IF(AA699='Listas suspensas'!$A$2,'Listas suspensas'!$C$2,IF(AA699='Listas suspensas'!$A$3,'Listas suspensas'!$C$3,IF(AA699='Listas suspensas'!$A$4,'Listas suspensas'!$C$4,IF(AA699='Listas suspensas'!$A$5,'Listas suspensas'!$C$5,IF(AA699='Listas suspensas'!$A$6,'Listas suspensas'!$C$6,"")))))</f>
        <v/>
      </c>
      <c r="BE699" s="18">
        <f t="shared" si="113"/>
        <v>0</v>
      </c>
      <c r="BI699" s="13">
        <f t="shared" si="107"/>
        <v>0</v>
      </c>
      <c r="BM699" s="16">
        <f t="shared" si="108"/>
        <v>0</v>
      </c>
      <c r="BN699" s="21">
        <f t="shared" si="109"/>
        <v>0</v>
      </c>
      <c r="BO699" s="21">
        <f t="shared" si="110"/>
        <v>0</v>
      </c>
      <c r="BP699" s="21">
        <f t="shared" si="111"/>
        <v>0</v>
      </c>
      <c r="BQ699" s="14">
        <f t="shared" si="112"/>
        <v>0</v>
      </c>
      <c r="BR699" s="22" t="str">
        <f>IF(OR(AND(X699="Mourões", BQ699&gt;=6.5),AND(X699="Postes", BQ699&gt;=9.6),AND(X699="Dormentes", BQ699&gt;=9.6),AND(X699="Estacas - Solo", BQ699&gt;=6.5),AND(X699="Estacas - Suspenso", BQ699&gt;=4),AND(X699="Cruzetas", BQ699&gt;=6.5),AND(X699="Outros - Solo", BQ699&gt;=6.5),AND(X699="Outros - Suspenso",BQ699&gt;=4),AND(X699="Deck",BQ699&gt;=4)),'Listas suspensas'!$C$21,'Listas suspensas'!$C$22)</f>
        <v>Os resultados da análise química apresentaram uma retenção do produto inferior ao padrão mínimo exigido pela norma ABNT NBR 16143</v>
      </c>
    </row>
    <row r="700" spans="2:70" x14ac:dyDescent="0.25">
      <c r="Y700" s="34" t="str">
        <f>IF(X700='Listas suspensas'!$A$21,'Listas suspensas'!$B$23,IF(X700='Listas suspensas'!$A$22,'Listas suspensas'!$B$23,IF(X700='Listas suspensas'!$A$23,'Listas suspensas'!$B$22,IF(X700='Listas suspensas'!$A$26,'Listas suspensas'!$B$22,IF(X700='Listas suspensas'!$A$32,'Listas suspensas'!$B$22,IF(X700='Listas suspensas'!$A$33,'Listas suspensas'!$B$21,IF(X700='Listas suspensas'!$A$24,'Listas suspensas'!$B$22,IF(X700='Listas suspensas'!$A$25,'Listas suspensas'!$B$21,IF(X700='Listas suspensas'!$A$30,'Listas suspensas'!$B$21,"")))))))))</f>
        <v/>
      </c>
      <c r="AB700" s="8" t="str">
        <f>IF(AA700='Listas suspensas'!$A$2,'Listas suspensas'!$B$2,IF(AA700='Listas suspensas'!$A$3,'Listas suspensas'!$B$3,IF(AA700='Listas suspensas'!$A$4,'Listas suspensas'!$B$4,IF(AA700='Listas suspensas'!$A$5,'Listas suspensas'!$B$5,IF(AA700='Listas suspensas'!$A$6,'Listas suspensas'!$B$6,"")))))</f>
        <v/>
      </c>
      <c r="AC700" s="8" t="str">
        <f>IF(AA700='Listas suspensas'!$A$2,'Listas suspensas'!$C$2,IF(AA700='Listas suspensas'!$A$3,'Listas suspensas'!$C$3,IF(AA700='Listas suspensas'!$A$4,'Listas suspensas'!$C$4,IF(AA700='Listas suspensas'!$A$5,'Listas suspensas'!$C$5,IF(AA700='Listas suspensas'!$A$6,'Listas suspensas'!$C$6,"")))))</f>
        <v/>
      </c>
      <c r="BE700" s="18">
        <f t="shared" si="113"/>
        <v>0</v>
      </c>
      <c r="BI700" s="13">
        <f t="shared" si="107"/>
        <v>0</v>
      </c>
      <c r="BM700" s="16">
        <f t="shared" si="108"/>
        <v>0</v>
      </c>
      <c r="BN700" s="21">
        <f t="shared" si="109"/>
        <v>0</v>
      </c>
      <c r="BO700" s="21">
        <f t="shared" si="110"/>
        <v>0</v>
      </c>
      <c r="BP700" s="21">
        <f t="shared" si="111"/>
        <v>0</v>
      </c>
      <c r="BQ700" s="14">
        <f t="shared" si="112"/>
        <v>0</v>
      </c>
      <c r="BR700" s="22" t="str">
        <f>IF(OR(AND(X700="Mourões", BQ700&gt;=6.5),AND(X700="Postes", BQ700&gt;=9.6),AND(X700="Dormentes", BQ700&gt;=9.6),AND(X700="Estacas - Solo", BQ700&gt;=6.5),AND(X700="Estacas - Suspenso", BQ700&gt;=4),AND(X700="Cruzetas", BQ700&gt;=6.5),AND(X700="Outros - Solo", BQ700&gt;=6.5),AND(X700="Outros - Suspenso",BQ700&gt;=4),AND(X700="Deck",BQ700&gt;=4)),'Listas suspensas'!$C$21,'Listas suspensas'!$C$22)</f>
        <v>Os resultados da análise química apresentaram uma retenção do produto inferior ao padrão mínimo exigido pela norma ABNT NBR 16143</v>
      </c>
    </row>
    <row r="701" spans="2:70" x14ac:dyDescent="0.25">
      <c r="Y701" s="34" t="str">
        <f>IF(X701='Listas suspensas'!$A$21,'Listas suspensas'!$B$23,IF(X701='Listas suspensas'!$A$22,'Listas suspensas'!$B$23,IF(X701='Listas suspensas'!$A$23,'Listas suspensas'!$B$22,IF(X701='Listas suspensas'!$A$26,'Listas suspensas'!$B$22,IF(X701='Listas suspensas'!$A$32,'Listas suspensas'!$B$22,IF(X701='Listas suspensas'!$A$33,'Listas suspensas'!$B$21,IF(X701='Listas suspensas'!$A$24,'Listas suspensas'!$B$22,IF(X701='Listas suspensas'!$A$25,'Listas suspensas'!$B$21,IF(X701='Listas suspensas'!$A$30,'Listas suspensas'!$B$21,"")))))))))</f>
        <v/>
      </c>
      <c r="AB701" s="8" t="str">
        <f>IF(AA701='Listas suspensas'!$A$2,'Listas suspensas'!$B$2,IF(AA701='Listas suspensas'!$A$3,'Listas suspensas'!$B$3,IF(AA701='Listas suspensas'!$A$4,'Listas suspensas'!$B$4,IF(AA701='Listas suspensas'!$A$5,'Listas suspensas'!$B$5,IF(AA701='Listas suspensas'!$A$6,'Listas suspensas'!$B$6,"")))))</f>
        <v/>
      </c>
      <c r="AC701" s="8" t="str">
        <f>IF(AA701='Listas suspensas'!$A$2,'Listas suspensas'!$C$2,IF(AA701='Listas suspensas'!$A$3,'Listas suspensas'!$C$3,IF(AA701='Listas suspensas'!$A$4,'Listas suspensas'!$C$4,IF(AA701='Listas suspensas'!$A$5,'Listas suspensas'!$C$5,IF(AA701='Listas suspensas'!$A$6,'Listas suspensas'!$C$6,"")))))</f>
        <v/>
      </c>
      <c r="BE701" s="18">
        <f t="shared" si="113"/>
        <v>0</v>
      </c>
      <c r="BI701" s="13">
        <f t="shared" si="107"/>
        <v>0</v>
      </c>
      <c r="BM701" s="16">
        <f t="shared" si="108"/>
        <v>0</v>
      </c>
      <c r="BN701" s="21">
        <f t="shared" si="109"/>
        <v>0</v>
      </c>
      <c r="BO701" s="21">
        <f t="shared" si="110"/>
        <v>0</v>
      </c>
      <c r="BP701" s="21">
        <f t="shared" si="111"/>
        <v>0</v>
      </c>
      <c r="BQ701" s="14">
        <f t="shared" si="112"/>
        <v>0</v>
      </c>
      <c r="BR701" s="22" t="str">
        <f>IF(OR(AND(X701="Mourões", BQ701&gt;=6.5),AND(X701="Postes", BQ701&gt;=9.6),AND(X701="Dormentes", BQ701&gt;=9.6),AND(X701="Estacas - Solo", BQ701&gt;=6.5),AND(X701="Estacas - Suspenso", BQ701&gt;=4),AND(X701="Cruzetas", BQ701&gt;=6.5),AND(X701="Outros - Solo", BQ701&gt;=6.5),AND(X701="Outros - Suspenso",BQ701&gt;=4),AND(X701="Deck",BQ701&gt;=4)),'Listas suspensas'!$C$21,'Listas suspensas'!$C$22)</f>
        <v>Os resultados da análise química apresentaram uma retenção do produto inferior ao padrão mínimo exigido pela norma ABNT NBR 16143</v>
      </c>
    </row>
    <row r="702" spans="2:70" x14ac:dyDescent="0.25">
      <c r="Y702" s="34" t="str">
        <f>IF(X702='Listas suspensas'!$A$21,'Listas suspensas'!$B$23,IF(X702='Listas suspensas'!$A$22,'Listas suspensas'!$B$23,IF(X702='Listas suspensas'!$A$23,'Listas suspensas'!$B$22,IF(X702='Listas suspensas'!$A$26,'Listas suspensas'!$B$22,IF(X702='Listas suspensas'!$A$32,'Listas suspensas'!$B$22,IF(X702='Listas suspensas'!$A$33,'Listas suspensas'!$B$21,IF(X702='Listas suspensas'!$A$24,'Listas suspensas'!$B$22,IF(X702='Listas suspensas'!$A$25,'Listas suspensas'!$B$21,IF(X702='Listas suspensas'!$A$30,'Listas suspensas'!$B$21,"")))))))))</f>
        <v/>
      </c>
      <c r="AB702" s="8" t="str">
        <f>IF(AA702='Listas suspensas'!$A$2,'Listas suspensas'!$B$2,IF(AA702='Listas suspensas'!$A$3,'Listas suspensas'!$B$3,IF(AA702='Listas suspensas'!$A$4,'Listas suspensas'!$B$4,IF(AA702='Listas suspensas'!$A$5,'Listas suspensas'!$B$5,IF(AA702='Listas suspensas'!$A$6,'Listas suspensas'!$B$6,"")))))</f>
        <v/>
      </c>
      <c r="AC702" s="8" t="str">
        <f>IF(AA702='Listas suspensas'!$A$2,'Listas suspensas'!$C$2,IF(AA702='Listas suspensas'!$A$3,'Listas suspensas'!$C$3,IF(AA702='Listas suspensas'!$A$4,'Listas suspensas'!$C$4,IF(AA702='Listas suspensas'!$A$5,'Listas suspensas'!$C$5,IF(AA702='Listas suspensas'!$A$6,'Listas suspensas'!$C$6,"")))))</f>
        <v/>
      </c>
      <c r="BE702" s="18">
        <f t="shared" si="113"/>
        <v>0</v>
      </c>
      <c r="BI702" s="13">
        <f t="shared" si="107"/>
        <v>0</v>
      </c>
      <c r="BM702" s="16">
        <f t="shared" si="108"/>
        <v>0</v>
      </c>
      <c r="BN702" s="21">
        <f t="shared" si="109"/>
        <v>0</v>
      </c>
      <c r="BO702" s="21">
        <f t="shared" si="110"/>
        <v>0</v>
      </c>
      <c r="BP702" s="21">
        <f t="shared" si="111"/>
        <v>0</v>
      </c>
      <c r="BQ702" s="14">
        <f t="shared" si="112"/>
        <v>0</v>
      </c>
      <c r="BR702" s="22" t="str">
        <f>IF(OR(AND(X702="Mourões", BQ702&gt;=6.5),AND(X702="Postes", BQ702&gt;=9.6),AND(X702="Dormentes", BQ702&gt;=9.6),AND(X702="Estacas - Solo", BQ702&gt;=6.5),AND(X702="Estacas - Suspenso", BQ702&gt;=4),AND(X702="Cruzetas", BQ702&gt;=6.5),AND(X702="Outros - Solo", BQ702&gt;=6.5),AND(X702="Outros - Suspenso",BQ702&gt;=4),AND(X702="Deck",BQ702&gt;=4)),'Listas suspensas'!$C$21,'Listas suspensas'!$C$22)</f>
        <v>Os resultados da análise química apresentaram uma retenção do produto inferior ao padrão mínimo exigido pela norma ABNT NBR 16143</v>
      </c>
    </row>
    <row r="703" spans="2:70" x14ac:dyDescent="0.25">
      <c r="Y703" s="34" t="str">
        <f>IF(X703='Listas suspensas'!$A$21,'Listas suspensas'!$B$23,IF(X703='Listas suspensas'!$A$22,'Listas suspensas'!$B$23,IF(X703='Listas suspensas'!$A$23,'Listas suspensas'!$B$22,IF(X703='Listas suspensas'!$A$26,'Listas suspensas'!$B$22,IF(X703='Listas suspensas'!$A$32,'Listas suspensas'!$B$22,IF(X703='Listas suspensas'!$A$33,'Listas suspensas'!$B$21,IF(X703='Listas suspensas'!$A$24,'Listas suspensas'!$B$22,IF(X703='Listas suspensas'!$A$25,'Listas suspensas'!$B$21,IF(X703='Listas suspensas'!$A$30,'Listas suspensas'!$B$21,"")))))))))</f>
        <v/>
      </c>
      <c r="AB703" s="8" t="str">
        <f>IF(AA703='Listas suspensas'!$A$2,'Listas suspensas'!$B$2,IF(AA703='Listas suspensas'!$A$3,'Listas suspensas'!$B$3,IF(AA703='Listas suspensas'!$A$4,'Listas suspensas'!$B$4,IF(AA703='Listas suspensas'!$A$5,'Listas suspensas'!$B$5,IF(AA703='Listas suspensas'!$A$6,'Listas suspensas'!$B$6,"")))))</f>
        <v/>
      </c>
      <c r="AC703" s="8" t="str">
        <f>IF(AA703='Listas suspensas'!$A$2,'Listas suspensas'!$C$2,IF(AA703='Listas suspensas'!$A$3,'Listas suspensas'!$C$3,IF(AA703='Listas suspensas'!$A$4,'Listas suspensas'!$C$4,IF(AA703='Listas suspensas'!$A$5,'Listas suspensas'!$C$5,IF(AA703='Listas suspensas'!$A$6,'Listas suspensas'!$C$6,"")))))</f>
        <v/>
      </c>
      <c r="BE703" s="18">
        <f t="shared" si="113"/>
        <v>0</v>
      </c>
      <c r="BI703" s="13">
        <f t="shared" si="107"/>
        <v>0</v>
      </c>
      <c r="BM703" s="16">
        <f t="shared" si="108"/>
        <v>0</v>
      </c>
      <c r="BN703" s="21">
        <f t="shared" si="109"/>
        <v>0</v>
      </c>
      <c r="BO703" s="21">
        <f t="shared" si="110"/>
        <v>0</v>
      </c>
      <c r="BP703" s="21">
        <f t="shared" si="111"/>
        <v>0</v>
      </c>
      <c r="BQ703" s="14">
        <f t="shared" si="112"/>
        <v>0</v>
      </c>
      <c r="BR703" s="22" t="str">
        <f>IF(OR(AND(X703="Mourões", BQ703&gt;=6.5),AND(X703="Postes", BQ703&gt;=9.6),AND(X703="Dormentes", BQ703&gt;=9.6),AND(X703="Estacas - Solo", BQ703&gt;=6.5),AND(X703="Estacas - Suspenso", BQ703&gt;=4),AND(X703="Cruzetas", BQ703&gt;=6.5),AND(X703="Outros - Solo", BQ703&gt;=6.5),AND(X703="Outros - Suspenso",BQ703&gt;=4),AND(X703="Deck",BQ703&gt;=4)),'Listas suspensas'!$C$21,'Listas suspensas'!$C$22)</f>
        <v>Os resultados da análise química apresentaram uma retenção do produto inferior ao padrão mínimo exigido pela norma ABNT NBR 16143</v>
      </c>
    </row>
    <row r="704" spans="2:70" x14ac:dyDescent="0.25">
      <c r="Y704" s="34" t="str">
        <f>IF(X704='Listas suspensas'!$A$21,'Listas suspensas'!$B$23,IF(X704='Listas suspensas'!$A$22,'Listas suspensas'!$B$23,IF(X704='Listas suspensas'!$A$23,'Listas suspensas'!$B$22,IF(X704='Listas suspensas'!$A$26,'Listas suspensas'!$B$22,IF(X704='Listas suspensas'!$A$32,'Listas suspensas'!$B$22,IF(X704='Listas suspensas'!$A$33,'Listas suspensas'!$B$21,IF(X704='Listas suspensas'!$A$24,'Listas suspensas'!$B$22,IF(X704='Listas suspensas'!$A$25,'Listas suspensas'!$B$21,IF(X704='Listas suspensas'!$A$30,'Listas suspensas'!$B$21,"")))))))))</f>
        <v/>
      </c>
      <c r="AB704" s="8" t="str">
        <f>IF(AA704='Listas suspensas'!$A$2,'Listas suspensas'!$B$2,IF(AA704='Listas suspensas'!$A$3,'Listas suspensas'!$B$3,IF(AA704='Listas suspensas'!$A$4,'Listas suspensas'!$B$4,IF(AA704='Listas suspensas'!$A$5,'Listas suspensas'!$B$5,IF(AA704='Listas suspensas'!$A$6,'Listas suspensas'!$B$6,"")))))</f>
        <v/>
      </c>
      <c r="AC704" s="8" t="str">
        <f>IF(AA704='Listas suspensas'!$A$2,'Listas suspensas'!$C$2,IF(AA704='Listas suspensas'!$A$3,'Listas suspensas'!$C$3,IF(AA704='Listas suspensas'!$A$4,'Listas suspensas'!$C$4,IF(AA704='Listas suspensas'!$A$5,'Listas suspensas'!$C$5,IF(AA704='Listas suspensas'!$A$6,'Listas suspensas'!$C$6,"")))))</f>
        <v/>
      </c>
      <c r="BE704" s="18">
        <f t="shared" si="113"/>
        <v>0</v>
      </c>
      <c r="BI704" s="13">
        <f t="shared" si="107"/>
        <v>0</v>
      </c>
      <c r="BM704" s="16">
        <f t="shared" si="108"/>
        <v>0</v>
      </c>
      <c r="BN704" s="21">
        <f t="shared" si="109"/>
        <v>0</v>
      </c>
      <c r="BO704" s="21">
        <f t="shared" si="110"/>
        <v>0</v>
      </c>
      <c r="BP704" s="21">
        <f t="shared" si="111"/>
        <v>0</v>
      </c>
      <c r="BQ704" s="14">
        <f t="shared" si="112"/>
        <v>0</v>
      </c>
      <c r="BR704" s="22" t="str">
        <f>IF(OR(AND(X704="Mourões", BQ704&gt;=6.5),AND(X704="Postes", BQ704&gt;=9.6),AND(X704="Dormentes", BQ704&gt;=9.6),AND(X704="Estacas - Solo", BQ704&gt;=6.5),AND(X704="Estacas - Suspenso", BQ704&gt;=4),AND(X704="Cruzetas", BQ704&gt;=6.5),AND(X704="Outros - Solo", BQ704&gt;=6.5),AND(X704="Outros - Suspenso",BQ704&gt;=4),AND(X704="Deck",BQ704&gt;=4)),'Listas suspensas'!$C$21,'Listas suspensas'!$C$22)</f>
        <v>Os resultados da análise química apresentaram uma retenção do produto inferior ao padrão mínimo exigido pela norma ABNT NBR 16143</v>
      </c>
    </row>
    <row r="705" spans="25:70" x14ac:dyDescent="0.25">
      <c r="Y705" s="34" t="str">
        <f>IF(X705='Listas suspensas'!$A$21,'Listas suspensas'!$B$23,IF(X705='Listas suspensas'!$A$22,'Listas suspensas'!$B$23,IF(X705='Listas suspensas'!$A$23,'Listas suspensas'!$B$22,IF(X705='Listas suspensas'!$A$26,'Listas suspensas'!$B$22,IF(X705='Listas suspensas'!$A$32,'Listas suspensas'!$B$22,IF(X705='Listas suspensas'!$A$33,'Listas suspensas'!$B$21,IF(X705='Listas suspensas'!$A$24,'Listas suspensas'!$B$22,IF(X705='Listas suspensas'!$A$25,'Listas suspensas'!$B$21,IF(X705='Listas suspensas'!$A$30,'Listas suspensas'!$B$21,"")))))))))</f>
        <v/>
      </c>
      <c r="AB705" s="8" t="str">
        <f>IF(AA705='Listas suspensas'!$A$2,'Listas suspensas'!$B$2,IF(AA705='Listas suspensas'!$A$3,'Listas suspensas'!$B$3,IF(AA705='Listas suspensas'!$A$4,'Listas suspensas'!$B$4,IF(AA705='Listas suspensas'!$A$5,'Listas suspensas'!$B$5,IF(AA705='Listas suspensas'!$A$6,'Listas suspensas'!$B$6,"")))))</f>
        <v/>
      </c>
      <c r="AC705" s="8" t="str">
        <f>IF(AA705='Listas suspensas'!$A$2,'Listas suspensas'!$C$2,IF(AA705='Listas suspensas'!$A$3,'Listas suspensas'!$C$3,IF(AA705='Listas suspensas'!$A$4,'Listas suspensas'!$C$4,IF(AA705='Listas suspensas'!$A$5,'Listas suspensas'!$C$5,IF(AA705='Listas suspensas'!$A$6,'Listas suspensas'!$C$6,"")))))</f>
        <v/>
      </c>
      <c r="BE705" s="18">
        <f t="shared" si="113"/>
        <v>0</v>
      </c>
      <c r="BI705" s="13">
        <f t="shared" si="107"/>
        <v>0</v>
      </c>
      <c r="BM705" s="16">
        <f t="shared" si="108"/>
        <v>0</v>
      </c>
      <c r="BN705" s="21">
        <f t="shared" si="109"/>
        <v>0</v>
      </c>
      <c r="BO705" s="21">
        <f t="shared" si="110"/>
        <v>0</v>
      </c>
      <c r="BP705" s="21">
        <f t="shared" si="111"/>
        <v>0</v>
      </c>
      <c r="BQ705" s="14">
        <f t="shared" si="112"/>
        <v>0</v>
      </c>
      <c r="BR705" s="22" t="str">
        <f>IF(OR(AND(X705="Mourões", BQ705&gt;=6.5),AND(X705="Postes", BQ705&gt;=9.6),AND(X705="Dormentes", BQ705&gt;=9.6),AND(X705="Estacas - Solo", BQ705&gt;=6.5),AND(X705="Estacas - Suspenso", BQ705&gt;=4),AND(X705="Cruzetas", BQ705&gt;=6.5),AND(X705="Outros - Solo", BQ705&gt;=6.5),AND(X705="Outros - Suspenso",BQ705&gt;=4),AND(X705="Deck",BQ705&gt;=4)),'Listas suspensas'!$C$21,'Listas suspensas'!$C$22)</f>
        <v>Os resultados da análise química apresentaram uma retenção do produto inferior ao padrão mínimo exigido pela norma ABNT NBR 16143</v>
      </c>
    </row>
    <row r="706" spans="25:70" x14ac:dyDescent="0.25">
      <c r="Y706" s="34" t="str">
        <f>IF(X706='Listas suspensas'!$A$21,'Listas suspensas'!$B$23,IF(X706='Listas suspensas'!$A$22,'Listas suspensas'!$B$23,IF(X706='Listas suspensas'!$A$23,'Listas suspensas'!$B$22,IF(X706='Listas suspensas'!$A$26,'Listas suspensas'!$B$22,IF(X706='Listas suspensas'!$A$32,'Listas suspensas'!$B$22,IF(X706='Listas suspensas'!$A$33,'Listas suspensas'!$B$21,IF(X706='Listas suspensas'!$A$24,'Listas suspensas'!$B$22,IF(X706='Listas suspensas'!$A$25,'Listas suspensas'!$B$21,IF(X706='Listas suspensas'!$A$30,'Listas suspensas'!$B$21,"")))))))))</f>
        <v/>
      </c>
      <c r="AB706" s="8" t="str">
        <f>IF(AA706='Listas suspensas'!$A$2,'Listas suspensas'!$B$2,IF(AA706='Listas suspensas'!$A$3,'Listas suspensas'!$B$3,IF(AA706='Listas suspensas'!$A$4,'Listas suspensas'!$B$4,IF(AA706='Listas suspensas'!$A$5,'Listas suspensas'!$B$5,IF(AA706='Listas suspensas'!$A$6,'Listas suspensas'!$B$6,"")))))</f>
        <v/>
      </c>
      <c r="AC706" s="8" t="str">
        <f>IF(AA706='Listas suspensas'!$A$2,'Listas suspensas'!$C$2,IF(AA706='Listas suspensas'!$A$3,'Listas suspensas'!$C$3,IF(AA706='Listas suspensas'!$A$4,'Listas suspensas'!$C$4,IF(AA706='Listas suspensas'!$A$5,'Listas suspensas'!$C$5,IF(AA706='Listas suspensas'!$A$6,'Listas suspensas'!$C$6,"")))))</f>
        <v/>
      </c>
      <c r="BE706" s="18">
        <f t="shared" si="113"/>
        <v>0</v>
      </c>
      <c r="BI706" s="13">
        <f t="shared" si="107"/>
        <v>0</v>
      </c>
      <c r="BM706" s="16">
        <f t="shared" si="108"/>
        <v>0</v>
      </c>
      <c r="BN706" s="21">
        <f t="shared" si="109"/>
        <v>0</v>
      </c>
      <c r="BO706" s="21">
        <f t="shared" si="110"/>
        <v>0</v>
      </c>
      <c r="BP706" s="21">
        <f t="shared" si="111"/>
        <v>0</v>
      </c>
      <c r="BQ706" s="14">
        <f t="shared" si="112"/>
        <v>0</v>
      </c>
      <c r="BR706" s="22" t="str">
        <f>IF(OR(AND(X706="Mourões", BQ706&gt;=6.5),AND(X706="Postes", BQ706&gt;=9.6),AND(X706="Dormentes", BQ706&gt;=9.6),AND(X706="Estacas - Solo", BQ706&gt;=6.5),AND(X706="Estacas - Suspenso", BQ706&gt;=4),AND(X706="Cruzetas", BQ706&gt;=6.5),AND(X706="Outros - Solo", BQ706&gt;=6.5),AND(X706="Outros - Suspenso",BQ706&gt;=4),AND(X706="Deck",BQ706&gt;=4)),'Listas suspensas'!$C$21,'Listas suspensas'!$C$22)</f>
        <v>Os resultados da análise química apresentaram uma retenção do produto inferior ao padrão mínimo exigido pela norma ABNT NBR 16143</v>
      </c>
    </row>
    <row r="707" spans="25:70" x14ac:dyDescent="0.25">
      <c r="Y707" s="34" t="str">
        <f>IF(X707='Listas suspensas'!$A$21,'Listas suspensas'!$B$23,IF(X707='Listas suspensas'!$A$22,'Listas suspensas'!$B$23,IF(X707='Listas suspensas'!$A$23,'Listas suspensas'!$B$22,IF(X707='Listas suspensas'!$A$26,'Listas suspensas'!$B$22,IF(X707='Listas suspensas'!$A$32,'Listas suspensas'!$B$22,IF(X707='Listas suspensas'!$A$33,'Listas suspensas'!$B$21,IF(X707='Listas suspensas'!$A$24,'Listas suspensas'!$B$22,IF(X707='Listas suspensas'!$A$25,'Listas suspensas'!$B$21,IF(X707='Listas suspensas'!$A$30,'Listas suspensas'!$B$21,"")))))))))</f>
        <v/>
      </c>
      <c r="AB707" s="8" t="str">
        <f>IF(AA707='Listas suspensas'!$A$2,'Listas suspensas'!$B$2,IF(AA707='Listas suspensas'!$A$3,'Listas suspensas'!$B$3,IF(AA707='Listas suspensas'!$A$4,'Listas suspensas'!$B$4,IF(AA707='Listas suspensas'!$A$5,'Listas suspensas'!$B$5,IF(AA707='Listas suspensas'!$A$6,'Listas suspensas'!$B$6,"")))))</f>
        <v/>
      </c>
      <c r="AC707" s="8" t="str">
        <f>IF(AA707='Listas suspensas'!$A$2,'Listas suspensas'!$C$2,IF(AA707='Listas suspensas'!$A$3,'Listas suspensas'!$C$3,IF(AA707='Listas suspensas'!$A$4,'Listas suspensas'!$C$4,IF(AA707='Listas suspensas'!$A$5,'Listas suspensas'!$C$5,IF(AA707='Listas suspensas'!$A$6,'Listas suspensas'!$C$6,"")))))</f>
        <v/>
      </c>
      <c r="BE707" s="18">
        <f t="shared" si="113"/>
        <v>0</v>
      </c>
      <c r="BI707" s="13">
        <f t="shared" ref="BI707:BI770" si="114">SUM(BF707:BH707)</f>
        <v>0</v>
      </c>
      <c r="BM707" s="16">
        <f t="shared" si="108"/>
        <v>0</v>
      </c>
      <c r="BN707" s="21">
        <f t="shared" si="109"/>
        <v>0</v>
      </c>
      <c r="BO707" s="21">
        <f t="shared" si="110"/>
        <v>0</v>
      </c>
      <c r="BP707" s="21">
        <f t="shared" si="111"/>
        <v>0</v>
      </c>
      <c r="BQ707" s="14">
        <f t="shared" si="112"/>
        <v>0</v>
      </c>
      <c r="BR707" s="22" t="str">
        <f>IF(OR(AND(X707="Mourões", BQ707&gt;=6.5),AND(X707="Postes", BQ707&gt;=9.6),AND(X707="Dormentes", BQ707&gt;=9.6),AND(X707="Estacas - Solo", BQ707&gt;=6.5),AND(X707="Estacas - Suspenso", BQ707&gt;=4),AND(X707="Cruzetas", BQ707&gt;=6.5),AND(X707="Outros - Solo", BQ707&gt;=6.5),AND(X707="Outros - Suspenso",BQ707&gt;=4),AND(X707="Deck",BQ707&gt;=4)),'Listas suspensas'!$C$21,'Listas suspensas'!$C$22)</f>
        <v>Os resultados da análise química apresentaram uma retenção do produto inferior ao padrão mínimo exigido pela norma ABNT NBR 16143</v>
      </c>
    </row>
    <row r="708" spans="25:70" x14ac:dyDescent="0.25">
      <c r="Y708" s="34" t="str">
        <f>IF(X708='Listas suspensas'!$A$21,'Listas suspensas'!$B$23,IF(X708='Listas suspensas'!$A$22,'Listas suspensas'!$B$23,IF(X708='Listas suspensas'!$A$23,'Listas suspensas'!$B$22,IF(X708='Listas suspensas'!$A$26,'Listas suspensas'!$B$22,IF(X708='Listas suspensas'!$A$32,'Listas suspensas'!$B$22,IF(X708='Listas suspensas'!$A$33,'Listas suspensas'!$B$21,IF(X708='Listas suspensas'!$A$24,'Listas suspensas'!$B$22,IF(X708='Listas suspensas'!$A$25,'Listas suspensas'!$B$21,IF(X708='Listas suspensas'!$A$30,'Listas suspensas'!$B$21,"")))))))))</f>
        <v/>
      </c>
      <c r="AB708" s="8" t="str">
        <f>IF(AA708='Listas suspensas'!$A$2,'Listas suspensas'!$B$2,IF(AA708='Listas suspensas'!$A$3,'Listas suspensas'!$B$3,IF(AA708='Listas suspensas'!$A$4,'Listas suspensas'!$B$4,IF(AA708='Listas suspensas'!$A$5,'Listas suspensas'!$B$5,IF(AA708='Listas suspensas'!$A$6,'Listas suspensas'!$B$6,"")))))</f>
        <v/>
      </c>
      <c r="AC708" s="8" t="str">
        <f>IF(AA708='Listas suspensas'!$A$2,'Listas suspensas'!$C$2,IF(AA708='Listas suspensas'!$A$3,'Listas suspensas'!$C$3,IF(AA708='Listas suspensas'!$A$4,'Listas suspensas'!$C$4,IF(AA708='Listas suspensas'!$A$5,'Listas suspensas'!$C$5,IF(AA708='Listas suspensas'!$A$6,'Listas suspensas'!$C$6,"")))))</f>
        <v/>
      </c>
      <c r="BE708" s="18">
        <f t="shared" si="113"/>
        <v>0</v>
      </c>
      <c r="BI708" s="13">
        <f t="shared" si="114"/>
        <v>0</v>
      </c>
      <c r="BM708" s="16">
        <f t="shared" si="108"/>
        <v>0</v>
      </c>
      <c r="BN708" s="21">
        <f t="shared" si="109"/>
        <v>0</v>
      </c>
      <c r="BO708" s="21">
        <f t="shared" si="110"/>
        <v>0</v>
      </c>
      <c r="BP708" s="21">
        <f t="shared" si="111"/>
        <v>0</v>
      </c>
      <c r="BQ708" s="14">
        <f t="shared" si="112"/>
        <v>0</v>
      </c>
      <c r="BR708" s="22" t="str">
        <f>IF(OR(AND(X708="Mourões", BQ708&gt;=6.5),AND(X708="Postes", BQ708&gt;=9.6),AND(X708="Dormentes", BQ708&gt;=9.6),AND(X708="Estacas - Solo", BQ708&gt;=6.5),AND(X708="Estacas - Suspenso", BQ708&gt;=4),AND(X708="Cruzetas", BQ708&gt;=6.5),AND(X708="Outros - Solo", BQ708&gt;=6.5),AND(X708="Outros - Suspenso",BQ708&gt;=4),AND(X708="Deck",BQ708&gt;=4)),'Listas suspensas'!$C$21,'Listas suspensas'!$C$22)</f>
        <v>Os resultados da análise química apresentaram uma retenção do produto inferior ao padrão mínimo exigido pela norma ABNT NBR 16143</v>
      </c>
    </row>
    <row r="709" spans="25:70" x14ac:dyDescent="0.25">
      <c r="Y709" s="34" t="str">
        <f>IF(X709='Listas suspensas'!$A$21,'Listas suspensas'!$B$23,IF(X709='Listas suspensas'!$A$22,'Listas suspensas'!$B$23,IF(X709='Listas suspensas'!$A$23,'Listas suspensas'!$B$22,IF(X709='Listas suspensas'!$A$26,'Listas suspensas'!$B$22,IF(X709='Listas suspensas'!$A$32,'Listas suspensas'!$B$22,IF(X709='Listas suspensas'!$A$33,'Listas suspensas'!$B$21,IF(X709='Listas suspensas'!$A$24,'Listas suspensas'!$B$22,IF(X709='Listas suspensas'!$A$25,'Listas suspensas'!$B$21,IF(X709='Listas suspensas'!$A$30,'Listas suspensas'!$B$21,"")))))))))</f>
        <v/>
      </c>
      <c r="AB709" s="8" t="str">
        <f>IF(AA709='Listas suspensas'!$A$2,'Listas suspensas'!$B$2,IF(AA709='Listas suspensas'!$A$3,'Listas suspensas'!$B$3,IF(AA709='Listas suspensas'!$A$4,'Listas suspensas'!$B$4,IF(AA709='Listas suspensas'!$A$5,'Listas suspensas'!$B$5,IF(AA709='Listas suspensas'!$A$6,'Listas suspensas'!$B$6,"")))))</f>
        <v/>
      </c>
      <c r="AC709" s="8" t="str">
        <f>IF(AA709='Listas suspensas'!$A$2,'Listas suspensas'!$C$2,IF(AA709='Listas suspensas'!$A$3,'Listas suspensas'!$C$3,IF(AA709='Listas suspensas'!$A$4,'Listas suspensas'!$C$4,IF(AA709='Listas suspensas'!$A$5,'Listas suspensas'!$C$5,IF(AA709='Listas suspensas'!$A$6,'Listas suspensas'!$C$6,"")))))</f>
        <v/>
      </c>
      <c r="BE709" s="18">
        <f t="shared" si="113"/>
        <v>0</v>
      </c>
      <c r="BI709" s="13">
        <f t="shared" si="114"/>
        <v>0</v>
      </c>
      <c r="BM709" s="16">
        <f t="shared" si="108"/>
        <v>0</v>
      </c>
      <c r="BN709" s="21">
        <f t="shared" si="109"/>
        <v>0</v>
      </c>
      <c r="BO709" s="21">
        <f t="shared" si="110"/>
        <v>0</v>
      </c>
      <c r="BP709" s="21">
        <f t="shared" si="111"/>
        <v>0</v>
      </c>
      <c r="BQ709" s="14">
        <f t="shared" si="112"/>
        <v>0</v>
      </c>
      <c r="BR709" s="22" t="str">
        <f>IF(OR(AND(X709="Mourões", BQ709&gt;=6.5),AND(X709="Postes", BQ709&gt;=9.6),AND(X709="Dormentes", BQ709&gt;=9.6),AND(X709="Estacas - Solo", BQ709&gt;=6.5),AND(X709="Estacas - Suspenso", BQ709&gt;=4),AND(X709="Cruzetas", BQ709&gt;=6.5),AND(X709="Outros - Solo", BQ709&gt;=6.5),AND(X709="Outros - Suspenso",BQ709&gt;=4),AND(X709="Deck",BQ709&gt;=4)),'Listas suspensas'!$C$21,'Listas suspensas'!$C$22)</f>
        <v>Os resultados da análise química apresentaram uma retenção do produto inferior ao padrão mínimo exigido pela norma ABNT NBR 16143</v>
      </c>
    </row>
    <row r="710" spans="25:70" x14ac:dyDescent="0.25">
      <c r="Y710" s="34" t="str">
        <f>IF(X710='Listas suspensas'!$A$21,'Listas suspensas'!$B$23,IF(X710='Listas suspensas'!$A$22,'Listas suspensas'!$B$23,IF(X710='Listas suspensas'!$A$23,'Listas suspensas'!$B$22,IF(X710='Listas suspensas'!$A$26,'Listas suspensas'!$B$22,IF(X710='Listas suspensas'!$A$32,'Listas suspensas'!$B$22,IF(X710='Listas suspensas'!$A$33,'Listas suspensas'!$B$21,IF(X710='Listas suspensas'!$A$24,'Listas suspensas'!$B$22,IF(X710='Listas suspensas'!$A$25,'Listas suspensas'!$B$21,IF(X710='Listas suspensas'!$A$30,'Listas suspensas'!$B$21,"")))))))))</f>
        <v/>
      </c>
      <c r="AB710" s="8" t="str">
        <f>IF(AA710='Listas suspensas'!$A$2,'Listas suspensas'!$B$2,IF(AA710='Listas suspensas'!$A$3,'Listas suspensas'!$B$3,IF(AA710='Listas suspensas'!$A$4,'Listas suspensas'!$B$4,IF(AA710='Listas suspensas'!$A$5,'Listas suspensas'!$B$5,IF(AA710='Listas suspensas'!$A$6,'Listas suspensas'!$B$6,"")))))</f>
        <v/>
      </c>
      <c r="AC710" s="8" t="str">
        <f>IF(AA710='Listas suspensas'!$A$2,'Listas suspensas'!$C$2,IF(AA710='Listas suspensas'!$A$3,'Listas suspensas'!$C$3,IF(AA710='Listas suspensas'!$A$4,'Listas suspensas'!$C$4,IF(AA710='Listas suspensas'!$A$5,'Listas suspensas'!$C$5,IF(AA710='Listas suspensas'!$A$6,'Listas suspensas'!$C$6,"")))))</f>
        <v/>
      </c>
      <c r="BE710" s="18">
        <f t="shared" si="113"/>
        <v>0</v>
      </c>
      <c r="BI710" s="13">
        <f t="shared" si="114"/>
        <v>0</v>
      </c>
      <c r="BM710" s="16">
        <f t="shared" si="108"/>
        <v>0</v>
      </c>
      <c r="BN710" s="21">
        <f t="shared" si="109"/>
        <v>0</v>
      </c>
      <c r="BO710" s="21">
        <f t="shared" si="110"/>
        <v>0</v>
      </c>
      <c r="BP710" s="21">
        <f t="shared" si="111"/>
        <v>0</v>
      </c>
      <c r="BQ710" s="14">
        <f t="shared" si="112"/>
        <v>0</v>
      </c>
      <c r="BR710" s="22" t="str">
        <f>IF(OR(AND(X710="Mourões", BQ710&gt;=6.5),AND(X710="Postes", BQ710&gt;=9.6),AND(X710="Dormentes", BQ710&gt;=9.6),AND(X710="Estacas - Solo", BQ710&gt;=6.5),AND(X710="Estacas - Suspenso", BQ710&gt;=4),AND(X710="Cruzetas", BQ710&gt;=6.5),AND(X710="Outros - Solo", BQ710&gt;=6.5),AND(X710="Outros - Suspenso",BQ710&gt;=4),AND(X710="Deck",BQ710&gt;=4)),'Listas suspensas'!$C$21,'Listas suspensas'!$C$22)</f>
        <v>Os resultados da análise química apresentaram uma retenção do produto inferior ao padrão mínimo exigido pela norma ABNT NBR 16143</v>
      </c>
    </row>
    <row r="711" spans="25:70" x14ac:dyDescent="0.25">
      <c r="Y711" s="34" t="str">
        <f>IF(X711='Listas suspensas'!$A$21,'Listas suspensas'!$B$23,IF(X711='Listas suspensas'!$A$22,'Listas suspensas'!$B$23,IF(X711='Listas suspensas'!$A$23,'Listas suspensas'!$B$22,IF(X711='Listas suspensas'!$A$26,'Listas suspensas'!$B$22,IF(X711='Listas suspensas'!$A$32,'Listas suspensas'!$B$22,IF(X711='Listas suspensas'!$A$33,'Listas suspensas'!$B$21,IF(X711='Listas suspensas'!$A$24,'Listas suspensas'!$B$22,IF(X711='Listas suspensas'!$A$25,'Listas suspensas'!$B$21,IF(X711='Listas suspensas'!$A$30,'Listas suspensas'!$B$21,"")))))))))</f>
        <v/>
      </c>
      <c r="AB711" s="8" t="str">
        <f>IF(AA711='Listas suspensas'!$A$2,'Listas suspensas'!$B$2,IF(AA711='Listas suspensas'!$A$3,'Listas suspensas'!$B$3,IF(AA711='Listas suspensas'!$A$4,'Listas suspensas'!$B$4,IF(AA711='Listas suspensas'!$A$5,'Listas suspensas'!$B$5,IF(AA711='Listas suspensas'!$A$6,'Listas suspensas'!$B$6,"")))))</f>
        <v/>
      </c>
      <c r="AC711" s="8" t="str">
        <f>IF(AA711='Listas suspensas'!$A$2,'Listas suspensas'!$C$2,IF(AA711='Listas suspensas'!$A$3,'Listas suspensas'!$C$3,IF(AA711='Listas suspensas'!$A$4,'Listas suspensas'!$C$4,IF(AA711='Listas suspensas'!$A$5,'Listas suspensas'!$C$5,IF(AA711='Listas suspensas'!$A$6,'Listas suspensas'!$C$6,"")))))</f>
        <v/>
      </c>
      <c r="BE711" s="18">
        <f t="shared" si="113"/>
        <v>0</v>
      </c>
      <c r="BI711" s="13">
        <f t="shared" si="114"/>
        <v>0</v>
      </c>
      <c r="BM711" s="16">
        <f t="shared" si="108"/>
        <v>0</v>
      </c>
      <c r="BN711" s="21">
        <f t="shared" si="109"/>
        <v>0</v>
      </c>
      <c r="BO711" s="21">
        <f t="shared" si="110"/>
        <v>0</v>
      </c>
      <c r="BP711" s="21">
        <f t="shared" si="111"/>
        <v>0</v>
      </c>
      <c r="BQ711" s="14">
        <f t="shared" si="112"/>
        <v>0</v>
      </c>
      <c r="BR711" s="22" t="str">
        <f>IF(OR(AND(X711="Mourões", BQ711&gt;=6.5),AND(X711="Postes", BQ711&gt;=9.6),AND(X711="Dormentes", BQ711&gt;=9.6),AND(X711="Estacas - Solo", BQ711&gt;=6.5),AND(X711="Estacas - Suspenso", BQ711&gt;=4),AND(X711="Cruzetas", BQ711&gt;=6.5),AND(X711="Outros - Solo", BQ711&gt;=6.5),AND(X711="Outros - Suspenso",BQ711&gt;=4),AND(X711="Deck",BQ711&gt;=4)),'Listas suspensas'!$C$21,'Listas suspensas'!$C$22)</f>
        <v>Os resultados da análise química apresentaram uma retenção do produto inferior ao padrão mínimo exigido pela norma ABNT NBR 16143</v>
      </c>
    </row>
    <row r="712" spans="25:70" x14ac:dyDescent="0.25">
      <c r="Y712" s="34" t="str">
        <f>IF(X712='Listas suspensas'!$A$21,'Listas suspensas'!$B$23,IF(X712='Listas suspensas'!$A$22,'Listas suspensas'!$B$23,IF(X712='Listas suspensas'!$A$23,'Listas suspensas'!$B$22,IF(X712='Listas suspensas'!$A$26,'Listas suspensas'!$B$22,IF(X712='Listas suspensas'!$A$32,'Listas suspensas'!$B$22,IF(X712='Listas suspensas'!$A$33,'Listas suspensas'!$B$21,IF(X712='Listas suspensas'!$A$24,'Listas suspensas'!$B$22,IF(X712='Listas suspensas'!$A$25,'Listas suspensas'!$B$21,IF(X712='Listas suspensas'!$A$30,'Listas suspensas'!$B$21,"")))))))))</f>
        <v/>
      </c>
      <c r="AB712" s="8" t="str">
        <f>IF(AA712='Listas suspensas'!$A$2,'Listas suspensas'!$B$2,IF(AA712='Listas suspensas'!$A$3,'Listas suspensas'!$B$3,IF(AA712='Listas suspensas'!$A$4,'Listas suspensas'!$B$4,IF(AA712='Listas suspensas'!$A$5,'Listas suspensas'!$B$5,IF(AA712='Listas suspensas'!$A$6,'Listas suspensas'!$B$6,"")))))</f>
        <v/>
      </c>
      <c r="AC712" s="8" t="str">
        <f>IF(AA712='Listas suspensas'!$A$2,'Listas suspensas'!$C$2,IF(AA712='Listas suspensas'!$A$3,'Listas suspensas'!$C$3,IF(AA712='Listas suspensas'!$A$4,'Listas suspensas'!$C$4,IF(AA712='Listas suspensas'!$A$5,'Listas suspensas'!$C$5,IF(AA712='Listas suspensas'!$A$6,'Listas suspensas'!$C$6,"")))))</f>
        <v/>
      </c>
      <c r="BE712" s="18">
        <f t="shared" si="113"/>
        <v>0</v>
      </c>
      <c r="BI712" s="13">
        <f t="shared" si="114"/>
        <v>0</v>
      </c>
      <c r="BM712" s="16">
        <f t="shared" si="108"/>
        <v>0</v>
      </c>
      <c r="BN712" s="21">
        <f t="shared" si="109"/>
        <v>0</v>
      </c>
      <c r="BO712" s="21">
        <f t="shared" si="110"/>
        <v>0</v>
      </c>
      <c r="BP712" s="21">
        <f t="shared" si="111"/>
        <v>0</v>
      </c>
      <c r="BQ712" s="14">
        <f t="shared" si="112"/>
        <v>0</v>
      </c>
      <c r="BR712" s="22" t="str">
        <f>IF(OR(AND(X712="Mourões", BQ712&gt;=6.5),AND(X712="Postes", BQ712&gt;=9.6),AND(X712="Dormentes", BQ712&gt;=9.6),AND(X712="Estacas - Solo", BQ712&gt;=6.5),AND(X712="Estacas - Suspenso", BQ712&gt;=4),AND(X712="Cruzetas", BQ712&gt;=6.5),AND(X712="Outros - Solo", BQ712&gt;=6.5),AND(X712="Outros - Suspenso",BQ712&gt;=4),AND(X712="Deck",BQ712&gt;=4)),'Listas suspensas'!$C$21,'Listas suspensas'!$C$22)</f>
        <v>Os resultados da análise química apresentaram uma retenção do produto inferior ao padrão mínimo exigido pela norma ABNT NBR 16143</v>
      </c>
    </row>
    <row r="713" spans="25:70" x14ac:dyDescent="0.25">
      <c r="Y713" s="34" t="str">
        <f>IF(X713='Listas suspensas'!$A$21,'Listas suspensas'!$B$23,IF(X713='Listas suspensas'!$A$22,'Listas suspensas'!$B$23,IF(X713='Listas suspensas'!$A$23,'Listas suspensas'!$B$22,IF(X713='Listas suspensas'!$A$26,'Listas suspensas'!$B$22,IF(X713='Listas suspensas'!$A$32,'Listas suspensas'!$B$22,IF(X713='Listas suspensas'!$A$33,'Listas suspensas'!$B$21,IF(X713='Listas suspensas'!$A$24,'Listas suspensas'!$B$22,IF(X713='Listas suspensas'!$A$25,'Listas suspensas'!$B$21,IF(X713='Listas suspensas'!$A$30,'Listas suspensas'!$B$21,"")))))))))</f>
        <v/>
      </c>
      <c r="AB713" s="8" t="str">
        <f>IF(AA713='Listas suspensas'!$A$2,'Listas suspensas'!$B$2,IF(AA713='Listas suspensas'!$A$3,'Listas suspensas'!$B$3,IF(AA713='Listas suspensas'!$A$4,'Listas suspensas'!$B$4,IF(AA713='Listas suspensas'!$A$5,'Listas suspensas'!$B$5,IF(AA713='Listas suspensas'!$A$6,'Listas suspensas'!$B$6,"")))))</f>
        <v/>
      </c>
      <c r="AC713" s="8" t="str">
        <f>IF(AA713='Listas suspensas'!$A$2,'Listas suspensas'!$C$2,IF(AA713='Listas suspensas'!$A$3,'Listas suspensas'!$C$3,IF(AA713='Listas suspensas'!$A$4,'Listas suspensas'!$C$4,IF(AA713='Listas suspensas'!$A$5,'Listas suspensas'!$C$5,IF(AA713='Listas suspensas'!$A$6,'Listas suspensas'!$C$6,"")))))</f>
        <v/>
      </c>
      <c r="BE713" s="18">
        <f t="shared" si="113"/>
        <v>0</v>
      </c>
      <c r="BI713" s="13">
        <f t="shared" si="114"/>
        <v>0</v>
      </c>
      <c r="BM713" s="16">
        <f t="shared" si="108"/>
        <v>0</v>
      </c>
      <c r="BN713" s="21">
        <f t="shared" si="109"/>
        <v>0</v>
      </c>
      <c r="BO713" s="21">
        <f t="shared" si="110"/>
        <v>0</v>
      </c>
      <c r="BP713" s="21">
        <f t="shared" si="111"/>
        <v>0</v>
      </c>
      <c r="BQ713" s="14">
        <f t="shared" si="112"/>
        <v>0</v>
      </c>
      <c r="BR713" s="22" t="str">
        <f>IF(OR(AND(X713="Mourões", BQ713&gt;=6.5),AND(X713="Postes", BQ713&gt;=9.6),AND(X713="Dormentes", BQ713&gt;=9.6),AND(X713="Estacas - Solo", BQ713&gt;=6.5),AND(X713="Estacas - Suspenso", BQ713&gt;=4),AND(X713="Cruzetas", BQ713&gt;=6.5),AND(X713="Outros - Solo", BQ713&gt;=6.5),AND(X713="Outros - Suspenso",BQ713&gt;=4),AND(X713="Deck",BQ713&gt;=4)),'Listas suspensas'!$C$21,'Listas suspensas'!$C$22)</f>
        <v>Os resultados da análise química apresentaram uma retenção do produto inferior ao padrão mínimo exigido pela norma ABNT NBR 16143</v>
      </c>
    </row>
    <row r="714" spans="25:70" x14ac:dyDescent="0.25">
      <c r="Y714" s="34" t="str">
        <f>IF(X714='Listas suspensas'!$A$21,'Listas suspensas'!$B$23,IF(X714='Listas suspensas'!$A$22,'Listas suspensas'!$B$23,IF(X714='Listas suspensas'!$A$23,'Listas suspensas'!$B$22,IF(X714='Listas suspensas'!$A$26,'Listas suspensas'!$B$22,IF(X714='Listas suspensas'!$A$32,'Listas suspensas'!$B$22,IF(X714='Listas suspensas'!$A$33,'Listas suspensas'!$B$21,IF(X714='Listas suspensas'!$A$24,'Listas suspensas'!$B$22,IF(X714='Listas suspensas'!$A$25,'Listas suspensas'!$B$21,IF(X714='Listas suspensas'!$A$30,'Listas suspensas'!$B$21,"")))))))))</f>
        <v/>
      </c>
      <c r="AB714" s="8" t="str">
        <f>IF(AA714='Listas suspensas'!$A$2,'Listas suspensas'!$B$2,IF(AA714='Listas suspensas'!$A$3,'Listas suspensas'!$B$3,IF(AA714='Listas suspensas'!$A$4,'Listas suspensas'!$B$4,IF(AA714='Listas suspensas'!$A$5,'Listas suspensas'!$B$5,IF(AA714='Listas suspensas'!$A$6,'Listas suspensas'!$B$6,"")))))</f>
        <v/>
      </c>
      <c r="AC714" s="8" t="str">
        <f>IF(AA714='Listas suspensas'!$A$2,'Listas suspensas'!$C$2,IF(AA714='Listas suspensas'!$A$3,'Listas suspensas'!$C$3,IF(AA714='Listas suspensas'!$A$4,'Listas suspensas'!$C$4,IF(AA714='Listas suspensas'!$A$5,'Listas suspensas'!$C$5,IF(AA714='Listas suspensas'!$A$6,'Listas suspensas'!$C$6,"")))))</f>
        <v/>
      </c>
      <c r="BE714" s="18">
        <f t="shared" si="113"/>
        <v>0</v>
      </c>
      <c r="BI714" s="13">
        <f t="shared" si="114"/>
        <v>0</v>
      </c>
      <c r="BM714" s="16">
        <f t="shared" si="108"/>
        <v>0</v>
      </c>
      <c r="BN714" s="21">
        <f t="shared" si="109"/>
        <v>0</v>
      </c>
      <c r="BO714" s="21">
        <f t="shared" si="110"/>
        <v>0</v>
      </c>
      <c r="BP714" s="21">
        <f t="shared" si="111"/>
        <v>0</v>
      </c>
      <c r="BQ714" s="14">
        <f t="shared" si="112"/>
        <v>0</v>
      </c>
      <c r="BR714" s="22" t="str">
        <f>IF(OR(AND(X714="Mourões", BQ714&gt;=6.5),AND(X714="Postes", BQ714&gt;=9.6),AND(X714="Dormentes", BQ714&gt;=9.6),AND(X714="Estacas - Solo", BQ714&gt;=6.5),AND(X714="Estacas - Suspenso", BQ714&gt;=4),AND(X714="Cruzetas", BQ714&gt;=6.5),AND(X714="Outros - Solo", BQ714&gt;=6.5),AND(X714="Outros - Suspenso",BQ714&gt;=4),AND(X714="Deck",BQ714&gt;=4)),'Listas suspensas'!$C$21,'Listas suspensas'!$C$22)</f>
        <v>Os resultados da análise química apresentaram uma retenção do produto inferior ao padrão mínimo exigido pela norma ABNT NBR 16143</v>
      </c>
    </row>
    <row r="715" spans="25:70" x14ac:dyDescent="0.25">
      <c r="Y715" s="34" t="str">
        <f>IF(X715='Listas suspensas'!$A$21,'Listas suspensas'!$B$23,IF(X715='Listas suspensas'!$A$22,'Listas suspensas'!$B$23,IF(X715='Listas suspensas'!$A$23,'Listas suspensas'!$B$22,IF(X715='Listas suspensas'!$A$26,'Listas suspensas'!$B$22,IF(X715='Listas suspensas'!$A$32,'Listas suspensas'!$B$22,IF(X715='Listas suspensas'!$A$33,'Listas suspensas'!$B$21,IF(X715='Listas suspensas'!$A$24,'Listas suspensas'!$B$22,IF(X715='Listas suspensas'!$A$25,'Listas suspensas'!$B$21,IF(X715='Listas suspensas'!$A$30,'Listas suspensas'!$B$21,"")))))))))</f>
        <v/>
      </c>
      <c r="AB715" s="8" t="str">
        <f>IF(AA715='Listas suspensas'!$A$2,'Listas suspensas'!$B$2,IF(AA715='Listas suspensas'!$A$3,'Listas suspensas'!$B$3,IF(AA715='Listas suspensas'!$A$4,'Listas suspensas'!$B$4,IF(AA715='Listas suspensas'!$A$5,'Listas suspensas'!$B$5,IF(AA715='Listas suspensas'!$A$6,'Listas suspensas'!$B$6,"")))))</f>
        <v/>
      </c>
      <c r="AC715" s="8" t="str">
        <f>IF(AA715='Listas suspensas'!$A$2,'Listas suspensas'!$C$2,IF(AA715='Listas suspensas'!$A$3,'Listas suspensas'!$C$3,IF(AA715='Listas suspensas'!$A$4,'Listas suspensas'!$C$4,IF(AA715='Listas suspensas'!$A$5,'Listas suspensas'!$C$5,IF(AA715='Listas suspensas'!$A$6,'Listas suspensas'!$C$6,"")))))</f>
        <v/>
      </c>
      <c r="BE715" s="18">
        <f t="shared" si="113"/>
        <v>0</v>
      </c>
      <c r="BI715" s="13">
        <f t="shared" si="114"/>
        <v>0</v>
      </c>
      <c r="BM715" s="16">
        <f t="shared" si="108"/>
        <v>0</v>
      </c>
      <c r="BN715" s="21">
        <f t="shared" si="109"/>
        <v>0</v>
      </c>
      <c r="BO715" s="21">
        <f t="shared" si="110"/>
        <v>0</v>
      </c>
      <c r="BP715" s="21">
        <f t="shared" si="111"/>
        <v>0</v>
      </c>
      <c r="BQ715" s="14">
        <f t="shared" si="112"/>
        <v>0</v>
      </c>
      <c r="BR715" s="22" t="str">
        <f>IF(OR(AND(X715="Mourões", BQ715&gt;=6.5),AND(X715="Postes", BQ715&gt;=9.6),AND(X715="Dormentes", BQ715&gt;=9.6),AND(X715="Estacas - Solo", BQ715&gt;=6.5),AND(X715="Estacas - Suspenso", BQ715&gt;=4),AND(X715="Cruzetas", BQ715&gt;=6.5),AND(X715="Outros - Solo", BQ715&gt;=6.5),AND(X715="Outros - Suspenso",BQ715&gt;=4),AND(X715="Deck",BQ715&gt;=4)),'Listas suspensas'!$C$21,'Listas suspensas'!$C$22)</f>
        <v>Os resultados da análise química apresentaram uma retenção do produto inferior ao padrão mínimo exigido pela norma ABNT NBR 16143</v>
      </c>
    </row>
    <row r="716" spans="25:70" x14ac:dyDescent="0.25">
      <c r="Y716" s="34" t="str">
        <f>IF(X716='Listas suspensas'!$A$21,'Listas suspensas'!$B$23,IF(X716='Listas suspensas'!$A$22,'Listas suspensas'!$B$23,IF(X716='Listas suspensas'!$A$23,'Listas suspensas'!$B$22,IF(X716='Listas suspensas'!$A$26,'Listas suspensas'!$B$22,IF(X716='Listas suspensas'!$A$32,'Listas suspensas'!$B$22,IF(X716='Listas suspensas'!$A$33,'Listas suspensas'!$B$21,IF(X716='Listas suspensas'!$A$24,'Listas suspensas'!$B$22,IF(X716='Listas suspensas'!$A$25,'Listas suspensas'!$B$21,IF(X716='Listas suspensas'!$A$30,'Listas suspensas'!$B$21,"")))))))))</f>
        <v/>
      </c>
      <c r="AB716" s="8" t="str">
        <f>IF(AA716='Listas suspensas'!$A$2,'Listas suspensas'!$B$2,IF(AA716='Listas suspensas'!$A$3,'Listas suspensas'!$B$3,IF(AA716='Listas suspensas'!$A$4,'Listas suspensas'!$B$4,IF(AA716='Listas suspensas'!$A$5,'Listas suspensas'!$B$5,IF(AA716='Listas suspensas'!$A$6,'Listas suspensas'!$B$6,"")))))</f>
        <v/>
      </c>
      <c r="AC716" s="8" t="str">
        <f>IF(AA716='Listas suspensas'!$A$2,'Listas suspensas'!$C$2,IF(AA716='Listas suspensas'!$A$3,'Listas suspensas'!$C$3,IF(AA716='Listas suspensas'!$A$4,'Listas suspensas'!$C$4,IF(AA716='Listas suspensas'!$A$5,'Listas suspensas'!$C$5,IF(AA716='Listas suspensas'!$A$6,'Listas suspensas'!$C$6,"")))))</f>
        <v/>
      </c>
      <c r="BE716" s="18">
        <f t="shared" si="113"/>
        <v>0</v>
      </c>
      <c r="BI716" s="13">
        <f t="shared" si="114"/>
        <v>0</v>
      </c>
      <c r="BM716" s="16">
        <f t="shared" si="108"/>
        <v>0</v>
      </c>
      <c r="BN716" s="21">
        <f t="shared" si="109"/>
        <v>0</v>
      </c>
      <c r="BO716" s="21">
        <f t="shared" si="110"/>
        <v>0</v>
      </c>
      <c r="BP716" s="21">
        <f t="shared" si="111"/>
        <v>0</v>
      </c>
      <c r="BQ716" s="14">
        <f t="shared" si="112"/>
        <v>0</v>
      </c>
      <c r="BR716" s="22" t="str">
        <f>IF(OR(AND(X716="Mourões", BQ716&gt;=6.5),AND(X716="Postes", BQ716&gt;=9.6),AND(X716="Dormentes", BQ716&gt;=9.6),AND(X716="Estacas - Solo", BQ716&gt;=6.5),AND(X716="Estacas - Suspenso", BQ716&gt;=4),AND(X716="Cruzetas", BQ716&gt;=6.5),AND(X716="Outros - Solo", BQ716&gt;=6.5),AND(X716="Outros - Suspenso",BQ716&gt;=4),AND(X716="Deck",BQ716&gt;=4)),'Listas suspensas'!$C$21,'Listas suspensas'!$C$22)</f>
        <v>Os resultados da análise química apresentaram uma retenção do produto inferior ao padrão mínimo exigido pela norma ABNT NBR 16143</v>
      </c>
    </row>
    <row r="717" spans="25:70" x14ac:dyDescent="0.25">
      <c r="Y717" s="34" t="str">
        <f>IF(X717='Listas suspensas'!$A$21,'Listas suspensas'!$B$23,IF(X717='Listas suspensas'!$A$22,'Listas suspensas'!$B$23,IF(X717='Listas suspensas'!$A$23,'Listas suspensas'!$B$22,IF(X717='Listas suspensas'!$A$26,'Listas suspensas'!$B$22,IF(X717='Listas suspensas'!$A$32,'Listas suspensas'!$B$22,IF(X717='Listas suspensas'!$A$33,'Listas suspensas'!$B$21,IF(X717='Listas suspensas'!$A$24,'Listas suspensas'!$B$22,IF(X717='Listas suspensas'!$A$25,'Listas suspensas'!$B$21,IF(X717='Listas suspensas'!$A$30,'Listas suspensas'!$B$21,"")))))))))</f>
        <v/>
      </c>
      <c r="AB717" s="8" t="str">
        <f>IF(AA717='Listas suspensas'!$A$2,'Listas suspensas'!$B$2,IF(AA717='Listas suspensas'!$A$3,'Listas suspensas'!$B$3,IF(AA717='Listas suspensas'!$A$4,'Listas suspensas'!$B$4,IF(AA717='Listas suspensas'!$A$5,'Listas suspensas'!$B$5,IF(AA717='Listas suspensas'!$A$6,'Listas suspensas'!$B$6,"")))))</f>
        <v/>
      </c>
      <c r="AC717" s="8" t="str">
        <f>IF(AA717='Listas suspensas'!$A$2,'Listas suspensas'!$C$2,IF(AA717='Listas suspensas'!$A$3,'Listas suspensas'!$C$3,IF(AA717='Listas suspensas'!$A$4,'Listas suspensas'!$C$4,IF(AA717='Listas suspensas'!$A$5,'Listas suspensas'!$C$5,IF(AA717='Listas suspensas'!$A$6,'Listas suspensas'!$C$6,"")))))</f>
        <v/>
      </c>
      <c r="BE717" s="18">
        <f t="shared" si="113"/>
        <v>0</v>
      </c>
      <c r="BI717" s="13">
        <f t="shared" si="114"/>
        <v>0</v>
      </c>
      <c r="BM717" s="16">
        <f t="shared" si="108"/>
        <v>0</v>
      </c>
      <c r="BN717" s="21">
        <f t="shared" si="109"/>
        <v>0</v>
      </c>
      <c r="BO717" s="21">
        <f t="shared" si="110"/>
        <v>0</v>
      </c>
      <c r="BP717" s="21">
        <f t="shared" si="111"/>
        <v>0</v>
      </c>
      <c r="BQ717" s="14">
        <f t="shared" si="112"/>
        <v>0</v>
      </c>
      <c r="BR717" s="22" t="str">
        <f>IF(OR(AND(X717="Mourões", BQ717&gt;=6.5),AND(X717="Postes", BQ717&gt;=9.6),AND(X717="Dormentes", BQ717&gt;=9.6),AND(X717="Estacas - Solo", BQ717&gt;=6.5),AND(X717="Estacas - Suspenso", BQ717&gt;=4),AND(X717="Cruzetas", BQ717&gt;=6.5),AND(X717="Outros - Solo", BQ717&gt;=6.5),AND(X717="Outros - Suspenso",BQ717&gt;=4),AND(X717="Deck",BQ717&gt;=4)),'Listas suspensas'!$C$21,'Listas suspensas'!$C$22)</f>
        <v>Os resultados da análise química apresentaram uma retenção do produto inferior ao padrão mínimo exigido pela norma ABNT NBR 16143</v>
      </c>
    </row>
    <row r="718" spans="25:70" x14ac:dyDescent="0.25">
      <c r="Y718" s="34" t="str">
        <f>IF(X718='Listas suspensas'!$A$21,'Listas suspensas'!$B$23,IF(X718='Listas suspensas'!$A$22,'Listas suspensas'!$B$23,IF(X718='Listas suspensas'!$A$23,'Listas suspensas'!$B$22,IF(X718='Listas suspensas'!$A$26,'Listas suspensas'!$B$22,IF(X718='Listas suspensas'!$A$32,'Listas suspensas'!$B$22,IF(X718='Listas suspensas'!$A$33,'Listas suspensas'!$B$21,IF(X718='Listas suspensas'!$A$24,'Listas suspensas'!$B$22,IF(X718='Listas suspensas'!$A$25,'Listas suspensas'!$B$21,IF(X718='Listas suspensas'!$A$30,'Listas suspensas'!$B$21,"")))))))))</f>
        <v/>
      </c>
      <c r="AB718" s="8" t="str">
        <f>IF(AA718='Listas suspensas'!$A$2,'Listas suspensas'!$B$2,IF(AA718='Listas suspensas'!$A$3,'Listas suspensas'!$B$3,IF(AA718='Listas suspensas'!$A$4,'Listas suspensas'!$B$4,IF(AA718='Listas suspensas'!$A$5,'Listas suspensas'!$B$5,IF(AA718='Listas suspensas'!$A$6,'Listas suspensas'!$B$6,"")))))</f>
        <v/>
      </c>
      <c r="AC718" s="8" t="str">
        <f>IF(AA718='Listas suspensas'!$A$2,'Listas suspensas'!$C$2,IF(AA718='Listas suspensas'!$A$3,'Listas suspensas'!$C$3,IF(AA718='Listas suspensas'!$A$4,'Listas suspensas'!$C$4,IF(AA718='Listas suspensas'!$A$5,'Listas suspensas'!$C$5,IF(AA718='Listas suspensas'!$A$6,'Listas suspensas'!$C$6,"")))))</f>
        <v/>
      </c>
      <c r="BE718" s="18">
        <f t="shared" si="113"/>
        <v>0</v>
      </c>
      <c r="BI718" s="13">
        <f t="shared" si="114"/>
        <v>0</v>
      </c>
      <c r="BM718" s="16">
        <f t="shared" si="108"/>
        <v>0</v>
      </c>
      <c r="BN718" s="21">
        <f t="shared" si="109"/>
        <v>0</v>
      </c>
      <c r="BO718" s="21">
        <f t="shared" si="110"/>
        <v>0</v>
      </c>
      <c r="BP718" s="21">
        <f t="shared" si="111"/>
        <v>0</v>
      </c>
      <c r="BQ718" s="14">
        <f t="shared" si="112"/>
        <v>0</v>
      </c>
      <c r="BR718" s="22" t="str">
        <f>IF(OR(AND(X718="Mourões", BQ718&gt;=6.5),AND(X718="Postes", BQ718&gt;=9.6),AND(X718="Dormentes", BQ718&gt;=9.6),AND(X718="Estacas - Solo", BQ718&gt;=6.5),AND(X718="Estacas - Suspenso", BQ718&gt;=4),AND(X718="Cruzetas", BQ718&gt;=6.5),AND(X718="Outros - Solo", BQ718&gt;=6.5),AND(X718="Outros - Suspenso",BQ718&gt;=4),AND(X718="Deck",BQ718&gt;=4)),'Listas suspensas'!$C$21,'Listas suspensas'!$C$22)</f>
        <v>Os resultados da análise química apresentaram uma retenção do produto inferior ao padrão mínimo exigido pela norma ABNT NBR 16143</v>
      </c>
    </row>
    <row r="719" spans="25:70" x14ac:dyDescent="0.25">
      <c r="Y719" s="34" t="str">
        <f>IF(X719='Listas suspensas'!$A$21,'Listas suspensas'!$B$23,IF(X719='Listas suspensas'!$A$22,'Listas suspensas'!$B$23,IF(X719='Listas suspensas'!$A$23,'Listas suspensas'!$B$22,IF(X719='Listas suspensas'!$A$26,'Listas suspensas'!$B$22,IF(X719='Listas suspensas'!$A$32,'Listas suspensas'!$B$22,IF(X719='Listas suspensas'!$A$33,'Listas suspensas'!$B$21,IF(X719='Listas suspensas'!$A$24,'Listas suspensas'!$B$22,IF(X719='Listas suspensas'!$A$25,'Listas suspensas'!$B$21,IF(X719='Listas suspensas'!$A$30,'Listas suspensas'!$B$21,"")))))))))</f>
        <v/>
      </c>
      <c r="AB719" s="8" t="str">
        <f>IF(AA719='Listas suspensas'!$A$2,'Listas suspensas'!$B$2,IF(AA719='Listas suspensas'!$A$3,'Listas suspensas'!$B$3,IF(AA719='Listas suspensas'!$A$4,'Listas suspensas'!$B$4,IF(AA719='Listas suspensas'!$A$5,'Listas suspensas'!$B$5,IF(AA719='Listas suspensas'!$A$6,'Listas suspensas'!$B$6,"")))))</f>
        <v/>
      </c>
      <c r="AC719" s="8" t="str">
        <f>IF(AA719='Listas suspensas'!$A$2,'Listas suspensas'!$C$2,IF(AA719='Listas suspensas'!$A$3,'Listas suspensas'!$C$3,IF(AA719='Listas suspensas'!$A$4,'Listas suspensas'!$C$4,IF(AA719='Listas suspensas'!$A$5,'Listas suspensas'!$C$5,IF(AA719='Listas suspensas'!$A$6,'Listas suspensas'!$C$6,"")))))</f>
        <v/>
      </c>
      <c r="BE719" s="18">
        <f t="shared" si="113"/>
        <v>0</v>
      </c>
      <c r="BI719" s="13">
        <f t="shared" si="114"/>
        <v>0</v>
      </c>
      <c r="BM719" s="16">
        <f t="shared" si="108"/>
        <v>0</v>
      </c>
      <c r="BN719" s="21">
        <f t="shared" si="109"/>
        <v>0</v>
      </c>
      <c r="BO719" s="21">
        <f t="shared" si="110"/>
        <v>0</v>
      </c>
      <c r="BP719" s="21">
        <f t="shared" si="111"/>
        <v>0</v>
      </c>
      <c r="BQ719" s="14">
        <f t="shared" si="112"/>
        <v>0</v>
      </c>
      <c r="BR719" s="22" t="str">
        <f>IF(OR(AND(X719="Mourões", BQ719&gt;=6.5),AND(X719="Postes", BQ719&gt;=9.6),AND(X719="Dormentes", BQ719&gt;=9.6),AND(X719="Estacas - Solo", BQ719&gt;=6.5),AND(X719="Estacas - Suspenso", BQ719&gt;=4),AND(X719="Cruzetas", BQ719&gt;=6.5),AND(X719="Outros - Solo", BQ719&gt;=6.5),AND(X719="Outros - Suspenso",BQ719&gt;=4),AND(X719="Deck",BQ719&gt;=4)),'Listas suspensas'!$C$21,'Listas suspensas'!$C$22)</f>
        <v>Os resultados da análise química apresentaram uma retenção do produto inferior ao padrão mínimo exigido pela norma ABNT NBR 16143</v>
      </c>
    </row>
    <row r="720" spans="25:70" x14ac:dyDescent="0.25">
      <c r="Y720" s="34" t="str">
        <f>IF(X720='Listas suspensas'!$A$21,'Listas suspensas'!$B$23,IF(X720='Listas suspensas'!$A$22,'Listas suspensas'!$B$23,IF(X720='Listas suspensas'!$A$23,'Listas suspensas'!$B$22,IF(X720='Listas suspensas'!$A$26,'Listas suspensas'!$B$22,IF(X720='Listas suspensas'!$A$32,'Listas suspensas'!$B$22,IF(X720='Listas suspensas'!$A$33,'Listas suspensas'!$B$21,IF(X720='Listas suspensas'!$A$24,'Listas suspensas'!$B$22,IF(X720='Listas suspensas'!$A$25,'Listas suspensas'!$B$21,IF(X720='Listas suspensas'!$A$30,'Listas suspensas'!$B$21,"")))))))))</f>
        <v/>
      </c>
      <c r="AB720" s="8" t="str">
        <f>IF(AA720='Listas suspensas'!$A$2,'Listas suspensas'!$B$2,IF(AA720='Listas suspensas'!$A$3,'Listas suspensas'!$B$3,IF(AA720='Listas suspensas'!$A$4,'Listas suspensas'!$B$4,IF(AA720='Listas suspensas'!$A$5,'Listas suspensas'!$B$5,IF(AA720='Listas suspensas'!$A$6,'Listas suspensas'!$B$6,"")))))</f>
        <v/>
      </c>
      <c r="AC720" s="8" t="str">
        <f>IF(AA720='Listas suspensas'!$A$2,'Listas suspensas'!$C$2,IF(AA720='Listas suspensas'!$A$3,'Listas suspensas'!$C$3,IF(AA720='Listas suspensas'!$A$4,'Listas suspensas'!$C$4,IF(AA720='Listas suspensas'!$A$5,'Listas suspensas'!$C$5,IF(AA720='Listas suspensas'!$A$6,'Listas suspensas'!$C$6,"")))))</f>
        <v/>
      </c>
      <c r="BE720" s="18">
        <f t="shared" si="113"/>
        <v>0</v>
      </c>
      <c r="BI720" s="13">
        <f t="shared" si="114"/>
        <v>0</v>
      </c>
      <c r="BM720" s="16">
        <f t="shared" si="108"/>
        <v>0</v>
      </c>
      <c r="BN720" s="21">
        <f t="shared" si="109"/>
        <v>0</v>
      </c>
      <c r="BO720" s="21">
        <f t="shared" si="110"/>
        <v>0</v>
      </c>
      <c r="BP720" s="21">
        <f t="shared" si="111"/>
        <v>0</v>
      </c>
      <c r="BQ720" s="14">
        <f t="shared" si="112"/>
        <v>0</v>
      </c>
      <c r="BR720" s="22" t="str">
        <f>IF(OR(AND(X720="Mourões", BQ720&gt;=6.5),AND(X720="Postes", BQ720&gt;=9.6),AND(X720="Dormentes", BQ720&gt;=9.6),AND(X720="Estacas - Solo", BQ720&gt;=6.5),AND(X720="Estacas - Suspenso", BQ720&gt;=4),AND(X720="Cruzetas", BQ720&gt;=6.5),AND(X720="Outros - Solo", BQ720&gt;=6.5),AND(X720="Outros - Suspenso",BQ720&gt;=4),AND(X720="Deck",BQ720&gt;=4)),'Listas suspensas'!$C$21,'Listas suspensas'!$C$22)</f>
        <v>Os resultados da análise química apresentaram uma retenção do produto inferior ao padrão mínimo exigido pela norma ABNT NBR 16143</v>
      </c>
    </row>
    <row r="721" spans="25:70" x14ac:dyDescent="0.25">
      <c r="Y721" s="34" t="str">
        <f>IF(X721='Listas suspensas'!$A$21,'Listas suspensas'!$B$23,IF(X721='Listas suspensas'!$A$22,'Listas suspensas'!$B$23,IF(X721='Listas suspensas'!$A$23,'Listas suspensas'!$B$22,IF(X721='Listas suspensas'!$A$26,'Listas suspensas'!$B$22,IF(X721='Listas suspensas'!$A$32,'Listas suspensas'!$B$22,IF(X721='Listas suspensas'!$A$33,'Listas suspensas'!$B$21,IF(X721='Listas suspensas'!$A$24,'Listas suspensas'!$B$22,IF(X721='Listas suspensas'!$A$25,'Listas suspensas'!$B$21,IF(X721='Listas suspensas'!$A$30,'Listas suspensas'!$B$21,"")))))))))</f>
        <v/>
      </c>
      <c r="AB721" s="8" t="str">
        <f>IF(AA721='Listas suspensas'!$A$2,'Listas suspensas'!$B$2,IF(AA721='Listas suspensas'!$A$3,'Listas suspensas'!$B$3,IF(AA721='Listas suspensas'!$A$4,'Listas suspensas'!$B$4,IF(AA721='Listas suspensas'!$A$5,'Listas suspensas'!$B$5,IF(AA721='Listas suspensas'!$A$6,'Listas suspensas'!$B$6,"")))))</f>
        <v/>
      </c>
      <c r="AC721" s="8" t="str">
        <f>IF(AA721='Listas suspensas'!$A$2,'Listas suspensas'!$C$2,IF(AA721='Listas suspensas'!$A$3,'Listas suspensas'!$C$3,IF(AA721='Listas suspensas'!$A$4,'Listas suspensas'!$C$4,IF(AA721='Listas suspensas'!$A$5,'Listas suspensas'!$C$5,IF(AA721='Listas suspensas'!$A$6,'Listas suspensas'!$C$6,"")))))</f>
        <v/>
      </c>
      <c r="BE721" s="18">
        <f t="shared" si="113"/>
        <v>0</v>
      </c>
      <c r="BI721" s="13">
        <f t="shared" si="114"/>
        <v>0</v>
      </c>
      <c r="BM721" s="16">
        <f t="shared" si="108"/>
        <v>0</v>
      </c>
      <c r="BN721" s="21">
        <f t="shared" si="109"/>
        <v>0</v>
      </c>
      <c r="BO721" s="21">
        <f t="shared" si="110"/>
        <v>0</v>
      </c>
      <c r="BP721" s="21">
        <f t="shared" si="111"/>
        <v>0</v>
      </c>
      <c r="BQ721" s="14">
        <f t="shared" si="112"/>
        <v>0</v>
      </c>
      <c r="BR721" s="22" t="str">
        <f>IF(OR(AND(X721="Mourões", BQ721&gt;=6.5),AND(X721="Postes", BQ721&gt;=9.6),AND(X721="Dormentes", BQ721&gt;=9.6),AND(X721="Estacas - Solo", BQ721&gt;=6.5),AND(X721="Estacas - Suspenso", BQ721&gt;=4),AND(X721="Cruzetas", BQ721&gt;=6.5),AND(X721="Outros - Solo", BQ721&gt;=6.5),AND(X721="Outros - Suspenso",BQ721&gt;=4),AND(X721="Deck",BQ721&gt;=4)),'Listas suspensas'!$C$21,'Listas suspensas'!$C$22)</f>
        <v>Os resultados da análise química apresentaram uma retenção do produto inferior ao padrão mínimo exigido pela norma ABNT NBR 16143</v>
      </c>
    </row>
    <row r="722" spans="25:70" x14ac:dyDescent="0.25">
      <c r="Y722" s="34" t="str">
        <f>IF(X722='Listas suspensas'!$A$21,'Listas suspensas'!$B$23,IF(X722='Listas suspensas'!$A$22,'Listas suspensas'!$B$23,IF(X722='Listas suspensas'!$A$23,'Listas suspensas'!$B$22,IF(X722='Listas suspensas'!$A$26,'Listas suspensas'!$B$22,IF(X722='Listas suspensas'!$A$32,'Listas suspensas'!$B$22,IF(X722='Listas suspensas'!$A$33,'Listas suspensas'!$B$21,IF(X722='Listas suspensas'!$A$24,'Listas suspensas'!$B$22,IF(X722='Listas suspensas'!$A$25,'Listas suspensas'!$B$21,IF(X722='Listas suspensas'!$A$30,'Listas suspensas'!$B$21,"")))))))))</f>
        <v/>
      </c>
      <c r="AB722" s="8" t="str">
        <f>IF(AA722='Listas suspensas'!$A$2,'Listas suspensas'!$B$2,IF(AA722='Listas suspensas'!$A$3,'Listas suspensas'!$B$3,IF(AA722='Listas suspensas'!$A$4,'Listas suspensas'!$B$4,IF(AA722='Listas suspensas'!$A$5,'Listas suspensas'!$B$5,IF(AA722='Listas suspensas'!$A$6,'Listas suspensas'!$B$6,"")))))</f>
        <v/>
      </c>
      <c r="AC722" s="8" t="str">
        <f>IF(AA722='Listas suspensas'!$A$2,'Listas suspensas'!$C$2,IF(AA722='Listas suspensas'!$A$3,'Listas suspensas'!$C$3,IF(AA722='Listas suspensas'!$A$4,'Listas suspensas'!$C$4,IF(AA722='Listas suspensas'!$A$5,'Listas suspensas'!$C$5,IF(AA722='Listas suspensas'!$A$6,'Listas suspensas'!$C$6,"")))))</f>
        <v/>
      </c>
      <c r="BE722" s="18">
        <f t="shared" si="113"/>
        <v>0</v>
      </c>
      <c r="BI722" s="13">
        <f t="shared" si="114"/>
        <v>0</v>
      </c>
      <c r="BM722" s="16">
        <f t="shared" si="108"/>
        <v>0</v>
      </c>
      <c r="BN722" s="21">
        <f t="shared" si="109"/>
        <v>0</v>
      </c>
      <c r="BO722" s="21">
        <f t="shared" si="110"/>
        <v>0</v>
      </c>
      <c r="BP722" s="21">
        <f t="shared" si="111"/>
        <v>0</v>
      </c>
      <c r="BQ722" s="14">
        <f t="shared" si="112"/>
        <v>0</v>
      </c>
      <c r="BR722" s="22" t="str">
        <f>IF(OR(AND(X722="Mourões", BQ722&gt;=6.5),AND(X722="Postes", BQ722&gt;=9.6),AND(X722="Dormentes", BQ722&gt;=9.6),AND(X722="Estacas - Solo", BQ722&gt;=6.5),AND(X722="Estacas - Suspenso", BQ722&gt;=4),AND(X722="Cruzetas", BQ722&gt;=6.5),AND(X722="Outros - Solo", BQ722&gt;=6.5),AND(X722="Outros - Suspenso",BQ722&gt;=4),AND(X722="Deck",BQ722&gt;=4)),'Listas suspensas'!$C$21,'Listas suspensas'!$C$22)</f>
        <v>Os resultados da análise química apresentaram uma retenção do produto inferior ao padrão mínimo exigido pela norma ABNT NBR 16143</v>
      </c>
    </row>
    <row r="723" spans="25:70" x14ac:dyDescent="0.25">
      <c r="Y723" s="34" t="str">
        <f>IF(X723='Listas suspensas'!$A$21,'Listas suspensas'!$B$23,IF(X723='Listas suspensas'!$A$22,'Listas suspensas'!$B$23,IF(X723='Listas suspensas'!$A$23,'Listas suspensas'!$B$22,IF(X723='Listas suspensas'!$A$26,'Listas suspensas'!$B$22,IF(X723='Listas suspensas'!$A$32,'Listas suspensas'!$B$22,IF(X723='Listas suspensas'!$A$33,'Listas suspensas'!$B$21,IF(X723='Listas suspensas'!$A$24,'Listas suspensas'!$B$22,IF(X723='Listas suspensas'!$A$25,'Listas suspensas'!$B$21,IF(X723='Listas suspensas'!$A$30,'Listas suspensas'!$B$21,"")))))))))</f>
        <v/>
      </c>
      <c r="AB723" s="8" t="str">
        <f>IF(AA723='Listas suspensas'!$A$2,'Listas suspensas'!$B$2,IF(AA723='Listas suspensas'!$A$3,'Listas suspensas'!$B$3,IF(AA723='Listas suspensas'!$A$4,'Listas suspensas'!$B$4,IF(AA723='Listas suspensas'!$A$5,'Listas suspensas'!$B$5,IF(AA723='Listas suspensas'!$A$6,'Listas suspensas'!$B$6,"")))))</f>
        <v/>
      </c>
      <c r="AC723" s="8" t="str">
        <f>IF(AA723='Listas suspensas'!$A$2,'Listas suspensas'!$C$2,IF(AA723='Listas suspensas'!$A$3,'Listas suspensas'!$C$3,IF(AA723='Listas suspensas'!$A$4,'Listas suspensas'!$C$4,IF(AA723='Listas suspensas'!$A$5,'Listas suspensas'!$C$5,IF(AA723='Listas suspensas'!$A$6,'Listas suspensas'!$C$6,"")))))</f>
        <v/>
      </c>
      <c r="BE723" s="18">
        <f t="shared" si="113"/>
        <v>0</v>
      </c>
      <c r="BI723" s="13">
        <f t="shared" si="114"/>
        <v>0</v>
      </c>
      <c r="BM723" s="16">
        <f t="shared" si="108"/>
        <v>0</v>
      </c>
      <c r="BN723" s="21">
        <f t="shared" si="109"/>
        <v>0</v>
      </c>
      <c r="BO723" s="21">
        <f t="shared" si="110"/>
        <v>0</v>
      </c>
      <c r="BP723" s="21">
        <f t="shared" si="111"/>
        <v>0</v>
      </c>
      <c r="BQ723" s="14">
        <f t="shared" si="112"/>
        <v>0</v>
      </c>
      <c r="BR723" s="22" t="str">
        <f>IF(OR(AND(X723="Mourões", BQ723&gt;=6.5),AND(X723="Postes", BQ723&gt;=9.6),AND(X723="Dormentes", BQ723&gt;=9.6),AND(X723="Estacas - Solo", BQ723&gt;=6.5),AND(X723="Estacas - Suspenso", BQ723&gt;=4),AND(X723="Cruzetas", BQ723&gt;=6.5),AND(X723="Outros - Solo", BQ723&gt;=6.5),AND(X723="Outros - Suspenso",BQ723&gt;=4),AND(X723="Deck",BQ723&gt;=4)),'Listas suspensas'!$C$21,'Listas suspensas'!$C$22)</f>
        <v>Os resultados da análise química apresentaram uma retenção do produto inferior ao padrão mínimo exigido pela norma ABNT NBR 16143</v>
      </c>
    </row>
    <row r="724" spans="25:70" x14ac:dyDescent="0.25">
      <c r="Y724" s="34" t="str">
        <f>IF(X724='Listas suspensas'!$A$21,'Listas suspensas'!$B$23,IF(X724='Listas suspensas'!$A$22,'Listas suspensas'!$B$23,IF(X724='Listas suspensas'!$A$23,'Listas suspensas'!$B$22,IF(X724='Listas suspensas'!$A$26,'Listas suspensas'!$B$22,IF(X724='Listas suspensas'!$A$32,'Listas suspensas'!$B$22,IF(X724='Listas suspensas'!$A$33,'Listas suspensas'!$B$21,IF(X724='Listas suspensas'!$A$24,'Listas suspensas'!$B$22,IF(X724='Listas suspensas'!$A$25,'Listas suspensas'!$B$21,IF(X724='Listas suspensas'!$A$30,'Listas suspensas'!$B$21,"")))))))))</f>
        <v/>
      </c>
      <c r="AB724" s="8" t="str">
        <f>IF(AA724='Listas suspensas'!$A$2,'Listas suspensas'!$B$2,IF(AA724='Listas suspensas'!$A$3,'Listas suspensas'!$B$3,IF(AA724='Listas suspensas'!$A$4,'Listas suspensas'!$B$4,IF(AA724='Listas suspensas'!$A$5,'Listas suspensas'!$B$5,IF(AA724='Listas suspensas'!$A$6,'Listas suspensas'!$B$6,"")))))</f>
        <v/>
      </c>
      <c r="AC724" s="8" t="str">
        <f>IF(AA724='Listas suspensas'!$A$2,'Listas suspensas'!$C$2,IF(AA724='Listas suspensas'!$A$3,'Listas suspensas'!$C$3,IF(AA724='Listas suspensas'!$A$4,'Listas suspensas'!$C$4,IF(AA724='Listas suspensas'!$A$5,'Listas suspensas'!$C$5,IF(AA724='Listas suspensas'!$A$6,'Listas suspensas'!$C$6,"")))))</f>
        <v/>
      </c>
      <c r="BE724" s="18">
        <f t="shared" si="113"/>
        <v>0</v>
      </c>
      <c r="BI724" s="13">
        <f t="shared" si="114"/>
        <v>0</v>
      </c>
      <c r="BM724" s="16">
        <f t="shared" si="108"/>
        <v>0</v>
      </c>
      <c r="BN724" s="21">
        <f t="shared" si="109"/>
        <v>0</v>
      </c>
      <c r="BO724" s="21">
        <f t="shared" si="110"/>
        <v>0</v>
      </c>
      <c r="BP724" s="21">
        <f t="shared" si="111"/>
        <v>0</v>
      </c>
      <c r="BQ724" s="14">
        <f t="shared" si="112"/>
        <v>0</v>
      </c>
      <c r="BR724" s="22" t="str">
        <f>IF(OR(AND(X724="Mourões", BQ724&gt;=6.5),AND(X724="Postes", BQ724&gt;=9.6),AND(X724="Dormentes", BQ724&gt;=9.6),AND(X724="Estacas - Solo", BQ724&gt;=6.5),AND(X724="Estacas - Suspenso", BQ724&gt;=4),AND(X724="Cruzetas", BQ724&gt;=6.5),AND(X724="Outros - Solo", BQ724&gt;=6.5),AND(X724="Outros - Suspenso",BQ724&gt;=4),AND(X724="Deck",BQ724&gt;=4)),'Listas suspensas'!$C$21,'Listas suspensas'!$C$22)</f>
        <v>Os resultados da análise química apresentaram uma retenção do produto inferior ao padrão mínimo exigido pela norma ABNT NBR 16143</v>
      </c>
    </row>
    <row r="725" spans="25:70" x14ac:dyDescent="0.25">
      <c r="Y725" s="34" t="str">
        <f>IF(X725='Listas suspensas'!$A$21,'Listas suspensas'!$B$23,IF(X725='Listas suspensas'!$A$22,'Listas suspensas'!$B$23,IF(X725='Listas suspensas'!$A$23,'Listas suspensas'!$B$22,IF(X725='Listas suspensas'!$A$26,'Listas suspensas'!$B$22,IF(X725='Listas suspensas'!$A$32,'Listas suspensas'!$B$22,IF(X725='Listas suspensas'!$A$33,'Listas suspensas'!$B$21,IF(X725='Listas suspensas'!$A$24,'Listas suspensas'!$B$22,IF(X725='Listas suspensas'!$A$25,'Listas suspensas'!$B$21,IF(X725='Listas suspensas'!$A$30,'Listas suspensas'!$B$21,"")))))))))</f>
        <v/>
      </c>
      <c r="AB725" s="8" t="str">
        <f>IF(AA725='Listas suspensas'!$A$2,'Listas suspensas'!$B$2,IF(AA725='Listas suspensas'!$A$3,'Listas suspensas'!$B$3,IF(AA725='Listas suspensas'!$A$4,'Listas suspensas'!$B$4,IF(AA725='Listas suspensas'!$A$5,'Listas suspensas'!$B$5,IF(AA725='Listas suspensas'!$A$6,'Listas suspensas'!$B$6,"")))))</f>
        <v/>
      </c>
      <c r="AC725" s="8" t="str">
        <f>IF(AA725='Listas suspensas'!$A$2,'Listas suspensas'!$C$2,IF(AA725='Listas suspensas'!$A$3,'Listas suspensas'!$C$3,IF(AA725='Listas suspensas'!$A$4,'Listas suspensas'!$C$4,IF(AA725='Listas suspensas'!$A$5,'Listas suspensas'!$C$5,IF(AA725='Listas suspensas'!$A$6,'Listas suspensas'!$C$6,"")))))</f>
        <v/>
      </c>
      <c r="BE725" s="18">
        <f t="shared" si="113"/>
        <v>0</v>
      </c>
      <c r="BI725" s="13">
        <f t="shared" si="114"/>
        <v>0</v>
      </c>
      <c r="BM725" s="16">
        <f t="shared" si="108"/>
        <v>0</v>
      </c>
      <c r="BN725" s="21">
        <f t="shared" si="109"/>
        <v>0</v>
      </c>
      <c r="BO725" s="21">
        <f t="shared" si="110"/>
        <v>0</v>
      </c>
      <c r="BP725" s="21">
        <f t="shared" si="111"/>
        <v>0</v>
      </c>
      <c r="BQ725" s="14">
        <f t="shared" si="112"/>
        <v>0</v>
      </c>
      <c r="BR725" s="22" t="str">
        <f>IF(OR(AND(X725="Mourões", BQ725&gt;=6.5),AND(X725="Postes", BQ725&gt;=9.6),AND(X725="Dormentes", BQ725&gt;=9.6),AND(X725="Estacas - Solo", BQ725&gt;=6.5),AND(X725="Estacas - Suspenso", BQ725&gt;=4),AND(X725="Cruzetas", BQ725&gt;=6.5),AND(X725="Outros - Solo", BQ725&gt;=6.5),AND(X725="Outros - Suspenso",BQ725&gt;=4),AND(X725="Deck",BQ725&gt;=4)),'Listas suspensas'!$C$21,'Listas suspensas'!$C$22)</f>
        <v>Os resultados da análise química apresentaram uma retenção do produto inferior ao padrão mínimo exigido pela norma ABNT NBR 16143</v>
      </c>
    </row>
    <row r="726" spans="25:70" x14ac:dyDescent="0.25">
      <c r="Y726" s="34" t="str">
        <f>IF(X726='Listas suspensas'!$A$21,'Listas suspensas'!$B$23,IF(X726='Listas suspensas'!$A$22,'Listas suspensas'!$B$23,IF(X726='Listas suspensas'!$A$23,'Listas suspensas'!$B$22,IF(X726='Listas suspensas'!$A$26,'Listas suspensas'!$B$22,IF(X726='Listas suspensas'!$A$32,'Listas suspensas'!$B$22,IF(X726='Listas suspensas'!$A$33,'Listas suspensas'!$B$21,IF(X726='Listas suspensas'!$A$24,'Listas suspensas'!$B$22,IF(X726='Listas suspensas'!$A$25,'Listas suspensas'!$B$21,IF(X726='Listas suspensas'!$A$30,'Listas suspensas'!$B$21,"")))))))))</f>
        <v/>
      </c>
      <c r="AB726" s="8" t="str">
        <f>IF(AA726='Listas suspensas'!$A$2,'Listas suspensas'!$B$2,IF(AA726='Listas suspensas'!$A$3,'Listas suspensas'!$B$3,IF(AA726='Listas suspensas'!$A$4,'Listas suspensas'!$B$4,IF(AA726='Listas suspensas'!$A$5,'Listas suspensas'!$B$5,IF(AA726='Listas suspensas'!$A$6,'Listas suspensas'!$B$6,"")))))</f>
        <v/>
      </c>
      <c r="AC726" s="8" t="str">
        <f>IF(AA726='Listas suspensas'!$A$2,'Listas suspensas'!$C$2,IF(AA726='Listas suspensas'!$A$3,'Listas suspensas'!$C$3,IF(AA726='Listas suspensas'!$A$4,'Listas suspensas'!$C$4,IF(AA726='Listas suspensas'!$A$5,'Listas suspensas'!$C$5,IF(AA726='Listas suspensas'!$A$6,'Listas suspensas'!$C$6,"")))))</f>
        <v/>
      </c>
      <c r="BE726" s="18">
        <f t="shared" si="113"/>
        <v>0</v>
      </c>
      <c r="BI726" s="13">
        <f t="shared" si="114"/>
        <v>0</v>
      </c>
      <c r="BM726" s="16">
        <f t="shared" si="108"/>
        <v>0</v>
      </c>
      <c r="BN726" s="21">
        <f t="shared" si="109"/>
        <v>0</v>
      </c>
      <c r="BO726" s="21">
        <f t="shared" si="110"/>
        <v>0</v>
      </c>
      <c r="BP726" s="21">
        <f t="shared" si="111"/>
        <v>0</v>
      </c>
      <c r="BQ726" s="14">
        <f t="shared" si="112"/>
        <v>0</v>
      </c>
      <c r="BR726" s="22" t="str">
        <f>IF(OR(AND(X726="Mourões", BQ726&gt;=6.5),AND(X726="Postes", BQ726&gt;=9.6),AND(X726="Dormentes", BQ726&gt;=9.6),AND(X726="Estacas - Solo", BQ726&gt;=6.5),AND(X726="Estacas - Suspenso", BQ726&gt;=4),AND(X726="Cruzetas", BQ726&gt;=6.5),AND(X726="Outros - Solo", BQ726&gt;=6.5),AND(X726="Outros - Suspenso",BQ726&gt;=4),AND(X726="Deck",BQ726&gt;=4)),'Listas suspensas'!$C$21,'Listas suspensas'!$C$22)</f>
        <v>Os resultados da análise química apresentaram uma retenção do produto inferior ao padrão mínimo exigido pela norma ABNT NBR 16143</v>
      </c>
    </row>
    <row r="727" spans="25:70" x14ac:dyDescent="0.25">
      <c r="Y727" s="34" t="str">
        <f>IF(X727='Listas suspensas'!$A$21,'Listas suspensas'!$B$23,IF(X727='Listas suspensas'!$A$22,'Listas suspensas'!$B$23,IF(X727='Listas suspensas'!$A$23,'Listas suspensas'!$B$22,IF(X727='Listas suspensas'!$A$26,'Listas suspensas'!$B$22,IF(X727='Listas suspensas'!$A$32,'Listas suspensas'!$B$22,IF(X727='Listas suspensas'!$A$33,'Listas suspensas'!$B$21,IF(X727='Listas suspensas'!$A$24,'Listas suspensas'!$B$22,IF(X727='Listas suspensas'!$A$25,'Listas suspensas'!$B$21,IF(X727='Listas suspensas'!$A$30,'Listas suspensas'!$B$21,"")))))))))</f>
        <v/>
      </c>
      <c r="AB727" s="8" t="str">
        <f>IF(AA727='Listas suspensas'!$A$2,'Listas suspensas'!$B$2,IF(AA727='Listas suspensas'!$A$3,'Listas suspensas'!$B$3,IF(AA727='Listas suspensas'!$A$4,'Listas suspensas'!$B$4,IF(AA727='Listas suspensas'!$A$5,'Listas suspensas'!$B$5,IF(AA727='Listas suspensas'!$A$6,'Listas suspensas'!$B$6,"")))))</f>
        <v/>
      </c>
      <c r="AC727" s="8" t="str">
        <f>IF(AA727='Listas suspensas'!$A$2,'Listas suspensas'!$C$2,IF(AA727='Listas suspensas'!$A$3,'Listas suspensas'!$C$3,IF(AA727='Listas suspensas'!$A$4,'Listas suspensas'!$C$4,IF(AA727='Listas suspensas'!$A$5,'Listas suspensas'!$C$5,IF(AA727='Listas suspensas'!$A$6,'Listas suspensas'!$C$6,"")))))</f>
        <v/>
      </c>
      <c r="BE727" s="18">
        <f t="shared" si="113"/>
        <v>0</v>
      </c>
      <c r="BI727" s="13">
        <f t="shared" si="114"/>
        <v>0</v>
      </c>
      <c r="BM727" s="16">
        <f t="shared" si="108"/>
        <v>0</v>
      </c>
      <c r="BN727" s="21">
        <f t="shared" si="109"/>
        <v>0</v>
      </c>
      <c r="BO727" s="21">
        <f t="shared" si="110"/>
        <v>0</v>
      </c>
      <c r="BP727" s="21">
        <f t="shared" si="111"/>
        <v>0</v>
      </c>
      <c r="BQ727" s="14">
        <f t="shared" si="112"/>
        <v>0</v>
      </c>
      <c r="BR727" s="22" t="str">
        <f>IF(OR(AND(X727="Mourões", BQ727&gt;=6.5),AND(X727="Postes", BQ727&gt;=9.6),AND(X727="Dormentes", BQ727&gt;=9.6),AND(X727="Estacas - Solo", BQ727&gt;=6.5),AND(X727="Estacas - Suspenso", BQ727&gt;=4),AND(X727="Cruzetas", BQ727&gt;=6.5),AND(X727="Outros - Solo", BQ727&gt;=6.5),AND(X727="Outros - Suspenso",BQ727&gt;=4),AND(X727="Deck",BQ727&gt;=4)),'Listas suspensas'!$C$21,'Listas suspensas'!$C$22)</f>
        <v>Os resultados da análise química apresentaram uma retenção do produto inferior ao padrão mínimo exigido pela norma ABNT NBR 16143</v>
      </c>
    </row>
    <row r="728" spans="25:70" x14ac:dyDescent="0.25">
      <c r="Y728" s="34" t="str">
        <f>IF(X728='Listas suspensas'!$A$21,'Listas suspensas'!$B$23,IF(X728='Listas suspensas'!$A$22,'Listas suspensas'!$B$23,IF(X728='Listas suspensas'!$A$23,'Listas suspensas'!$B$22,IF(X728='Listas suspensas'!$A$26,'Listas suspensas'!$B$22,IF(X728='Listas suspensas'!$A$32,'Listas suspensas'!$B$22,IF(X728='Listas suspensas'!$A$33,'Listas suspensas'!$B$21,IF(X728='Listas suspensas'!$A$24,'Listas suspensas'!$B$22,IF(X728='Listas suspensas'!$A$25,'Listas suspensas'!$B$21,IF(X728='Listas suspensas'!$A$30,'Listas suspensas'!$B$21,"")))))))))</f>
        <v/>
      </c>
      <c r="AB728" s="8" t="str">
        <f>IF(AA728='Listas suspensas'!$A$2,'Listas suspensas'!$B$2,IF(AA728='Listas suspensas'!$A$3,'Listas suspensas'!$B$3,IF(AA728='Listas suspensas'!$A$4,'Listas suspensas'!$B$4,IF(AA728='Listas suspensas'!$A$5,'Listas suspensas'!$B$5,IF(AA728='Listas suspensas'!$A$6,'Listas suspensas'!$B$6,"")))))</f>
        <v/>
      </c>
      <c r="AC728" s="8" t="str">
        <f>IF(AA728='Listas suspensas'!$A$2,'Listas suspensas'!$C$2,IF(AA728='Listas suspensas'!$A$3,'Listas suspensas'!$C$3,IF(AA728='Listas suspensas'!$A$4,'Listas suspensas'!$C$4,IF(AA728='Listas suspensas'!$A$5,'Listas suspensas'!$C$5,IF(AA728='Listas suspensas'!$A$6,'Listas suspensas'!$C$6,"")))))</f>
        <v/>
      </c>
      <c r="BE728" s="18">
        <f t="shared" si="113"/>
        <v>0</v>
      </c>
      <c r="BI728" s="13">
        <f t="shared" si="114"/>
        <v>0</v>
      </c>
      <c r="BM728" s="16">
        <f t="shared" si="108"/>
        <v>0</v>
      </c>
      <c r="BN728" s="21">
        <f t="shared" si="109"/>
        <v>0</v>
      </c>
      <c r="BO728" s="21">
        <f t="shared" si="110"/>
        <v>0</v>
      </c>
      <c r="BP728" s="21">
        <f t="shared" si="111"/>
        <v>0</v>
      </c>
      <c r="BQ728" s="14">
        <f t="shared" si="112"/>
        <v>0</v>
      </c>
      <c r="BR728" s="22" t="str">
        <f>IF(OR(AND(X728="Mourões", BQ728&gt;=6.5),AND(X728="Postes", BQ728&gt;=9.6),AND(X728="Dormentes", BQ728&gt;=9.6),AND(X728="Estacas - Solo", BQ728&gt;=6.5),AND(X728="Estacas - Suspenso", BQ728&gt;=4),AND(X728="Cruzetas", BQ728&gt;=6.5),AND(X728="Outros - Solo", BQ728&gt;=6.5),AND(X728="Outros - Suspenso",BQ728&gt;=4),AND(X728="Deck",BQ728&gt;=4)),'Listas suspensas'!$C$21,'Listas suspensas'!$C$22)</f>
        <v>Os resultados da análise química apresentaram uma retenção do produto inferior ao padrão mínimo exigido pela norma ABNT NBR 16143</v>
      </c>
    </row>
    <row r="729" spans="25:70" x14ac:dyDescent="0.25">
      <c r="Y729" s="34" t="str">
        <f>IF(X729='Listas suspensas'!$A$21,'Listas suspensas'!$B$23,IF(X729='Listas suspensas'!$A$22,'Listas suspensas'!$B$23,IF(X729='Listas suspensas'!$A$23,'Listas suspensas'!$B$22,IF(X729='Listas suspensas'!$A$26,'Listas suspensas'!$B$22,IF(X729='Listas suspensas'!$A$32,'Listas suspensas'!$B$22,IF(X729='Listas suspensas'!$A$33,'Listas suspensas'!$B$21,IF(X729='Listas suspensas'!$A$24,'Listas suspensas'!$B$22,IF(X729='Listas suspensas'!$A$25,'Listas suspensas'!$B$21,IF(X729='Listas suspensas'!$A$30,'Listas suspensas'!$B$21,"")))))))))</f>
        <v/>
      </c>
      <c r="AB729" s="8" t="str">
        <f>IF(AA729='Listas suspensas'!$A$2,'Listas suspensas'!$B$2,IF(AA729='Listas suspensas'!$A$3,'Listas suspensas'!$B$3,IF(AA729='Listas suspensas'!$A$4,'Listas suspensas'!$B$4,IF(AA729='Listas suspensas'!$A$5,'Listas suspensas'!$B$5,IF(AA729='Listas suspensas'!$A$6,'Listas suspensas'!$B$6,"")))))</f>
        <v/>
      </c>
      <c r="AC729" s="8" t="str">
        <f>IF(AA729='Listas suspensas'!$A$2,'Listas suspensas'!$C$2,IF(AA729='Listas suspensas'!$A$3,'Listas suspensas'!$C$3,IF(AA729='Listas suspensas'!$A$4,'Listas suspensas'!$C$4,IF(AA729='Listas suspensas'!$A$5,'Listas suspensas'!$C$5,IF(AA729='Listas suspensas'!$A$6,'Listas suspensas'!$C$6,"")))))</f>
        <v/>
      </c>
      <c r="BE729" s="18">
        <f t="shared" si="113"/>
        <v>0</v>
      </c>
      <c r="BI729" s="13">
        <f t="shared" si="114"/>
        <v>0</v>
      </c>
      <c r="BM729" s="16">
        <f t="shared" si="108"/>
        <v>0</v>
      </c>
      <c r="BN729" s="21">
        <f t="shared" si="109"/>
        <v>0</v>
      </c>
      <c r="BO729" s="21">
        <f t="shared" si="110"/>
        <v>0</v>
      </c>
      <c r="BP729" s="21">
        <f t="shared" si="111"/>
        <v>0</v>
      </c>
      <c r="BQ729" s="14">
        <f t="shared" si="112"/>
        <v>0</v>
      </c>
      <c r="BR729" s="22" t="str">
        <f>IF(OR(AND(X729="Mourões", BQ729&gt;=6.5),AND(X729="Postes", BQ729&gt;=9.6),AND(X729="Dormentes", BQ729&gt;=9.6),AND(X729="Estacas - Solo", BQ729&gt;=6.5),AND(X729="Estacas - Suspenso", BQ729&gt;=4),AND(X729="Cruzetas", BQ729&gt;=6.5),AND(X729="Outros - Solo", BQ729&gt;=6.5),AND(X729="Outros - Suspenso",BQ729&gt;=4),AND(X729="Deck",BQ729&gt;=4)),'Listas suspensas'!$C$21,'Listas suspensas'!$C$22)</f>
        <v>Os resultados da análise química apresentaram uma retenção do produto inferior ao padrão mínimo exigido pela norma ABNT NBR 16143</v>
      </c>
    </row>
    <row r="730" spans="25:70" x14ac:dyDescent="0.25">
      <c r="Y730" s="34" t="str">
        <f>IF(X730='Listas suspensas'!$A$21,'Listas suspensas'!$B$23,IF(X730='Listas suspensas'!$A$22,'Listas suspensas'!$B$23,IF(X730='Listas suspensas'!$A$23,'Listas suspensas'!$B$22,IF(X730='Listas suspensas'!$A$26,'Listas suspensas'!$B$22,IF(X730='Listas suspensas'!$A$32,'Listas suspensas'!$B$22,IF(X730='Listas suspensas'!$A$33,'Listas suspensas'!$B$21,IF(X730='Listas suspensas'!$A$24,'Listas suspensas'!$B$22,IF(X730='Listas suspensas'!$A$25,'Listas suspensas'!$B$21,IF(X730='Listas suspensas'!$A$30,'Listas suspensas'!$B$21,"")))))))))</f>
        <v/>
      </c>
      <c r="AB730" s="8" t="str">
        <f>IF(AA730='Listas suspensas'!$A$2,'Listas suspensas'!$B$2,IF(AA730='Listas suspensas'!$A$3,'Listas suspensas'!$B$3,IF(AA730='Listas suspensas'!$A$4,'Listas suspensas'!$B$4,IF(AA730='Listas suspensas'!$A$5,'Listas suspensas'!$B$5,IF(AA730='Listas suspensas'!$A$6,'Listas suspensas'!$B$6,"")))))</f>
        <v/>
      </c>
      <c r="AC730" s="8" t="str">
        <f>IF(AA730='Listas suspensas'!$A$2,'Listas suspensas'!$C$2,IF(AA730='Listas suspensas'!$A$3,'Listas suspensas'!$C$3,IF(AA730='Listas suspensas'!$A$4,'Listas suspensas'!$C$4,IF(AA730='Listas suspensas'!$A$5,'Listas suspensas'!$C$5,IF(AA730='Listas suspensas'!$A$6,'Listas suspensas'!$C$6,"")))))</f>
        <v/>
      </c>
      <c r="BE730" s="18">
        <f t="shared" si="113"/>
        <v>0</v>
      </c>
      <c r="BI730" s="13">
        <f t="shared" si="114"/>
        <v>0</v>
      </c>
      <c r="BM730" s="16">
        <f t="shared" si="108"/>
        <v>0</v>
      </c>
      <c r="BN730" s="21">
        <f t="shared" si="109"/>
        <v>0</v>
      </c>
      <c r="BO730" s="21">
        <f t="shared" si="110"/>
        <v>0</v>
      </c>
      <c r="BP730" s="21">
        <f t="shared" si="111"/>
        <v>0</v>
      </c>
      <c r="BQ730" s="14">
        <f t="shared" si="112"/>
        <v>0</v>
      </c>
      <c r="BR730" s="22" t="str">
        <f>IF(OR(AND(X730="Mourões", BQ730&gt;=6.5),AND(X730="Postes", BQ730&gt;=9.6),AND(X730="Dormentes", BQ730&gt;=9.6),AND(X730="Estacas - Solo", BQ730&gt;=6.5),AND(X730="Estacas - Suspenso", BQ730&gt;=4),AND(X730="Cruzetas", BQ730&gt;=6.5),AND(X730="Outros - Solo", BQ730&gt;=6.5),AND(X730="Outros - Suspenso",BQ730&gt;=4),AND(X730="Deck",BQ730&gt;=4)),'Listas suspensas'!$C$21,'Listas suspensas'!$C$22)</f>
        <v>Os resultados da análise química apresentaram uma retenção do produto inferior ao padrão mínimo exigido pela norma ABNT NBR 16143</v>
      </c>
    </row>
    <row r="731" spans="25:70" x14ac:dyDescent="0.25">
      <c r="Y731" s="34" t="str">
        <f>IF(X731='Listas suspensas'!$A$21,'Listas suspensas'!$B$23,IF(X731='Listas suspensas'!$A$22,'Listas suspensas'!$B$23,IF(X731='Listas suspensas'!$A$23,'Listas suspensas'!$B$22,IF(X731='Listas suspensas'!$A$26,'Listas suspensas'!$B$22,IF(X731='Listas suspensas'!$A$32,'Listas suspensas'!$B$22,IF(X731='Listas suspensas'!$A$33,'Listas suspensas'!$B$21,IF(X731='Listas suspensas'!$A$24,'Listas suspensas'!$B$22,IF(X731='Listas suspensas'!$A$25,'Listas suspensas'!$B$21,IF(X731='Listas suspensas'!$A$30,'Listas suspensas'!$B$21,"")))))))))</f>
        <v/>
      </c>
      <c r="AB731" s="8" t="str">
        <f>IF(AA731='Listas suspensas'!$A$2,'Listas suspensas'!$B$2,IF(AA731='Listas suspensas'!$A$3,'Listas suspensas'!$B$3,IF(AA731='Listas suspensas'!$A$4,'Listas suspensas'!$B$4,IF(AA731='Listas suspensas'!$A$5,'Listas suspensas'!$B$5,IF(AA731='Listas suspensas'!$A$6,'Listas suspensas'!$B$6,"")))))</f>
        <v/>
      </c>
      <c r="AC731" s="8" t="str">
        <f>IF(AA731='Listas suspensas'!$A$2,'Listas suspensas'!$C$2,IF(AA731='Listas suspensas'!$A$3,'Listas suspensas'!$C$3,IF(AA731='Listas suspensas'!$A$4,'Listas suspensas'!$C$4,IF(AA731='Listas suspensas'!$A$5,'Listas suspensas'!$C$5,IF(AA731='Listas suspensas'!$A$6,'Listas suspensas'!$C$6,"")))))</f>
        <v/>
      </c>
      <c r="BE731" s="18">
        <f t="shared" si="113"/>
        <v>0</v>
      </c>
      <c r="BI731" s="13">
        <f t="shared" si="114"/>
        <v>0</v>
      </c>
      <c r="BM731" s="16">
        <f t="shared" si="108"/>
        <v>0</v>
      </c>
      <c r="BN731" s="21">
        <f t="shared" si="109"/>
        <v>0</v>
      </c>
      <c r="BO731" s="21">
        <f t="shared" si="110"/>
        <v>0</v>
      </c>
      <c r="BP731" s="21">
        <f t="shared" si="111"/>
        <v>0</v>
      </c>
      <c r="BQ731" s="14">
        <f t="shared" si="112"/>
        <v>0</v>
      </c>
      <c r="BR731" s="22" t="str">
        <f>IF(OR(AND(X731="Mourões", BQ731&gt;=6.5),AND(X731="Postes", BQ731&gt;=9.6),AND(X731="Dormentes", BQ731&gt;=9.6),AND(X731="Estacas - Solo", BQ731&gt;=6.5),AND(X731="Estacas - Suspenso", BQ731&gt;=4),AND(X731="Cruzetas", BQ731&gt;=6.5),AND(X731="Outros - Solo", BQ731&gt;=6.5),AND(X731="Outros - Suspenso",BQ731&gt;=4),AND(X731="Deck",BQ731&gt;=4)),'Listas suspensas'!$C$21,'Listas suspensas'!$C$22)</f>
        <v>Os resultados da análise química apresentaram uma retenção do produto inferior ao padrão mínimo exigido pela norma ABNT NBR 16143</v>
      </c>
    </row>
    <row r="732" spans="25:70" x14ac:dyDescent="0.25">
      <c r="Y732" s="34" t="str">
        <f>IF(X732='Listas suspensas'!$A$21,'Listas suspensas'!$B$23,IF(X732='Listas suspensas'!$A$22,'Listas suspensas'!$B$23,IF(X732='Listas suspensas'!$A$23,'Listas suspensas'!$B$22,IF(X732='Listas suspensas'!$A$26,'Listas suspensas'!$B$22,IF(X732='Listas suspensas'!$A$32,'Listas suspensas'!$B$22,IF(X732='Listas suspensas'!$A$33,'Listas suspensas'!$B$21,IF(X732='Listas suspensas'!$A$24,'Listas suspensas'!$B$22,IF(X732='Listas suspensas'!$A$25,'Listas suspensas'!$B$21,IF(X732='Listas suspensas'!$A$30,'Listas suspensas'!$B$21,"")))))))))</f>
        <v/>
      </c>
      <c r="AB732" s="8" t="str">
        <f>IF(AA732='Listas suspensas'!$A$2,'Listas suspensas'!$B$2,IF(AA732='Listas suspensas'!$A$3,'Listas suspensas'!$B$3,IF(AA732='Listas suspensas'!$A$4,'Listas suspensas'!$B$4,IF(AA732='Listas suspensas'!$A$5,'Listas suspensas'!$B$5,IF(AA732='Listas suspensas'!$A$6,'Listas suspensas'!$B$6,"")))))</f>
        <v/>
      </c>
      <c r="AC732" s="8" t="str">
        <f>IF(AA732='Listas suspensas'!$A$2,'Listas suspensas'!$C$2,IF(AA732='Listas suspensas'!$A$3,'Listas suspensas'!$C$3,IF(AA732='Listas suspensas'!$A$4,'Listas suspensas'!$C$4,IF(AA732='Listas suspensas'!$A$5,'Listas suspensas'!$C$5,IF(AA732='Listas suspensas'!$A$6,'Listas suspensas'!$C$6,"")))))</f>
        <v/>
      </c>
      <c r="BE732" s="18">
        <f t="shared" si="113"/>
        <v>0</v>
      </c>
      <c r="BI732" s="13">
        <f t="shared" si="114"/>
        <v>0</v>
      </c>
      <c r="BM732" s="16">
        <f t="shared" si="108"/>
        <v>0</v>
      </c>
      <c r="BN732" s="21">
        <f t="shared" si="109"/>
        <v>0</v>
      </c>
      <c r="BO732" s="21">
        <f t="shared" si="110"/>
        <v>0</v>
      </c>
      <c r="BP732" s="21">
        <f t="shared" si="111"/>
        <v>0</v>
      </c>
      <c r="BQ732" s="14">
        <f t="shared" si="112"/>
        <v>0</v>
      </c>
      <c r="BR732" s="22" t="str">
        <f>IF(OR(AND(X732="Mourões", BQ732&gt;=6.5),AND(X732="Postes", BQ732&gt;=9.6),AND(X732="Dormentes", BQ732&gt;=9.6),AND(X732="Estacas - Solo", BQ732&gt;=6.5),AND(X732="Estacas - Suspenso", BQ732&gt;=4),AND(X732="Cruzetas", BQ732&gt;=6.5),AND(X732="Outros - Solo", BQ732&gt;=6.5),AND(X732="Outros - Suspenso",BQ732&gt;=4),AND(X732="Deck",BQ732&gt;=4)),'Listas suspensas'!$C$21,'Listas suspensas'!$C$22)</f>
        <v>Os resultados da análise química apresentaram uma retenção do produto inferior ao padrão mínimo exigido pela norma ABNT NBR 16143</v>
      </c>
    </row>
    <row r="733" spans="25:70" x14ac:dyDescent="0.25">
      <c r="Y733" s="34" t="str">
        <f>IF(X733='Listas suspensas'!$A$21,'Listas suspensas'!$B$23,IF(X733='Listas suspensas'!$A$22,'Listas suspensas'!$B$23,IF(X733='Listas suspensas'!$A$23,'Listas suspensas'!$B$22,IF(X733='Listas suspensas'!$A$26,'Listas suspensas'!$B$22,IF(X733='Listas suspensas'!$A$32,'Listas suspensas'!$B$22,IF(X733='Listas suspensas'!$A$33,'Listas suspensas'!$B$21,IF(X733='Listas suspensas'!$A$24,'Listas suspensas'!$B$22,IF(X733='Listas suspensas'!$A$25,'Listas suspensas'!$B$21,IF(X733='Listas suspensas'!$A$30,'Listas suspensas'!$B$21,"")))))))))</f>
        <v/>
      </c>
      <c r="AB733" s="8" t="str">
        <f>IF(AA733='Listas suspensas'!$A$2,'Listas suspensas'!$B$2,IF(AA733='Listas suspensas'!$A$3,'Listas suspensas'!$B$3,IF(AA733='Listas suspensas'!$A$4,'Listas suspensas'!$B$4,IF(AA733='Listas suspensas'!$A$5,'Listas suspensas'!$B$5,IF(AA733='Listas suspensas'!$A$6,'Listas suspensas'!$B$6,"")))))</f>
        <v/>
      </c>
      <c r="AC733" s="8" t="str">
        <f>IF(AA733='Listas suspensas'!$A$2,'Listas suspensas'!$C$2,IF(AA733='Listas suspensas'!$A$3,'Listas suspensas'!$C$3,IF(AA733='Listas suspensas'!$A$4,'Listas suspensas'!$C$4,IF(AA733='Listas suspensas'!$A$5,'Listas suspensas'!$C$5,IF(AA733='Listas suspensas'!$A$6,'Listas suspensas'!$C$6,"")))))</f>
        <v/>
      </c>
      <c r="BE733" s="18">
        <f t="shared" si="113"/>
        <v>0</v>
      </c>
      <c r="BI733" s="13">
        <f t="shared" si="114"/>
        <v>0</v>
      </c>
      <c r="BM733" s="16">
        <f t="shared" si="108"/>
        <v>0</v>
      </c>
      <c r="BN733" s="21">
        <f t="shared" si="109"/>
        <v>0</v>
      </c>
      <c r="BO733" s="21">
        <f t="shared" si="110"/>
        <v>0</v>
      </c>
      <c r="BP733" s="21">
        <f t="shared" si="111"/>
        <v>0</v>
      </c>
      <c r="BQ733" s="14">
        <f t="shared" si="112"/>
        <v>0</v>
      </c>
      <c r="BR733" s="22" t="str">
        <f>IF(OR(AND(X733="Mourões", BQ733&gt;=6.5),AND(X733="Postes", BQ733&gt;=9.6),AND(X733="Dormentes", BQ733&gt;=9.6),AND(X733="Estacas - Solo", BQ733&gt;=6.5),AND(X733="Estacas - Suspenso", BQ733&gt;=4),AND(X733="Cruzetas", BQ733&gt;=6.5),AND(X733="Outros - Solo", BQ733&gt;=6.5),AND(X733="Outros - Suspenso",BQ733&gt;=4),AND(X733="Deck",BQ733&gt;=4)),'Listas suspensas'!$C$21,'Listas suspensas'!$C$22)</f>
        <v>Os resultados da análise química apresentaram uma retenção do produto inferior ao padrão mínimo exigido pela norma ABNT NBR 16143</v>
      </c>
    </row>
    <row r="734" spans="25:70" x14ac:dyDescent="0.25">
      <c r="Y734" s="34" t="str">
        <f>IF(X734='Listas suspensas'!$A$21,'Listas suspensas'!$B$23,IF(X734='Listas suspensas'!$A$22,'Listas suspensas'!$B$23,IF(X734='Listas suspensas'!$A$23,'Listas suspensas'!$B$22,IF(X734='Listas suspensas'!$A$26,'Listas suspensas'!$B$22,IF(X734='Listas suspensas'!$A$32,'Listas suspensas'!$B$22,IF(X734='Listas suspensas'!$A$33,'Listas suspensas'!$B$21,IF(X734='Listas suspensas'!$A$24,'Listas suspensas'!$B$22,IF(X734='Listas suspensas'!$A$25,'Listas suspensas'!$B$21,IF(X734='Listas suspensas'!$A$30,'Listas suspensas'!$B$21,"")))))))))</f>
        <v/>
      </c>
      <c r="AB734" s="8" t="str">
        <f>IF(AA734='Listas suspensas'!$A$2,'Listas suspensas'!$B$2,IF(AA734='Listas suspensas'!$A$3,'Listas suspensas'!$B$3,IF(AA734='Listas suspensas'!$A$4,'Listas suspensas'!$B$4,IF(AA734='Listas suspensas'!$A$5,'Listas suspensas'!$B$5,IF(AA734='Listas suspensas'!$A$6,'Listas suspensas'!$B$6,"")))))</f>
        <v/>
      </c>
      <c r="AC734" s="8" t="str">
        <f>IF(AA734='Listas suspensas'!$A$2,'Listas suspensas'!$C$2,IF(AA734='Listas suspensas'!$A$3,'Listas suspensas'!$C$3,IF(AA734='Listas suspensas'!$A$4,'Listas suspensas'!$C$4,IF(AA734='Listas suspensas'!$A$5,'Listas suspensas'!$C$5,IF(AA734='Listas suspensas'!$A$6,'Listas suspensas'!$C$6,"")))))</f>
        <v/>
      </c>
      <c r="BE734" s="18">
        <f t="shared" si="113"/>
        <v>0</v>
      </c>
      <c r="BI734" s="13">
        <f t="shared" si="114"/>
        <v>0</v>
      </c>
      <c r="BM734" s="16">
        <f t="shared" si="108"/>
        <v>0</v>
      </c>
      <c r="BN734" s="21">
        <f t="shared" si="109"/>
        <v>0</v>
      </c>
      <c r="BO734" s="21">
        <f t="shared" si="110"/>
        <v>0</v>
      </c>
      <c r="BP734" s="21">
        <f t="shared" si="111"/>
        <v>0</v>
      </c>
      <c r="BQ734" s="14">
        <f t="shared" si="112"/>
        <v>0</v>
      </c>
      <c r="BR734" s="22" t="str">
        <f>IF(OR(AND(X734="Mourões", BQ734&gt;=6.5),AND(X734="Postes", BQ734&gt;=9.6),AND(X734="Dormentes", BQ734&gt;=9.6),AND(X734="Estacas - Solo", BQ734&gt;=6.5),AND(X734="Estacas - Suspenso", BQ734&gt;=4),AND(X734="Cruzetas", BQ734&gt;=6.5),AND(X734="Outros - Solo", BQ734&gt;=6.5),AND(X734="Outros - Suspenso",BQ734&gt;=4),AND(X734="Deck",BQ734&gt;=4)),'Listas suspensas'!$C$21,'Listas suspensas'!$C$22)</f>
        <v>Os resultados da análise química apresentaram uma retenção do produto inferior ao padrão mínimo exigido pela norma ABNT NBR 16143</v>
      </c>
    </row>
    <row r="735" spans="25:70" x14ac:dyDescent="0.25">
      <c r="Y735" s="34" t="str">
        <f>IF(X735='Listas suspensas'!$A$21,'Listas suspensas'!$B$23,IF(X735='Listas suspensas'!$A$22,'Listas suspensas'!$B$23,IF(X735='Listas suspensas'!$A$23,'Listas suspensas'!$B$22,IF(X735='Listas suspensas'!$A$26,'Listas suspensas'!$B$22,IF(X735='Listas suspensas'!$A$32,'Listas suspensas'!$B$22,IF(X735='Listas suspensas'!$A$33,'Listas suspensas'!$B$21,IF(X735='Listas suspensas'!$A$24,'Listas suspensas'!$B$22,IF(X735='Listas suspensas'!$A$25,'Listas suspensas'!$B$21,IF(X735='Listas suspensas'!$A$30,'Listas suspensas'!$B$21,"")))))))))</f>
        <v/>
      </c>
      <c r="AB735" s="8" t="str">
        <f>IF(AA735='Listas suspensas'!$A$2,'Listas suspensas'!$B$2,IF(AA735='Listas suspensas'!$A$3,'Listas suspensas'!$B$3,IF(AA735='Listas suspensas'!$A$4,'Listas suspensas'!$B$4,IF(AA735='Listas suspensas'!$A$5,'Listas suspensas'!$B$5,IF(AA735='Listas suspensas'!$A$6,'Listas suspensas'!$B$6,"")))))</f>
        <v/>
      </c>
      <c r="AC735" s="8" t="str">
        <f>IF(AA735='Listas suspensas'!$A$2,'Listas suspensas'!$C$2,IF(AA735='Listas suspensas'!$A$3,'Listas suspensas'!$C$3,IF(AA735='Listas suspensas'!$A$4,'Listas suspensas'!$C$4,IF(AA735='Listas suspensas'!$A$5,'Listas suspensas'!$C$5,IF(AA735='Listas suspensas'!$A$6,'Listas suspensas'!$C$6,"")))))</f>
        <v/>
      </c>
      <c r="BE735" s="18">
        <f t="shared" si="113"/>
        <v>0</v>
      </c>
      <c r="BI735" s="13">
        <f t="shared" si="114"/>
        <v>0</v>
      </c>
      <c r="BM735" s="16">
        <f t="shared" si="108"/>
        <v>0</v>
      </c>
      <c r="BN735" s="21">
        <f t="shared" si="109"/>
        <v>0</v>
      </c>
      <c r="BO735" s="21">
        <f t="shared" si="110"/>
        <v>0</v>
      </c>
      <c r="BP735" s="21">
        <f t="shared" si="111"/>
        <v>0</v>
      </c>
      <c r="BQ735" s="14">
        <f t="shared" si="112"/>
        <v>0</v>
      </c>
      <c r="BR735" s="22" t="str">
        <f>IF(OR(AND(X735="Mourões", BQ735&gt;=6.5),AND(X735="Postes", BQ735&gt;=9.6),AND(X735="Dormentes", BQ735&gt;=9.6),AND(X735="Estacas - Solo", BQ735&gt;=6.5),AND(X735="Estacas - Suspenso", BQ735&gt;=4),AND(X735="Cruzetas", BQ735&gt;=6.5),AND(X735="Outros - Solo", BQ735&gt;=6.5),AND(X735="Outros - Suspenso",BQ735&gt;=4),AND(X735="Deck",BQ735&gt;=4)),'Listas suspensas'!$C$21,'Listas suspensas'!$C$22)</f>
        <v>Os resultados da análise química apresentaram uma retenção do produto inferior ao padrão mínimo exigido pela norma ABNT NBR 16143</v>
      </c>
    </row>
    <row r="736" spans="25:70" x14ac:dyDescent="0.25">
      <c r="Y736" s="34" t="str">
        <f>IF(X736='Listas suspensas'!$A$21,'Listas suspensas'!$B$23,IF(X736='Listas suspensas'!$A$22,'Listas suspensas'!$B$23,IF(X736='Listas suspensas'!$A$23,'Listas suspensas'!$B$22,IF(X736='Listas suspensas'!$A$26,'Listas suspensas'!$B$22,IF(X736='Listas suspensas'!$A$32,'Listas suspensas'!$B$22,IF(X736='Listas suspensas'!$A$33,'Listas suspensas'!$B$21,IF(X736='Listas suspensas'!$A$24,'Listas suspensas'!$B$22,IF(X736='Listas suspensas'!$A$25,'Listas suspensas'!$B$21,IF(X736='Listas suspensas'!$A$30,'Listas suspensas'!$B$21,"")))))))))</f>
        <v/>
      </c>
      <c r="AB736" s="8" t="str">
        <f>IF(AA736='Listas suspensas'!$A$2,'Listas suspensas'!$B$2,IF(AA736='Listas suspensas'!$A$3,'Listas suspensas'!$B$3,IF(AA736='Listas suspensas'!$A$4,'Listas suspensas'!$B$4,IF(AA736='Listas suspensas'!$A$5,'Listas suspensas'!$B$5,IF(AA736='Listas suspensas'!$A$6,'Listas suspensas'!$B$6,"")))))</f>
        <v/>
      </c>
      <c r="AC736" s="8" t="str">
        <f>IF(AA736='Listas suspensas'!$A$2,'Listas suspensas'!$C$2,IF(AA736='Listas suspensas'!$A$3,'Listas suspensas'!$C$3,IF(AA736='Listas suspensas'!$A$4,'Listas suspensas'!$C$4,IF(AA736='Listas suspensas'!$A$5,'Listas suspensas'!$C$5,IF(AA736='Listas suspensas'!$A$6,'Listas suspensas'!$C$6,"")))))</f>
        <v/>
      </c>
      <c r="BE736" s="18">
        <f t="shared" si="113"/>
        <v>0</v>
      </c>
      <c r="BI736" s="13">
        <f t="shared" si="114"/>
        <v>0</v>
      </c>
      <c r="BM736" s="16">
        <f t="shared" si="108"/>
        <v>0</v>
      </c>
      <c r="BN736" s="21">
        <f t="shared" si="109"/>
        <v>0</v>
      </c>
      <c r="BO736" s="21">
        <f t="shared" si="110"/>
        <v>0</v>
      </c>
      <c r="BP736" s="21">
        <f t="shared" si="111"/>
        <v>0</v>
      </c>
      <c r="BQ736" s="14">
        <f t="shared" si="112"/>
        <v>0</v>
      </c>
      <c r="BR736" s="22" t="str">
        <f>IF(OR(AND(X736="Mourões", BQ736&gt;=6.5),AND(X736="Postes", BQ736&gt;=9.6),AND(X736="Dormentes", BQ736&gt;=9.6),AND(X736="Estacas - Solo", BQ736&gt;=6.5),AND(X736="Estacas - Suspenso", BQ736&gt;=4),AND(X736="Cruzetas", BQ736&gt;=6.5),AND(X736="Outros - Solo", BQ736&gt;=6.5),AND(X736="Outros - Suspenso",BQ736&gt;=4),AND(X736="Deck",BQ736&gt;=4)),'Listas suspensas'!$C$21,'Listas suspensas'!$C$22)</f>
        <v>Os resultados da análise química apresentaram uma retenção do produto inferior ao padrão mínimo exigido pela norma ABNT NBR 16143</v>
      </c>
    </row>
    <row r="737" spans="25:70" x14ac:dyDescent="0.25">
      <c r="Y737" s="34" t="str">
        <f>IF(X737='Listas suspensas'!$A$21,'Listas suspensas'!$B$23,IF(X737='Listas suspensas'!$A$22,'Listas suspensas'!$B$23,IF(X737='Listas suspensas'!$A$23,'Listas suspensas'!$B$22,IF(X737='Listas suspensas'!$A$26,'Listas suspensas'!$B$22,IF(X737='Listas suspensas'!$A$32,'Listas suspensas'!$B$22,IF(X737='Listas suspensas'!$A$33,'Listas suspensas'!$B$21,IF(X737='Listas suspensas'!$A$24,'Listas suspensas'!$B$22,IF(X737='Listas suspensas'!$A$25,'Listas suspensas'!$B$21,IF(X737='Listas suspensas'!$A$30,'Listas suspensas'!$B$21,"")))))))))</f>
        <v/>
      </c>
      <c r="AB737" s="8" t="str">
        <f>IF(AA737='Listas suspensas'!$A$2,'Listas suspensas'!$B$2,IF(AA737='Listas suspensas'!$A$3,'Listas suspensas'!$B$3,IF(AA737='Listas suspensas'!$A$4,'Listas suspensas'!$B$4,IF(AA737='Listas suspensas'!$A$5,'Listas suspensas'!$B$5,IF(AA737='Listas suspensas'!$A$6,'Listas suspensas'!$B$6,"")))))</f>
        <v/>
      </c>
      <c r="AC737" s="8" t="str">
        <f>IF(AA737='Listas suspensas'!$A$2,'Listas suspensas'!$C$2,IF(AA737='Listas suspensas'!$A$3,'Listas suspensas'!$C$3,IF(AA737='Listas suspensas'!$A$4,'Listas suspensas'!$C$4,IF(AA737='Listas suspensas'!$A$5,'Listas suspensas'!$C$5,IF(AA737='Listas suspensas'!$A$6,'Listas suspensas'!$C$6,"")))))</f>
        <v/>
      </c>
      <c r="BE737" s="18">
        <f t="shared" si="113"/>
        <v>0</v>
      </c>
      <c r="BI737" s="13">
        <f t="shared" si="114"/>
        <v>0</v>
      </c>
      <c r="BM737" s="16">
        <f t="shared" si="108"/>
        <v>0</v>
      </c>
      <c r="BN737" s="21">
        <f t="shared" si="109"/>
        <v>0</v>
      </c>
      <c r="BO737" s="21">
        <f t="shared" si="110"/>
        <v>0</v>
      </c>
      <c r="BP737" s="21">
        <f t="shared" si="111"/>
        <v>0</v>
      </c>
      <c r="BQ737" s="14">
        <f t="shared" si="112"/>
        <v>0</v>
      </c>
      <c r="BR737" s="22" t="str">
        <f>IF(OR(AND(X737="Mourões", BQ737&gt;=6.5),AND(X737="Postes", BQ737&gt;=9.6),AND(X737="Dormentes", BQ737&gt;=9.6),AND(X737="Estacas - Solo", BQ737&gt;=6.5),AND(X737="Estacas - Suspenso", BQ737&gt;=4),AND(X737="Cruzetas", BQ737&gt;=6.5),AND(X737="Outros - Solo", BQ737&gt;=6.5),AND(X737="Outros - Suspenso",BQ737&gt;=4),AND(X737="Deck",BQ737&gt;=4)),'Listas suspensas'!$C$21,'Listas suspensas'!$C$22)</f>
        <v>Os resultados da análise química apresentaram uma retenção do produto inferior ao padrão mínimo exigido pela norma ABNT NBR 16143</v>
      </c>
    </row>
    <row r="738" spans="25:70" x14ac:dyDescent="0.25">
      <c r="Y738" s="34" t="str">
        <f>IF(X738='Listas suspensas'!$A$21,'Listas suspensas'!$B$23,IF(X738='Listas suspensas'!$A$22,'Listas suspensas'!$B$23,IF(X738='Listas suspensas'!$A$23,'Listas suspensas'!$B$22,IF(X738='Listas suspensas'!$A$26,'Listas suspensas'!$B$22,IF(X738='Listas suspensas'!$A$32,'Listas suspensas'!$B$22,IF(X738='Listas suspensas'!$A$33,'Listas suspensas'!$B$21,IF(X738='Listas suspensas'!$A$24,'Listas suspensas'!$B$22,IF(X738='Listas suspensas'!$A$25,'Listas suspensas'!$B$21,IF(X738='Listas suspensas'!$A$30,'Listas suspensas'!$B$21,"")))))))))</f>
        <v/>
      </c>
      <c r="AB738" s="8" t="str">
        <f>IF(AA738='Listas suspensas'!$A$2,'Listas suspensas'!$B$2,IF(AA738='Listas suspensas'!$A$3,'Listas suspensas'!$B$3,IF(AA738='Listas suspensas'!$A$4,'Listas suspensas'!$B$4,IF(AA738='Listas suspensas'!$A$5,'Listas suspensas'!$B$5,IF(AA738='Listas suspensas'!$A$6,'Listas suspensas'!$B$6,"")))))</f>
        <v/>
      </c>
      <c r="AC738" s="8" t="str">
        <f>IF(AA738='Listas suspensas'!$A$2,'Listas suspensas'!$C$2,IF(AA738='Listas suspensas'!$A$3,'Listas suspensas'!$C$3,IF(AA738='Listas suspensas'!$A$4,'Listas suspensas'!$C$4,IF(AA738='Listas suspensas'!$A$5,'Listas suspensas'!$C$5,IF(AA738='Listas suspensas'!$A$6,'Listas suspensas'!$C$6,"")))))</f>
        <v/>
      </c>
      <c r="BE738" s="18">
        <f t="shared" si="113"/>
        <v>0</v>
      </c>
      <c r="BI738" s="13">
        <f t="shared" si="114"/>
        <v>0</v>
      </c>
      <c r="BM738" s="16">
        <f t="shared" si="108"/>
        <v>0</v>
      </c>
      <c r="BN738" s="21">
        <f t="shared" si="109"/>
        <v>0</v>
      </c>
      <c r="BO738" s="21">
        <f t="shared" si="110"/>
        <v>0</v>
      </c>
      <c r="BP738" s="21">
        <f t="shared" si="111"/>
        <v>0</v>
      </c>
      <c r="BQ738" s="14">
        <f t="shared" si="112"/>
        <v>0</v>
      </c>
      <c r="BR738" s="22" t="str">
        <f>IF(OR(AND(X738="Mourões", BQ738&gt;=6.5),AND(X738="Postes", BQ738&gt;=9.6),AND(X738="Dormentes", BQ738&gt;=9.6),AND(X738="Estacas - Solo", BQ738&gt;=6.5),AND(X738="Estacas - Suspenso", BQ738&gt;=4),AND(X738="Cruzetas", BQ738&gt;=6.5),AND(X738="Outros - Solo", BQ738&gt;=6.5),AND(X738="Outros - Suspenso",BQ738&gt;=4),AND(X738="Deck",BQ738&gt;=4)),'Listas suspensas'!$C$21,'Listas suspensas'!$C$22)</f>
        <v>Os resultados da análise química apresentaram uma retenção do produto inferior ao padrão mínimo exigido pela norma ABNT NBR 16143</v>
      </c>
    </row>
    <row r="739" spans="25:70" x14ac:dyDescent="0.25">
      <c r="Y739" s="34" t="str">
        <f>IF(X739='Listas suspensas'!$A$21,'Listas suspensas'!$B$23,IF(X739='Listas suspensas'!$A$22,'Listas suspensas'!$B$23,IF(X739='Listas suspensas'!$A$23,'Listas suspensas'!$B$22,IF(X739='Listas suspensas'!$A$26,'Listas suspensas'!$B$22,IF(X739='Listas suspensas'!$A$32,'Listas suspensas'!$B$22,IF(X739='Listas suspensas'!$A$33,'Listas suspensas'!$B$21,IF(X739='Listas suspensas'!$A$24,'Listas suspensas'!$B$22,IF(X739='Listas suspensas'!$A$25,'Listas suspensas'!$B$21,IF(X739='Listas suspensas'!$A$30,'Listas suspensas'!$B$21,"")))))))))</f>
        <v/>
      </c>
      <c r="AB739" s="8" t="str">
        <f>IF(AA739='Listas suspensas'!$A$2,'Listas suspensas'!$B$2,IF(AA739='Listas suspensas'!$A$3,'Listas suspensas'!$B$3,IF(AA739='Listas suspensas'!$A$4,'Listas suspensas'!$B$4,IF(AA739='Listas suspensas'!$A$5,'Listas suspensas'!$B$5,IF(AA739='Listas suspensas'!$A$6,'Listas suspensas'!$B$6,"")))))</f>
        <v/>
      </c>
      <c r="AC739" s="8" t="str">
        <f>IF(AA739='Listas suspensas'!$A$2,'Listas suspensas'!$C$2,IF(AA739='Listas suspensas'!$A$3,'Listas suspensas'!$C$3,IF(AA739='Listas suspensas'!$A$4,'Listas suspensas'!$C$4,IF(AA739='Listas suspensas'!$A$5,'Listas suspensas'!$C$5,IF(AA739='Listas suspensas'!$A$6,'Listas suspensas'!$C$6,"")))))</f>
        <v/>
      </c>
      <c r="BE739" s="18">
        <f t="shared" si="113"/>
        <v>0</v>
      </c>
      <c r="BI739" s="13">
        <f t="shared" si="114"/>
        <v>0</v>
      </c>
      <c r="BM739" s="16">
        <f t="shared" si="108"/>
        <v>0</v>
      </c>
      <c r="BN739" s="21">
        <f t="shared" si="109"/>
        <v>0</v>
      </c>
      <c r="BO739" s="21">
        <f t="shared" si="110"/>
        <v>0</v>
      </c>
      <c r="BP739" s="21">
        <f t="shared" si="111"/>
        <v>0</v>
      </c>
      <c r="BQ739" s="14">
        <f t="shared" si="112"/>
        <v>0</v>
      </c>
      <c r="BR739" s="22" t="str">
        <f>IF(OR(AND(X739="Mourões", BQ739&gt;=6.5),AND(X739="Postes", BQ739&gt;=9.6),AND(X739="Dormentes", BQ739&gt;=9.6),AND(X739="Estacas - Solo", BQ739&gt;=6.5),AND(X739="Estacas - Suspenso", BQ739&gt;=4),AND(X739="Cruzetas", BQ739&gt;=6.5),AND(X739="Outros - Solo", BQ739&gt;=6.5),AND(X739="Outros - Suspenso",BQ739&gt;=4),AND(X739="Deck",BQ739&gt;=4)),'Listas suspensas'!$C$21,'Listas suspensas'!$C$22)</f>
        <v>Os resultados da análise química apresentaram uma retenção do produto inferior ao padrão mínimo exigido pela norma ABNT NBR 16143</v>
      </c>
    </row>
    <row r="740" spans="25:70" x14ac:dyDescent="0.25">
      <c r="Y740" s="34" t="str">
        <f>IF(X740='Listas suspensas'!$A$21,'Listas suspensas'!$B$23,IF(X740='Listas suspensas'!$A$22,'Listas suspensas'!$B$23,IF(X740='Listas suspensas'!$A$23,'Listas suspensas'!$B$22,IF(X740='Listas suspensas'!$A$26,'Listas suspensas'!$B$22,IF(X740='Listas suspensas'!$A$32,'Listas suspensas'!$B$22,IF(X740='Listas suspensas'!$A$33,'Listas suspensas'!$B$21,IF(X740='Listas suspensas'!$A$24,'Listas suspensas'!$B$22,IF(X740='Listas suspensas'!$A$25,'Listas suspensas'!$B$21,IF(X740='Listas suspensas'!$A$30,'Listas suspensas'!$B$21,"")))))))))</f>
        <v/>
      </c>
      <c r="AB740" s="8" t="str">
        <f>IF(AA740='Listas suspensas'!$A$2,'Listas suspensas'!$B$2,IF(AA740='Listas suspensas'!$A$3,'Listas suspensas'!$B$3,IF(AA740='Listas suspensas'!$A$4,'Listas suspensas'!$B$4,IF(AA740='Listas suspensas'!$A$5,'Listas suspensas'!$B$5,IF(AA740='Listas suspensas'!$A$6,'Listas suspensas'!$B$6,"")))))</f>
        <v/>
      </c>
      <c r="AC740" s="8" t="str">
        <f>IF(AA740='Listas suspensas'!$A$2,'Listas suspensas'!$C$2,IF(AA740='Listas suspensas'!$A$3,'Listas suspensas'!$C$3,IF(AA740='Listas suspensas'!$A$4,'Listas suspensas'!$C$4,IF(AA740='Listas suspensas'!$A$5,'Listas suspensas'!$C$5,IF(AA740='Listas suspensas'!$A$6,'Listas suspensas'!$C$6,"")))))</f>
        <v/>
      </c>
      <c r="BE740" s="18">
        <f t="shared" si="113"/>
        <v>0</v>
      </c>
      <c r="BI740" s="13">
        <f t="shared" si="114"/>
        <v>0</v>
      </c>
      <c r="BM740" s="16">
        <f t="shared" si="108"/>
        <v>0</v>
      </c>
      <c r="BN740" s="21">
        <f t="shared" si="109"/>
        <v>0</v>
      </c>
      <c r="BO740" s="21">
        <f t="shared" si="110"/>
        <v>0</v>
      </c>
      <c r="BP740" s="21">
        <f t="shared" si="111"/>
        <v>0</v>
      </c>
      <c r="BQ740" s="14">
        <f t="shared" si="112"/>
        <v>0</v>
      </c>
      <c r="BR740" s="22" t="str">
        <f>IF(OR(AND(X740="Mourões", BQ740&gt;=6.5),AND(X740="Postes", BQ740&gt;=9.6),AND(X740="Dormentes", BQ740&gt;=9.6),AND(X740="Estacas - Solo", BQ740&gt;=6.5),AND(X740="Estacas - Suspenso", BQ740&gt;=4),AND(X740="Cruzetas", BQ740&gt;=6.5),AND(X740="Outros - Solo", BQ740&gt;=6.5),AND(X740="Outros - Suspenso",BQ740&gt;=4),AND(X740="Deck",BQ740&gt;=4)),'Listas suspensas'!$C$21,'Listas suspensas'!$C$22)</f>
        <v>Os resultados da análise química apresentaram uma retenção do produto inferior ao padrão mínimo exigido pela norma ABNT NBR 16143</v>
      </c>
    </row>
    <row r="741" spans="25:70" x14ac:dyDescent="0.25">
      <c r="Y741" s="34" t="str">
        <f>IF(X741='Listas suspensas'!$A$21,'Listas suspensas'!$B$23,IF(X741='Listas suspensas'!$A$22,'Listas suspensas'!$B$23,IF(X741='Listas suspensas'!$A$23,'Listas suspensas'!$B$22,IF(X741='Listas suspensas'!$A$26,'Listas suspensas'!$B$22,IF(X741='Listas suspensas'!$A$32,'Listas suspensas'!$B$22,IF(X741='Listas suspensas'!$A$33,'Listas suspensas'!$B$21,IF(X741='Listas suspensas'!$A$24,'Listas suspensas'!$B$22,IF(X741='Listas suspensas'!$A$25,'Listas suspensas'!$B$21,IF(X741='Listas suspensas'!$A$30,'Listas suspensas'!$B$21,"")))))))))</f>
        <v/>
      </c>
      <c r="AB741" s="8" t="str">
        <f>IF(AA741='Listas suspensas'!$A$2,'Listas suspensas'!$B$2,IF(AA741='Listas suspensas'!$A$3,'Listas suspensas'!$B$3,IF(AA741='Listas suspensas'!$A$4,'Listas suspensas'!$B$4,IF(AA741='Listas suspensas'!$A$5,'Listas suspensas'!$B$5,IF(AA741='Listas suspensas'!$A$6,'Listas suspensas'!$B$6,"")))))</f>
        <v/>
      </c>
      <c r="AC741" s="8" t="str">
        <f>IF(AA741='Listas suspensas'!$A$2,'Listas suspensas'!$C$2,IF(AA741='Listas suspensas'!$A$3,'Listas suspensas'!$C$3,IF(AA741='Listas suspensas'!$A$4,'Listas suspensas'!$C$4,IF(AA741='Listas suspensas'!$A$5,'Listas suspensas'!$C$5,IF(AA741='Listas suspensas'!$A$6,'Listas suspensas'!$C$6,"")))))</f>
        <v/>
      </c>
      <c r="BE741" s="18">
        <f t="shared" si="113"/>
        <v>0</v>
      </c>
      <c r="BI741" s="13">
        <f t="shared" si="114"/>
        <v>0</v>
      </c>
      <c r="BM741" s="16">
        <f t="shared" si="108"/>
        <v>0</v>
      </c>
      <c r="BN741" s="21">
        <f t="shared" si="109"/>
        <v>0</v>
      </c>
      <c r="BO741" s="21">
        <f t="shared" si="110"/>
        <v>0</v>
      </c>
      <c r="BP741" s="21">
        <f t="shared" si="111"/>
        <v>0</v>
      </c>
      <c r="BQ741" s="14">
        <f t="shared" si="112"/>
        <v>0</v>
      </c>
      <c r="BR741" s="22" t="str">
        <f>IF(OR(AND(X741="Mourões", BQ741&gt;=6.5),AND(X741="Postes", BQ741&gt;=9.6),AND(X741="Dormentes", BQ741&gt;=9.6),AND(X741="Estacas - Solo", BQ741&gt;=6.5),AND(X741="Estacas - Suspenso", BQ741&gt;=4),AND(X741="Cruzetas", BQ741&gt;=6.5),AND(X741="Outros - Solo", BQ741&gt;=6.5),AND(X741="Outros - Suspenso",BQ741&gt;=4),AND(X741="Deck",BQ741&gt;=4)),'Listas suspensas'!$C$21,'Listas suspensas'!$C$22)</f>
        <v>Os resultados da análise química apresentaram uma retenção do produto inferior ao padrão mínimo exigido pela norma ABNT NBR 16143</v>
      </c>
    </row>
    <row r="742" spans="25:70" x14ac:dyDescent="0.25">
      <c r="Y742" s="34" t="str">
        <f>IF(X742='Listas suspensas'!$A$21,'Listas suspensas'!$B$23,IF(X742='Listas suspensas'!$A$22,'Listas suspensas'!$B$23,IF(X742='Listas suspensas'!$A$23,'Listas suspensas'!$B$22,IF(X742='Listas suspensas'!$A$26,'Listas suspensas'!$B$22,IF(X742='Listas suspensas'!$A$32,'Listas suspensas'!$B$22,IF(X742='Listas suspensas'!$A$33,'Listas suspensas'!$B$21,IF(X742='Listas suspensas'!$A$24,'Listas suspensas'!$B$22,IF(X742='Listas suspensas'!$A$25,'Listas suspensas'!$B$21,IF(X742='Listas suspensas'!$A$30,'Listas suspensas'!$B$21,"")))))))))</f>
        <v/>
      </c>
      <c r="AB742" s="8" t="str">
        <f>IF(AA742='Listas suspensas'!$A$2,'Listas suspensas'!$B$2,IF(AA742='Listas suspensas'!$A$3,'Listas suspensas'!$B$3,IF(AA742='Listas suspensas'!$A$4,'Listas suspensas'!$B$4,IF(AA742='Listas suspensas'!$A$5,'Listas suspensas'!$B$5,IF(AA742='Listas suspensas'!$A$6,'Listas suspensas'!$B$6,"")))))</f>
        <v/>
      </c>
      <c r="AC742" s="8" t="str">
        <f>IF(AA742='Listas suspensas'!$A$2,'Listas suspensas'!$C$2,IF(AA742='Listas suspensas'!$A$3,'Listas suspensas'!$C$3,IF(AA742='Listas suspensas'!$A$4,'Listas suspensas'!$C$4,IF(AA742='Listas suspensas'!$A$5,'Listas suspensas'!$C$5,IF(AA742='Listas suspensas'!$A$6,'Listas suspensas'!$C$6,"")))))</f>
        <v/>
      </c>
      <c r="BE742" s="18">
        <f t="shared" si="113"/>
        <v>0</v>
      </c>
      <c r="BI742" s="13">
        <f t="shared" si="114"/>
        <v>0</v>
      </c>
      <c r="BM742" s="16">
        <f t="shared" si="108"/>
        <v>0</v>
      </c>
      <c r="BN742" s="21">
        <f t="shared" si="109"/>
        <v>0</v>
      </c>
      <c r="BO742" s="21">
        <f t="shared" si="110"/>
        <v>0</v>
      </c>
      <c r="BP742" s="21">
        <f t="shared" si="111"/>
        <v>0</v>
      </c>
      <c r="BQ742" s="14">
        <f t="shared" si="112"/>
        <v>0</v>
      </c>
      <c r="BR742" s="22" t="str">
        <f>IF(OR(AND(X742="Mourões", BQ742&gt;=6.5),AND(X742="Postes", BQ742&gt;=9.6),AND(X742="Dormentes", BQ742&gt;=9.6),AND(X742="Estacas - Solo", BQ742&gt;=6.5),AND(X742="Estacas - Suspenso", BQ742&gt;=4),AND(X742="Cruzetas", BQ742&gt;=6.5),AND(X742="Outros - Solo", BQ742&gt;=6.5),AND(X742="Outros - Suspenso",BQ742&gt;=4),AND(X742="Deck",BQ742&gt;=4)),'Listas suspensas'!$C$21,'Listas suspensas'!$C$22)</f>
        <v>Os resultados da análise química apresentaram uma retenção do produto inferior ao padrão mínimo exigido pela norma ABNT NBR 16143</v>
      </c>
    </row>
    <row r="743" spans="25:70" x14ac:dyDescent="0.25">
      <c r="Y743" s="34" t="str">
        <f>IF(X743='Listas suspensas'!$A$21,'Listas suspensas'!$B$23,IF(X743='Listas suspensas'!$A$22,'Listas suspensas'!$B$23,IF(X743='Listas suspensas'!$A$23,'Listas suspensas'!$B$22,IF(X743='Listas suspensas'!$A$26,'Listas suspensas'!$B$22,IF(X743='Listas suspensas'!$A$32,'Listas suspensas'!$B$22,IF(X743='Listas suspensas'!$A$33,'Listas suspensas'!$B$21,IF(X743='Listas suspensas'!$A$24,'Listas suspensas'!$B$22,IF(X743='Listas suspensas'!$A$25,'Listas suspensas'!$B$21,IF(X743='Listas suspensas'!$A$30,'Listas suspensas'!$B$21,"")))))))))</f>
        <v/>
      </c>
      <c r="AB743" s="8" t="str">
        <f>IF(AA743='Listas suspensas'!$A$2,'Listas suspensas'!$B$2,IF(AA743='Listas suspensas'!$A$3,'Listas suspensas'!$B$3,IF(AA743='Listas suspensas'!$A$4,'Listas suspensas'!$B$4,IF(AA743='Listas suspensas'!$A$5,'Listas suspensas'!$B$5,IF(AA743='Listas suspensas'!$A$6,'Listas suspensas'!$B$6,"")))))</f>
        <v/>
      </c>
      <c r="AC743" s="8" t="str">
        <f>IF(AA743='Listas suspensas'!$A$2,'Listas suspensas'!$C$2,IF(AA743='Listas suspensas'!$A$3,'Listas suspensas'!$C$3,IF(AA743='Listas suspensas'!$A$4,'Listas suspensas'!$C$4,IF(AA743='Listas suspensas'!$A$5,'Listas suspensas'!$C$5,IF(AA743='Listas suspensas'!$A$6,'Listas suspensas'!$C$6,"")))))</f>
        <v/>
      </c>
      <c r="BE743" s="18">
        <f t="shared" si="113"/>
        <v>0</v>
      </c>
      <c r="BI743" s="13">
        <f t="shared" si="114"/>
        <v>0</v>
      </c>
      <c r="BM743" s="16">
        <f t="shared" si="108"/>
        <v>0</v>
      </c>
      <c r="BN743" s="21">
        <f t="shared" si="109"/>
        <v>0</v>
      </c>
      <c r="BO743" s="21">
        <f t="shared" si="110"/>
        <v>0</v>
      </c>
      <c r="BP743" s="21">
        <f t="shared" si="111"/>
        <v>0</v>
      </c>
      <c r="BQ743" s="14">
        <f t="shared" si="112"/>
        <v>0</v>
      </c>
      <c r="BR743" s="22" t="str">
        <f>IF(OR(AND(X743="Mourões", BQ743&gt;=6.5),AND(X743="Postes", BQ743&gt;=9.6),AND(X743="Dormentes", BQ743&gt;=9.6),AND(X743="Estacas - Solo", BQ743&gt;=6.5),AND(X743="Estacas - Suspenso", BQ743&gt;=4),AND(X743="Cruzetas", BQ743&gt;=6.5),AND(X743="Outros - Solo", BQ743&gt;=6.5),AND(X743="Outros - Suspenso",BQ743&gt;=4),AND(X743="Deck",BQ743&gt;=4)),'Listas suspensas'!$C$21,'Listas suspensas'!$C$22)</f>
        <v>Os resultados da análise química apresentaram uma retenção do produto inferior ao padrão mínimo exigido pela norma ABNT NBR 16143</v>
      </c>
    </row>
    <row r="744" spans="25:70" x14ac:dyDescent="0.25">
      <c r="Y744" s="34" t="str">
        <f>IF(X744='Listas suspensas'!$A$21,'Listas suspensas'!$B$23,IF(X744='Listas suspensas'!$A$22,'Listas suspensas'!$B$23,IF(X744='Listas suspensas'!$A$23,'Listas suspensas'!$B$22,IF(X744='Listas suspensas'!$A$26,'Listas suspensas'!$B$22,IF(X744='Listas suspensas'!$A$32,'Listas suspensas'!$B$22,IF(X744='Listas suspensas'!$A$33,'Listas suspensas'!$B$21,IF(X744='Listas suspensas'!$A$24,'Listas suspensas'!$B$22,IF(X744='Listas suspensas'!$A$25,'Listas suspensas'!$B$21,IF(X744='Listas suspensas'!$A$30,'Listas suspensas'!$B$21,"")))))))))</f>
        <v/>
      </c>
      <c r="AB744" s="8" t="str">
        <f>IF(AA744='Listas suspensas'!$A$2,'Listas suspensas'!$B$2,IF(AA744='Listas suspensas'!$A$3,'Listas suspensas'!$B$3,IF(AA744='Listas suspensas'!$A$4,'Listas suspensas'!$B$4,IF(AA744='Listas suspensas'!$A$5,'Listas suspensas'!$B$5,IF(AA744='Listas suspensas'!$A$6,'Listas suspensas'!$B$6,"")))))</f>
        <v/>
      </c>
      <c r="AC744" s="8" t="str">
        <f>IF(AA744='Listas suspensas'!$A$2,'Listas suspensas'!$C$2,IF(AA744='Listas suspensas'!$A$3,'Listas suspensas'!$C$3,IF(AA744='Listas suspensas'!$A$4,'Listas suspensas'!$C$4,IF(AA744='Listas suspensas'!$A$5,'Listas suspensas'!$C$5,IF(AA744='Listas suspensas'!$A$6,'Listas suspensas'!$C$6,"")))))</f>
        <v/>
      </c>
      <c r="BE744" s="18">
        <f t="shared" si="113"/>
        <v>0</v>
      </c>
      <c r="BI744" s="13">
        <f t="shared" si="114"/>
        <v>0</v>
      </c>
      <c r="BM744" s="16">
        <f t="shared" ref="BM744:BM807" si="115">ROUND(SUM(BJ744:BL744),2)</f>
        <v>0</v>
      </c>
      <c r="BN744" s="21">
        <f t="shared" ref="BN744:BN807" si="116">ROUND((BF744/100)*BE744,2)</f>
        <v>0</v>
      </c>
      <c r="BO744" s="21">
        <f t="shared" ref="BO744:BO807" si="117">ROUND((BG744/100)*BE744,2)</f>
        <v>0</v>
      </c>
      <c r="BP744" s="21">
        <f t="shared" ref="BP744:BP807" si="118">ROUND((BH744/100)*BE744,2)</f>
        <v>0</v>
      </c>
      <c r="BQ744" s="14">
        <f t="shared" ref="BQ744:BQ807" si="119">ROUND(SUM(BN744:BP744),2)</f>
        <v>0</v>
      </c>
      <c r="BR744" s="22" t="str">
        <f>IF(OR(AND(X744="Mourões", BQ744&gt;=6.5),AND(X744="Postes", BQ744&gt;=9.6),AND(X744="Dormentes", BQ744&gt;=9.6),AND(X744="Estacas - Solo", BQ744&gt;=6.5),AND(X744="Estacas - Suspenso", BQ744&gt;=4),AND(X744="Cruzetas", BQ744&gt;=6.5),AND(X744="Outros - Solo", BQ744&gt;=6.5),AND(X744="Outros - Suspenso",BQ744&gt;=4),AND(X744="Deck",BQ744&gt;=4)),'Listas suspensas'!$C$21,'Listas suspensas'!$C$22)</f>
        <v>Os resultados da análise química apresentaram uma retenção do produto inferior ao padrão mínimo exigido pela norma ABNT NBR 16143</v>
      </c>
    </row>
    <row r="745" spans="25:70" x14ac:dyDescent="0.25">
      <c r="Y745" s="34" t="str">
        <f>IF(X745='Listas suspensas'!$A$21,'Listas suspensas'!$B$23,IF(X745='Listas suspensas'!$A$22,'Listas suspensas'!$B$23,IF(X745='Listas suspensas'!$A$23,'Listas suspensas'!$B$22,IF(X745='Listas suspensas'!$A$26,'Listas suspensas'!$B$22,IF(X745='Listas suspensas'!$A$32,'Listas suspensas'!$B$22,IF(X745='Listas suspensas'!$A$33,'Listas suspensas'!$B$21,IF(X745='Listas suspensas'!$A$24,'Listas suspensas'!$B$22,IF(X745='Listas suspensas'!$A$25,'Listas suspensas'!$B$21,IF(X745='Listas suspensas'!$A$30,'Listas suspensas'!$B$21,"")))))))))</f>
        <v/>
      </c>
      <c r="AB745" s="8" t="str">
        <f>IF(AA745='Listas suspensas'!$A$2,'Listas suspensas'!$B$2,IF(AA745='Listas suspensas'!$A$3,'Listas suspensas'!$B$3,IF(AA745='Listas suspensas'!$A$4,'Listas suspensas'!$B$4,IF(AA745='Listas suspensas'!$A$5,'Listas suspensas'!$B$5,IF(AA745='Listas suspensas'!$A$6,'Listas suspensas'!$B$6,"")))))</f>
        <v/>
      </c>
      <c r="AC745" s="8" t="str">
        <f>IF(AA745='Listas suspensas'!$A$2,'Listas suspensas'!$C$2,IF(AA745='Listas suspensas'!$A$3,'Listas suspensas'!$C$3,IF(AA745='Listas suspensas'!$A$4,'Listas suspensas'!$C$4,IF(AA745='Listas suspensas'!$A$5,'Listas suspensas'!$C$5,IF(AA745='Listas suspensas'!$A$6,'Listas suspensas'!$C$6,"")))))</f>
        <v/>
      </c>
      <c r="BE745" s="18">
        <f t="shared" si="113"/>
        <v>0</v>
      </c>
      <c r="BI745" s="13">
        <f t="shared" si="114"/>
        <v>0</v>
      </c>
      <c r="BM745" s="16">
        <f t="shared" si="115"/>
        <v>0</v>
      </c>
      <c r="BN745" s="21">
        <f t="shared" si="116"/>
        <v>0</v>
      </c>
      <c r="BO745" s="21">
        <f t="shared" si="117"/>
        <v>0</v>
      </c>
      <c r="BP745" s="21">
        <f t="shared" si="118"/>
        <v>0</v>
      </c>
      <c r="BQ745" s="14">
        <f t="shared" si="119"/>
        <v>0</v>
      </c>
      <c r="BR745" s="22" t="str">
        <f>IF(OR(AND(X745="Mourões", BQ745&gt;=6.5),AND(X745="Postes", BQ745&gt;=9.6),AND(X745="Dormentes", BQ745&gt;=9.6),AND(X745="Estacas - Solo", BQ745&gt;=6.5),AND(X745="Estacas - Suspenso", BQ745&gt;=4),AND(X745="Cruzetas", BQ745&gt;=6.5),AND(X745="Outros - Solo", BQ745&gt;=6.5),AND(X745="Outros - Suspenso",BQ745&gt;=4),AND(X745="Deck",BQ745&gt;=4)),'Listas suspensas'!$C$21,'Listas suspensas'!$C$22)</f>
        <v>Os resultados da análise química apresentaram uma retenção do produto inferior ao padrão mínimo exigido pela norma ABNT NBR 16143</v>
      </c>
    </row>
    <row r="746" spans="25:70" x14ac:dyDescent="0.25">
      <c r="Y746" s="34" t="str">
        <f>IF(X746='Listas suspensas'!$A$21,'Listas suspensas'!$B$23,IF(X746='Listas suspensas'!$A$22,'Listas suspensas'!$B$23,IF(X746='Listas suspensas'!$A$23,'Listas suspensas'!$B$22,IF(X746='Listas suspensas'!$A$26,'Listas suspensas'!$B$22,IF(X746='Listas suspensas'!$A$32,'Listas suspensas'!$B$22,IF(X746='Listas suspensas'!$A$33,'Listas suspensas'!$B$21,IF(X746='Listas suspensas'!$A$24,'Listas suspensas'!$B$22,IF(X746='Listas suspensas'!$A$25,'Listas suspensas'!$B$21,IF(X746='Listas suspensas'!$A$30,'Listas suspensas'!$B$21,"")))))))))</f>
        <v/>
      </c>
      <c r="AB746" s="8" t="str">
        <f>IF(AA746='Listas suspensas'!$A$2,'Listas suspensas'!$B$2,IF(AA746='Listas suspensas'!$A$3,'Listas suspensas'!$B$3,IF(AA746='Listas suspensas'!$A$4,'Listas suspensas'!$B$4,IF(AA746='Listas suspensas'!$A$5,'Listas suspensas'!$B$5,IF(AA746='Listas suspensas'!$A$6,'Listas suspensas'!$B$6,"")))))</f>
        <v/>
      </c>
      <c r="AC746" s="8" t="str">
        <f>IF(AA746='Listas suspensas'!$A$2,'Listas suspensas'!$C$2,IF(AA746='Listas suspensas'!$A$3,'Listas suspensas'!$C$3,IF(AA746='Listas suspensas'!$A$4,'Listas suspensas'!$C$4,IF(AA746='Listas suspensas'!$A$5,'Listas suspensas'!$C$5,IF(AA746='Listas suspensas'!$A$6,'Listas suspensas'!$C$6,"")))))</f>
        <v/>
      </c>
      <c r="BE746" s="18">
        <f t="shared" si="113"/>
        <v>0</v>
      </c>
      <c r="BI746" s="13">
        <f t="shared" si="114"/>
        <v>0</v>
      </c>
      <c r="BM746" s="16">
        <f t="shared" si="115"/>
        <v>0</v>
      </c>
      <c r="BN746" s="21">
        <f t="shared" si="116"/>
        <v>0</v>
      </c>
      <c r="BO746" s="21">
        <f t="shared" si="117"/>
        <v>0</v>
      </c>
      <c r="BP746" s="21">
        <f t="shared" si="118"/>
        <v>0</v>
      </c>
      <c r="BQ746" s="14">
        <f t="shared" si="119"/>
        <v>0</v>
      </c>
      <c r="BR746" s="22" t="str">
        <f>IF(OR(AND(X746="Mourões", BQ746&gt;=6.5),AND(X746="Postes", BQ746&gt;=9.6),AND(X746="Dormentes", BQ746&gt;=9.6),AND(X746="Estacas - Solo", BQ746&gt;=6.5),AND(X746="Estacas - Suspenso", BQ746&gt;=4),AND(X746="Cruzetas", BQ746&gt;=6.5),AND(X746="Outros - Solo", BQ746&gt;=6.5),AND(X746="Outros - Suspenso",BQ746&gt;=4),AND(X746="Deck",BQ746&gt;=4)),'Listas suspensas'!$C$21,'Listas suspensas'!$C$22)</f>
        <v>Os resultados da análise química apresentaram uma retenção do produto inferior ao padrão mínimo exigido pela norma ABNT NBR 16143</v>
      </c>
    </row>
    <row r="747" spans="25:70" x14ac:dyDescent="0.25">
      <c r="Y747" s="34" t="str">
        <f>IF(X747='Listas suspensas'!$A$21,'Listas suspensas'!$B$23,IF(X747='Listas suspensas'!$A$22,'Listas suspensas'!$B$23,IF(X747='Listas suspensas'!$A$23,'Listas suspensas'!$B$22,IF(X747='Listas suspensas'!$A$26,'Listas suspensas'!$B$22,IF(X747='Listas suspensas'!$A$32,'Listas suspensas'!$B$22,IF(X747='Listas suspensas'!$A$33,'Listas suspensas'!$B$21,IF(X747='Listas suspensas'!$A$24,'Listas suspensas'!$B$22,IF(X747='Listas suspensas'!$A$25,'Listas suspensas'!$B$21,IF(X747='Listas suspensas'!$A$30,'Listas suspensas'!$B$21,"")))))))))</f>
        <v/>
      </c>
      <c r="AB747" s="8" t="str">
        <f>IF(AA747='Listas suspensas'!$A$2,'Listas suspensas'!$B$2,IF(AA747='Listas suspensas'!$A$3,'Listas suspensas'!$B$3,IF(AA747='Listas suspensas'!$A$4,'Listas suspensas'!$B$4,IF(AA747='Listas suspensas'!$A$5,'Listas suspensas'!$B$5,IF(AA747='Listas suspensas'!$A$6,'Listas suspensas'!$B$6,"")))))</f>
        <v/>
      </c>
      <c r="AC747" s="8" t="str">
        <f>IF(AA747='Listas suspensas'!$A$2,'Listas suspensas'!$C$2,IF(AA747='Listas suspensas'!$A$3,'Listas suspensas'!$C$3,IF(AA747='Listas suspensas'!$A$4,'Listas suspensas'!$C$4,IF(AA747='Listas suspensas'!$A$5,'Listas suspensas'!$C$5,IF(AA747='Listas suspensas'!$A$6,'Listas suspensas'!$C$6,"")))))</f>
        <v/>
      </c>
      <c r="BE747" s="18">
        <f t="shared" si="113"/>
        <v>0</v>
      </c>
      <c r="BI747" s="13">
        <f t="shared" si="114"/>
        <v>0</v>
      </c>
      <c r="BM747" s="16">
        <f t="shared" si="115"/>
        <v>0</v>
      </c>
      <c r="BN747" s="21">
        <f t="shared" si="116"/>
        <v>0</v>
      </c>
      <c r="BO747" s="21">
        <f t="shared" si="117"/>
        <v>0</v>
      </c>
      <c r="BP747" s="21">
        <f t="shared" si="118"/>
        <v>0</v>
      </c>
      <c r="BQ747" s="14">
        <f t="shared" si="119"/>
        <v>0</v>
      </c>
      <c r="BR747" s="22" t="str">
        <f>IF(OR(AND(X747="Mourões", BQ747&gt;=6.5),AND(X747="Postes", BQ747&gt;=9.6),AND(X747="Dormentes", BQ747&gt;=9.6),AND(X747="Estacas - Solo", BQ747&gt;=6.5),AND(X747="Estacas - Suspenso", BQ747&gt;=4),AND(X747="Cruzetas", BQ747&gt;=6.5),AND(X747="Outros - Solo", BQ747&gt;=6.5),AND(X747="Outros - Suspenso",BQ747&gt;=4),AND(X747="Deck",BQ747&gt;=4)),'Listas suspensas'!$C$21,'Listas suspensas'!$C$22)</f>
        <v>Os resultados da análise química apresentaram uma retenção do produto inferior ao padrão mínimo exigido pela norma ABNT NBR 16143</v>
      </c>
    </row>
    <row r="748" spans="25:70" x14ac:dyDescent="0.25">
      <c r="Y748" s="34" t="str">
        <f>IF(X748='Listas suspensas'!$A$21,'Listas suspensas'!$B$23,IF(X748='Listas suspensas'!$A$22,'Listas suspensas'!$B$23,IF(X748='Listas suspensas'!$A$23,'Listas suspensas'!$B$22,IF(X748='Listas suspensas'!$A$26,'Listas suspensas'!$B$22,IF(X748='Listas suspensas'!$A$32,'Listas suspensas'!$B$22,IF(X748='Listas suspensas'!$A$33,'Listas suspensas'!$B$21,IF(X748='Listas suspensas'!$A$24,'Listas suspensas'!$B$22,IF(X748='Listas suspensas'!$A$25,'Listas suspensas'!$B$21,IF(X748='Listas suspensas'!$A$30,'Listas suspensas'!$B$21,"")))))))))</f>
        <v/>
      </c>
      <c r="AB748" s="8" t="str">
        <f>IF(AA748='Listas suspensas'!$A$2,'Listas suspensas'!$B$2,IF(AA748='Listas suspensas'!$A$3,'Listas suspensas'!$B$3,IF(AA748='Listas suspensas'!$A$4,'Listas suspensas'!$B$4,IF(AA748='Listas suspensas'!$A$5,'Listas suspensas'!$B$5,IF(AA748='Listas suspensas'!$A$6,'Listas suspensas'!$B$6,"")))))</f>
        <v/>
      </c>
      <c r="AC748" s="8" t="str">
        <f>IF(AA748='Listas suspensas'!$A$2,'Listas suspensas'!$C$2,IF(AA748='Listas suspensas'!$A$3,'Listas suspensas'!$C$3,IF(AA748='Listas suspensas'!$A$4,'Listas suspensas'!$C$4,IF(AA748='Listas suspensas'!$A$5,'Listas suspensas'!$C$5,IF(AA748='Listas suspensas'!$A$6,'Listas suspensas'!$C$6,"")))))</f>
        <v/>
      </c>
      <c r="BE748" s="18">
        <f t="shared" si="113"/>
        <v>0</v>
      </c>
      <c r="BI748" s="13">
        <f t="shared" si="114"/>
        <v>0</v>
      </c>
      <c r="BM748" s="16">
        <f t="shared" si="115"/>
        <v>0</v>
      </c>
      <c r="BN748" s="21">
        <f t="shared" si="116"/>
        <v>0</v>
      </c>
      <c r="BO748" s="21">
        <f t="shared" si="117"/>
        <v>0</v>
      </c>
      <c r="BP748" s="21">
        <f t="shared" si="118"/>
        <v>0</v>
      </c>
      <c r="BQ748" s="14">
        <f t="shared" si="119"/>
        <v>0</v>
      </c>
      <c r="BR748" s="22" t="str">
        <f>IF(OR(AND(X748="Mourões", BQ748&gt;=6.5),AND(X748="Postes", BQ748&gt;=9.6),AND(X748="Dormentes", BQ748&gt;=9.6),AND(X748="Estacas - Solo", BQ748&gt;=6.5),AND(X748="Estacas - Suspenso", BQ748&gt;=4),AND(X748="Cruzetas", BQ748&gt;=6.5),AND(X748="Outros - Solo", BQ748&gt;=6.5),AND(X748="Outros - Suspenso",BQ748&gt;=4),AND(X748="Deck",BQ748&gt;=4)),'Listas suspensas'!$C$21,'Listas suspensas'!$C$22)</f>
        <v>Os resultados da análise química apresentaram uma retenção do produto inferior ao padrão mínimo exigido pela norma ABNT NBR 16143</v>
      </c>
    </row>
    <row r="749" spans="25:70" x14ac:dyDescent="0.25">
      <c r="Y749" s="34" t="str">
        <f>IF(X749='Listas suspensas'!$A$21,'Listas suspensas'!$B$23,IF(X749='Listas suspensas'!$A$22,'Listas suspensas'!$B$23,IF(X749='Listas suspensas'!$A$23,'Listas suspensas'!$B$22,IF(X749='Listas suspensas'!$A$26,'Listas suspensas'!$B$22,IF(X749='Listas suspensas'!$A$32,'Listas suspensas'!$B$22,IF(X749='Listas suspensas'!$A$33,'Listas suspensas'!$B$21,IF(X749='Listas suspensas'!$A$24,'Listas suspensas'!$B$22,IF(X749='Listas suspensas'!$A$25,'Listas suspensas'!$B$21,IF(X749='Listas suspensas'!$A$30,'Listas suspensas'!$B$21,"")))))))))</f>
        <v/>
      </c>
      <c r="AB749" s="8" t="str">
        <f>IF(AA749='Listas suspensas'!$A$2,'Listas suspensas'!$B$2,IF(AA749='Listas suspensas'!$A$3,'Listas suspensas'!$B$3,IF(AA749='Listas suspensas'!$A$4,'Listas suspensas'!$B$4,IF(AA749='Listas suspensas'!$A$5,'Listas suspensas'!$B$5,IF(AA749='Listas suspensas'!$A$6,'Listas suspensas'!$B$6,"")))))</f>
        <v/>
      </c>
      <c r="AC749" s="8" t="str">
        <f>IF(AA749='Listas suspensas'!$A$2,'Listas suspensas'!$C$2,IF(AA749='Listas suspensas'!$A$3,'Listas suspensas'!$C$3,IF(AA749='Listas suspensas'!$A$4,'Listas suspensas'!$C$4,IF(AA749='Listas suspensas'!$A$5,'Listas suspensas'!$C$5,IF(AA749='Listas suspensas'!$A$6,'Listas suspensas'!$C$6,"")))))</f>
        <v/>
      </c>
      <c r="BE749" s="18">
        <f t="shared" si="113"/>
        <v>0</v>
      </c>
      <c r="BI749" s="13">
        <f t="shared" si="114"/>
        <v>0</v>
      </c>
      <c r="BM749" s="16">
        <f t="shared" si="115"/>
        <v>0</v>
      </c>
      <c r="BN749" s="21">
        <f t="shared" si="116"/>
        <v>0</v>
      </c>
      <c r="BO749" s="21">
        <f t="shared" si="117"/>
        <v>0</v>
      </c>
      <c r="BP749" s="21">
        <f t="shared" si="118"/>
        <v>0</v>
      </c>
      <c r="BQ749" s="14">
        <f t="shared" si="119"/>
        <v>0</v>
      </c>
      <c r="BR749" s="22" t="str">
        <f>IF(OR(AND(X749="Mourões", BQ749&gt;=6.5),AND(X749="Postes", BQ749&gt;=9.6),AND(X749="Dormentes", BQ749&gt;=9.6),AND(X749="Estacas - Solo", BQ749&gt;=6.5),AND(X749="Estacas - Suspenso", BQ749&gt;=4),AND(X749="Cruzetas", BQ749&gt;=6.5),AND(X749="Outros - Solo", BQ749&gt;=6.5),AND(X749="Outros - Suspenso",BQ749&gt;=4),AND(X749="Deck",BQ749&gt;=4)),'Listas suspensas'!$C$21,'Listas suspensas'!$C$22)</f>
        <v>Os resultados da análise química apresentaram uma retenção do produto inferior ao padrão mínimo exigido pela norma ABNT NBR 16143</v>
      </c>
    </row>
    <row r="750" spans="25:70" x14ac:dyDescent="0.25">
      <c r="Y750" s="34" t="str">
        <f>IF(X750='Listas suspensas'!$A$21,'Listas suspensas'!$B$23,IF(X750='Listas suspensas'!$A$22,'Listas suspensas'!$B$23,IF(X750='Listas suspensas'!$A$23,'Listas suspensas'!$B$22,IF(X750='Listas suspensas'!$A$26,'Listas suspensas'!$B$22,IF(X750='Listas suspensas'!$A$32,'Listas suspensas'!$B$22,IF(X750='Listas suspensas'!$A$33,'Listas suspensas'!$B$21,IF(X750='Listas suspensas'!$A$24,'Listas suspensas'!$B$22,IF(X750='Listas suspensas'!$A$25,'Listas suspensas'!$B$21,IF(X750='Listas suspensas'!$A$30,'Listas suspensas'!$B$21,"")))))))))</f>
        <v/>
      </c>
      <c r="AB750" s="8" t="str">
        <f>IF(AA750='Listas suspensas'!$A$2,'Listas suspensas'!$B$2,IF(AA750='Listas suspensas'!$A$3,'Listas suspensas'!$B$3,IF(AA750='Listas suspensas'!$A$4,'Listas suspensas'!$B$4,IF(AA750='Listas suspensas'!$A$5,'Listas suspensas'!$B$5,IF(AA750='Listas suspensas'!$A$6,'Listas suspensas'!$B$6,"")))))</f>
        <v/>
      </c>
      <c r="AC750" s="8" t="str">
        <f>IF(AA750='Listas suspensas'!$A$2,'Listas suspensas'!$C$2,IF(AA750='Listas suspensas'!$A$3,'Listas suspensas'!$C$3,IF(AA750='Listas suspensas'!$A$4,'Listas suspensas'!$C$4,IF(AA750='Listas suspensas'!$A$5,'Listas suspensas'!$C$5,IF(AA750='Listas suspensas'!$A$6,'Listas suspensas'!$C$6,"")))))</f>
        <v/>
      </c>
      <c r="BE750" s="18">
        <f t="shared" si="113"/>
        <v>0</v>
      </c>
      <c r="BI750" s="13">
        <f t="shared" si="114"/>
        <v>0</v>
      </c>
      <c r="BM750" s="16">
        <f t="shared" si="115"/>
        <v>0</v>
      </c>
      <c r="BN750" s="21">
        <f t="shared" si="116"/>
        <v>0</v>
      </c>
      <c r="BO750" s="21">
        <f t="shared" si="117"/>
        <v>0</v>
      </c>
      <c r="BP750" s="21">
        <f t="shared" si="118"/>
        <v>0</v>
      </c>
      <c r="BQ750" s="14">
        <f t="shared" si="119"/>
        <v>0</v>
      </c>
      <c r="BR750" s="22" t="str">
        <f>IF(OR(AND(X750="Mourões", BQ750&gt;=6.5),AND(X750="Postes", BQ750&gt;=9.6),AND(X750="Dormentes", BQ750&gt;=9.6),AND(X750="Estacas - Solo", BQ750&gt;=6.5),AND(X750="Estacas - Suspenso", BQ750&gt;=4),AND(X750="Cruzetas", BQ750&gt;=6.5),AND(X750="Outros - Solo", BQ750&gt;=6.5),AND(X750="Outros - Suspenso",BQ750&gt;=4),AND(X750="Deck",BQ750&gt;=4)),'Listas suspensas'!$C$21,'Listas suspensas'!$C$22)</f>
        <v>Os resultados da análise química apresentaram uma retenção do produto inferior ao padrão mínimo exigido pela norma ABNT NBR 16143</v>
      </c>
    </row>
    <row r="751" spans="25:70" x14ac:dyDescent="0.25">
      <c r="Y751" s="34" t="str">
        <f>IF(X751='Listas suspensas'!$A$21,'Listas suspensas'!$B$23,IF(X751='Listas suspensas'!$A$22,'Listas suspensas'!$B$23,IF(X751='Listas suspensas'!$A$23,'Listas suspensas'!$B$22,IF(X751='Listas suspensas'!$A$26,'Listas suspensas'!$B$22,IF(X751='Listas suspensas'!$A$32,'Listas suspensas'!$B$22,IF(X751='Listas suspensas'!$A$33,'Listas suspensas'!$B$21,IF(X751='Listas suspensas'!$A$24,'Listas suspensas'!$B$22,IF(X751='Listas suspensas'!$A$25,'Listas suspensas'!$B$21,IF(X751='Listas suspensas'!$A$30,'Listas suspensas'!$B$21,"")))))))))</f>
        <v/>
      </c>
      <c r="AB751" s="8" t="str">
        <f>IF(AA751='Listas suspensas'!$A$2,'Listas suspensas'!$B$2,IF(AA751='Listas suspensas'!$A$3,'Listas suspensas'!$B$3,IF(AA751='Listas suspensas'!$A$4,'Listas suspensas'!$B$4,IF(AA751='Listas suspensas'!$A$5,'Listas suspensas'!$B$5,IF(AA751='Listas suspensas'!$A$6,'Listas suspensas'!$B$6,"")))))</f>
        <v/>
      </c>
      <c r="AC751" s="8" t="str">
        <f>IF(AA751='Listas suspensas'!$A$2,'Listas suspensas'!$C$2,IF(AA751='Listas suspensas'!$A$3,'Listas suspensas'!$C$3,IF(AA751='Listas suspensas'!$A$4,'Listas suspensas'!$C$4,IF(AA751='Listas suspensas'!$A$5,'Listas suspensas'!$C$5,IF(AA751='Listas suspensas'!$A$6,'Listas suspensas'!$C$6,"")))))</f>
        <v/>
      </c>
      <c r="BE751" s="18">
        <f t="shared" si="113"/>
        <v>0</v>
      </c>
      <c r="BI751" s="13">
        <f t="shared" si="114"/>
        <v>0</v>
      </c>
      <c r="BM751" s="16">
        <f t="shared" si="115"/>
        <v>0</v>
      </c>
      <c r="BN751" s="21">
        <f t="shared" si="116"/>
        <v>0</v>
      </c>
      <c r="BO751" s="21">
        <f t="shared" si="117"/>
        <v>0</v>
      </c>
      <c r="BP751" s="21">
        <f t="shared" si="118"/>
        <v>0</v>
      </c>
      <c r="BQ751" s="14">
        <f t="shared" si="119"/>
        <v>0</v>
      </c>
      <c r="BR751" s="22" t="str">
        <f>IF(OR(AND(X751="Mourões", BQ751&gt;=6.5),AND(X751="Postes", BQ751&gt;=9.6),AND(X751="Dormentes", BQ751&gt;=9.6),AND(X751="Estacas - Solo", BQ751&gt;=6.5),AND(X751="Estacas - Suspenso", BQ751&gt;=4),AND(X751="Cruzetas", BQ751&gt;=6.5),AND(X751="Outros - Solo", BQ751&gt;=6.5),AND(X751="Outros - Suspenso",BQ751&gt;=4),AND(X751="Deck",BQ751&gt;=4)),'Listas suspensas'!$C$21,'Listas suspensas'!$C$22)</f>
        <v>Os resultados da análise química apresentaram uma retenção do produto inferior ao padrão mínimo exigido pela norma ABNT NBR 16143</v>
      </c>
    </row>
    <row r="752" spans="25:70" x14ac:dyDescent="0.25">
      <c r="Y752" s="34" t="str">
        <f>IF(X752='Listas suspensas'!$A$21,'Listas suspensas'!$B$23,IF(X752='Listas suspensas'!$A$22,'Listas suspensas'!$B$23,IF(X752='Listas suspensas'!$A$23,'Listas suspensas'!$B$22,IF(X752='Listas suspensas'!$A$26,'Listas suspensas'!$B$22,IF(X752='Listas suspensas'!$A$32,'Listas suspensas'!$B$22,IF(X752='Listas suspensas'!$A$33,'Listas suspensas'!$B$21,IF(X752='Listas suspensas'!$A$24,'Listas suspensas'!$B$22,IF(X752='Listas suspensas'!$A$25,'Listas suspensas'!$B$21,IF(X752='Listas suspensas'!$A$30,'Listas suspensas'!$B$21,"")))))))))</f>
        <v/>
      </c>
      <c r="AB752" s="8" t="str">
        <f>IF(AA752='Listas suspensas'!$A$2,'Listas suspensas'!$B$2,IF(AA752='Listas suspensas'!$A$3,'Listas suspensas'!$B$3,IF(AA752='Listas suspensas'!$A$4,'Listas suspensas'!$B$4,IF(AA752='Listas suspensas'!$A$5,'Listas suspensas'!$B$5,IF(AA752='Listas suspensas'!$A$6,'Listas suspensas'!$B$6,"")))))</f>
        <v/>
      </c>
      <c r="AC752" s="8" t="str">
        <f>IF(AA752='Listas suspensas'!$A$2,'Listas suspensas'!$C$2,IF(AA752='Listas suspensas'!$A$3,'Listas suspensas'!$C$3,IF(AA752='Listas suspensas'!$A$4,'Listas suspensas'!$C$4,IF(AA752='Listas suspensas'!$A$5,'Listas suspensas'!$C$5,IF(AA752='Listas suspensas'!$A$6,'Listas suspensas'!$C$6,"")))))</f>
        <v/>
      </c>
      <c r="BE752" s="18">
        <f t="shared" si="113"/>
        <v>0</v>
      </c>
      <c r="BI752" s="13">
        <f t="shared" si="114"/>
        <v>0</v>
      </c>
      <c r="BM752" s="16">
        <f t="shared" si="115"/>
        <v>0</v>
      </c>
      <c r="BN752" s="21">
        <f t="shared" si="116"/>
        <v>0</v>
      </c>
      <c r="BO752" s="21">
        <f t="shared" si="117"/>
        <v>0</v>
      </c>
      <c r="BP752" s="21">
        <f t="shared" si="118"/>
        <v>0</v>
      </c>
      <c r="BQ752" s="14">
        <f t="shared" si="119"/>
        <v>0</v>
      </c>
      <c r="BR752" s="22" t="str">
        <f>IF(OR(AND(X752="Mourões", BQ752&gt;=6.5),AND(X752="Postes", BQ752&gt;=9.6),AND(X752="Dormentes", BQ752&gt;=9.6),AND(X752="Estacas - Solo", BQ752&gt;=6.5),AND(X752="Estacas - Suspenso", BQ752&gt;=4),AND(X752="Cruzetas", BQ752&gt;=6.5),AND(X752="Outros - Solo", BQ752&gt;=6.5),AND(X752="Outros - Suspenso",BQ752&gt;=4),AND(X752="Deck",BQ752&gt;=4)),'Listas suspensas'!$C$21,'Listas suspensas'!$C$22)</f>
        <v>Os resultados da análise química apresentaram uma retenção do produto inferior ao padrão mínimo exigido pela norma ABNT NBR 16143</v>
      </c>
    </row>
    <row r="753" spans="25:70" x14ac:dyDescent="0.25">
      <c r="Y753" s="34" t="str">
        <f>IF(X753='Listas suspensas'!$A$21,'Listas suspensas'!$B$23,IF(X753='Listas suspensas'!$A$22,'Listas suspensas'!$B$23,IF(X753='Listas suspensas'!$A$23,'Listas suspensas'!$B$22,IF(X753='Listas suspensas'!$A$26,'Listas suspensas'!$B$22,IF(X753='Listas suspensas'!$A$32,'Listas suspensas'!$B$22,IF(X753='Listas suspensas'!$A$33,'Listas suspensas'!$B$21,IF(X753='Listas suspensas'!$A$24,'Listas suspensas'!$B$22,IF(X753='Listas suspensas'!$A$25,'Listas suspensas'!$B$21,IF(X753='Listas suspensas'!$A$30,'Listas suspensas'!$B$21,"")))))))))</f>
        <v/>
      </c>
      <c r="AB753" s="8" t="str">
        <f>IF(AA753='Listas suspensas'!$A$2,'Listas suspensas'!$B$2,IF(AA753='Listas suspensas'!$A$3,'Listas suspensas'!$B$3,IF(AA753='Listas suspensas'!$A$4,'Listas suspensas'!$B$4,IF(AA753='Listas suspensas'!$A$5,'Listas suspensas'!$B$5,IF(AA753='Listas suspensas'!$A$6,'Listas suspensas'!$B$6,"")))))</f>
        <v/>
      </c>
      <c r="AC753" s="8" t="str">
        <f>IF(AA753='Listas suspensas'!$A$2,'Listas suspensas'!$C$2,IF(AA753='Listas suspensas'!$A$3,'Listas suspensas'!$C$3,IF(AA753='Listas suspensas'!$A$4,'Listas suspensas'!$C$4,IF(AA753='Listas suspensas'!$A$5,'Listas suspensas'!$C$5,IF(AA753='Listas suspensas'!$A$6,'Listas suspensas'!$C$6,"")))))</f>
        <v/>
      </c>
      <c r="BE753" s="18">
        <f t="shared" si="113"/>
        <v>0</v>
      </c>
      <c r="BI753" s="13">
        <f t="shared" si="114"/>
        <v>0</v>
      </c>
      <c r="BM753" s="16">
        <f t="shared" si="115"/>
        <v>0</v>
      </c>
      <c r="BN753" s="21">
        <f t="shared" si="116"/>
        <v>0</v>
      </c>
      <c r="BO753" s="21">
        <f t="shared" si="117"/>
        <v>0</v>
      </c>
      <c r="BP753" s="21">
        <f t="shared" si="118"/>
        <v>0</v>
      </c>
      <c r="BQ753" s="14">
        <f t="shared" si="119"/>
        <v>0</v>
      </c>
      <c r="BR753" s="22" t="str">
        <f>IF(OR(AND(X753="Mourões", BQ753&gt;=6.5),AND(X753="Postes", BQ753&gt;=9.6),AND(X753="Dormentes", BQ753&gt;=9.6),AND(X753="Estacas - Solo", BQ753&gt;=6.5),AND(X753="Estacas - Suspenso", BQ753&gt;=4),AND(X753="Cruzetas", BQ753&gt;=6.5),AND(X753="Outros - Solo", BQ753&gt;=6.5),AND(X753="Outros - Suspenso",BQ753&gt;=4),AND(X753="Deck",BQ753&gt;=4)),'Listas suspensas'!$C$21,'Listas suspensas'!$C$22)</f>
        <v>Os resultados da análise química apresentaram uma retenção do produto inferior ao padrão mínimo exigido pela norma ABNT NBR 16143</v>
      </c>
    </row>
    <row r="754" spans="25:70" x14ac:dyDescent="0.25">
      <c r="Y754" s="34" t="str">
        <f>IF(X754='Listas suspensas'!$A$21,'Listas suspensas'!$B$23,IF(X754='Listas suspensas'!$A$22,'Listas suspensas'!$B$23,IF(X754='Listas suspensas'!$A$23,'Listas suspensas'!$B$22,IF(X754='Listas suspensas'!$A$26,'Listas suspensas'!$B$22,IF(X754='Listas suspensas'!$A$32,'Listas suspensas'!$B$22,IF(X754='Listas suspensas'!$A$33,'Listas suspensas'!$B$21,IF(X754='Listas suspensas'!$A$24,'Listas suspensas'!$B$22,IF(X754='Listas suspensas'!$A$25,'Listas suspensas'!$B$21,IF(X754='Listas suspensas'!$A$30,'Listas suspensas'!$B$21,"")))))))))</f>
        <v/>
      </c>
      <c r="AB754" s="8" t="str">
        <f>IF(AA754='Listas suspensas'!$A$2,'Listas suspensas'!$B$2,IF(AA754='Listas suspensas'!$A$3,'Listas suspensas'!$B$3,IF(AA754='Listas suspensas'!$A$4,'Listas suspensas'!$B$4,IF(AA754='Listas suspensas'!$A$5,'Listas suspensas'!$B$5,IF(AA754='Listas suspensas'!$A$6,'Listas suspensas'!$B$6,"")))))</f>
        <v/>
      </c>
      <c r="AC754" s="8" t="str">
        <f>IF(AA754='Listas suspensas'!$A$2,'Listas suspensas'!$C$2,IF(AA754='Listas suspensas'!$A$3,'Listas suspensas'!$C$3,IF(AA754='Listas suspensas'!$A$4,'Listas suspensas'!$C$4,IF(AA754='Listas suspensas'!$A$5,'Listas suspensas'!$C$5,IF(AA754='Listas suspensas'!$A$6,'Listas suspensas'!$C$6,"")))))</f>
        <v/>
      </c>
      <c r="BE754" s="18">
        <f t="shared" si="113"/>
        <v>0</v>
      </c>
      <c r="BI754" s="13">
        <f t="shared" si="114"/>
        <v>0</v>
      </c>
      <c r="BM754" s="16">
        <f t="shared" si="115"/>
        <v>0</v>
      </c>
      <c r="BN754" s="21">
        <f t="shared" si="116"/>
        <v>0</v>
      </c>
      <c r="BO754" s="21">
        <f t="shared" si="117"/>
        <v>0</v>
      </c>
      <c r="BP754" s="21">
        <f t="shared" si="118"/>
        <v>0</v>
      </c>
      <c r="BQ754" s="14">
        <f t="shared" si="119"/>
        <v>0</v>
      </c>
      <c r="BR754" s="22" t="str">
        <f>IF(OR(AND(X754="Mourões", BQ754&gt;=6.5),AND(X754="Postes", BQ754&gt;=9.6),AND(X754="Dormentes", BQ754&gt;=9.6),AND(X754="Estacas - Solo", BQ754&gt;=6.5),AND(X754="Estacas - Suspenso", BQ754&gt;=4),AND(X754="Cruzetas", BQ754&gt;=6.5),AND(X754="Outros - Solo", BQ754&gt;=6.5),AND(X754="Outros - Suspenso",BQ754&gt;=4),AND(X754="Deck",BQ754&gt;=4)),'Listas suspensas'!$C$21,'Listas suspensas'!$C$22)</f>
        <v>Os resultados da análise química apresentaram uma retenção do produto inferior ao padrão mínimo exigido pela norma ABNT NBR 16143</v>
      </c>
    </row>
    <row r="755" spans="25:70" x14ac:dyDescent="0.25">
      <c r="Y755" s="34" t="str">
        <f>IF(X755='Listas suspensas'!$A$21,'Listas suspensas'!$B$23,IF(X755='Listas suspensas'!$A$22,'Listas suspensas'!$B$23,IF(X755='Listas suspensas'!$A$23,'Listas suspensas'!$B$22,IF(X755='Listas suspensas'!$A$26,'Listas suspensas'!$B$22,IF(X755='Listas suspensas'!$A$32,'Listas suspensas'!$B$22,IF(X755='Listas suspensas'!$A$33,'Listas suspensas'!$B$21,IF(X755='Listas suspensas'!$A$24,'Listas suspensas'!$B$22,IF(X755='Listas suspensas'!$A$25,'Listas suspensas'!$B$21,IF(X755='Listas suspensas'!$A$30,'Listas suspensas'!$B$21,"")))))))))</f>
        <v/>
      </c>
      <c r="AB755" s="8" t="str">
        <f>IF(AA755='Listas suspensas'!$A$2,'Listas suspensas'!$B$2,IF(AA755='Listas suspensas'!$A$3,'Listas suspensas'!$B$3,IF(AA755='Listas suspensas'!$A$4,'Listas suspensas'!$B$4,IF(AA755='Listas suspensas'!$A$5,'Listas suspensas'!$B$5,IF(AA755='Listas suspensas'!$A$6,'Listas suspensas'!$B$6,"")))))</f>
        <v/>
      </c>
      <c r="AC755" s="8" t="str">
        <f>IF(AA755='Listas suspensas'!$A$2,'Listas suspensas'!$C$2,IF(AA755='Listas suspensas'!$A$3,'Listas suspensas'!$C$3,IF(AA755='Listas suspensas'!$A$4,'Listas suspensas'!$C$4,IF(AA755='Listas suspensas'!$A$5,'Listas suspensas'!$C$5,IF(AA755='Listas suspensas'!$A$6,'Listas suspensas'!$C$6,"")))))</f>
        <v/>
      </c>
      <c r="BE755" s="18">
        <f t="shared" si="113"/>
        <v>0</v>
      </c>
      <c r="BI755" s="13">
        <f t="shared" si="114"/>
        <v>0</v>
      </c>
      <c r="BM755" s="16">
        <f t="shared" si="115"/>
        <v>0</v>
      </c>
      <c r="BN755" s="21">
        <f t="shared" si="116"/>
        <v>0</v>
      </c>
      <c r="BO755" s="21">
        <f t="shared" si="117"/>
        <v>0</v>
      </c>
      <c r="BP755" s="21">
        <f t="shared" si="118"/>
        <v>0</v>
      </c>
      <c r="BQ755" s="14">
        <f t="shared" si="119"/>
        <v>0</v>
      </c>
      <c r="BR755" s="22" t="str">
        <f>IF(OR(AND(X755="Mourões", BQ755&gt;=6.5),AND(X755="Postes", BQ755&gt;=9.6),AND(X755="Dormentes", BQ755&gt;=9.6),AND(X755="Estacas - Solo", BQ755&gt;=6.5),AND(X755="Estacas - Suspenso", BQ755&gt;=4),AND(X755="Cruzetas", BQ755&gt;=6.5),AND(X755="Outros - Solo", BQ755&gt;=6.5),AND(X755="Outros - Suspenso",BQ755&gt;=4),AND(X755="Deck",BQ755&gt;=4)),'Listas suspensas'!$C$21,'Listas suspensas'!$C$22)</f>
        <v>Os resultados da análise química apresentaram uma retenção do produto inferior ao padrão mínimo exigido pela norma ABNT NBR 16143</v>
      </c>
    </row>
    <row r="756" spans="25:70" x14ac:dyDescent="0.25">
      <c r="Y756" s="34" t="str">
        <f>IF(X756='Listas suspensas'!$A$21,'Listas suspensas'!$B$23,IF(X756='Listas suspensas'!$A$22,'Listas suspensas'!$B$23,IF(X756='Listas suspensas'!$A$23,'Listas suspensas'!$B$22,IF(X756='Listas suspensas'!$A$26,'Listas suspensas'!$B$22,IF(X756='Listas suspensas'!$A$32,'Listas suspensas'!$B$22,IF(X756='Listas suspensas'!$A$33,'Listas suspensas'!$B$21,IF(X756='Listas suspensas'!$A$24,'Listas suspensas'!$B$22,IF(X756='Listas suspensas'!$A$25,'Listas suspensas'!$B$21,IF(X756='Listas suspensas'!$A$30,'Listas suspensas'!$B$21,"")))))))))</f>
        <v/>
      </c>
      <c r="AB756" s="8" t="str">
        <f>IF(AA756='Listas suspensas'!$A$2,'Listas suspensas'!$B$2,IF(AA756='Listas suspensas'!$A$3,'Listas suspensas'!$B$3,IF(AA756='Listas suspensas'!$A$4,'Listas suspensas'!$B$4,IF(AA756='Listas suspensas'!$A$5,'Listas suspensas'!$B$5,IF(AA756='Listas suspensas'!$A$6,'Listas suspensas'!$B$6,"")))))</f>
        <v/>
      </c>
      <c r="AC756" s="8" t="str">
        <f>IF(AA756='Listas suspensas'!$A$2,'Listas suspensas'!$C$2,IF(AA756='Listas suspensas'!$A$3,'Listas suspensas'!$C$3,IF(AA756='Listas suspensas'!$A$4,'Listas suspensas'!$C$4,IF(AA756='Listas suspensas'!$A$5,'Listas suspensas'!$C$5,IF(AA756='Listas suspensas'!$A$6,'Listas suspensas'!$C$6,"")))))</f>
        <v/>
      </c>
      <c r="BE756" s="18">
        <f t="shared" si="113"/>
        <v>0</v>
      </c>
      <c r="BI756" s="13">
        <f t="shared" si="114"/>
        <v>0</v>
      </c>
      <c r="BM756" s="16">
        <f t="shared" si="115"/>
        <v>0</v>
      </c>
      <c r="BN756" s="21">
        <f t="shared" si="116"/>
        <v>0</v>
      </c>
      <c r="BO756" s="21">
        <f t="shared" si="117"/>
        <v>0</v>
      </c>
      <c r="BP756" s="21">
        <f t="shared" si="118"/>
        <v>0</v>
      </c>
      <c r="BQ756" s="14">
        <f t="shared" si="119"/>
        <v>0</v>
      </c>
      <c r="BR756" s="22" t="str">
        <f>IF(OR(AND(X756="Mourões", BQ756&gt;=6.5),AND(X756="Postes", BQ756&gt;=9.6),AND(X756="Dormentes", BQ756&gt;=9.6),AND(X756="Estacas - Solo", BQ756&gt;=6.5),AND(X756="Estacas - Suspenso", BQ756&gt;=4),AND(X756="Cruzetas", BQ756&gt;=6.5),AND(X756="Outros - Solo", BQ756&gt;=6.5),AND(X756="Outros - Suspenso",BQ756&gt;=4),AND(X756="Deck",BQ756&gt;=4)),'Listas suspensas'!$C$21,'Listas suspensas'!$C$22)</f>
        <v>Os resultados da análise química apresentaram uma retenção do produto inferior ao padrão mínimo exigido pela norma ABNT NBR 16143</v>
      </c>
    </row>
    <row r="757" spans="25:70" x14ac:dyDescent="0.25">
      <c r="Y757" s="34" t="str">
        <f>IF(X757='Listas suspensas'!$A$21,'Listas suspensas'!$B$23,IF(X757='Listas suspensas'!$A$22,'Listas suspensas'!$B$23,IF(X757='Listas suspensas'!$A$23,'Listas suspensas'!$B$22,IF(X757='Listas suspensas'!$A$26,'Listas suspensas'!$B$22,IF(X757='Listas suspensas'!$A$32,'Listas suspensas'!$B$22,IF(X757='Listas suspensas'!$A$33,'Listas suspensas'!$B$21,IF(X757='Listas suspensas'!$A$24,'Listas suspensas'!$B$22,IF(X757='Listas suspensas'!$A$25,'Listas suspensas'!$B$21,IF(X757='Listas suspensas'!$A$30,'Listas suspensas'!$B$21,"")))))))))</f>
        <v/>
      </c>
      <c r="AB757" s="8" t="str">
        <f>IF(AA757='Listas suspensas'!$A$2,'Listas suspensas'!$B$2,IF(AA757='Listas suspensas'!$A$3,'Listas suspensas'!$B$3,IF(AA757='Listas suspensas'!$A$4,'Listas suspensas'!$B$4,IF(AA757='Listas suspensas'!$A$5,'Listas suspensas'!$B$5,IF(AA757='Listas suspensas'!$A$6,'Listas suspensas'!$B$6,"")))))</f>
        <v/>
      </c>
      <c r="AC757" s="8" t="str">
        <f>IF(AA757='Listas suspensas'!$A$2,'Listas suspensas'!$C$2,IF(AA757='Listas suspensas'!$A$3,'Listas suspensas'!$C$3,IF(AA757='Listas suspensas'!$A$4,'Listas suspensas'!$C$4,IF(AA757='Listas suspensas'!$A$5,'Listas suspensas'!$C$5,IF(AA757='Listas suspensas'!$A$6,'Listas suspensas'!$C$6,"")))))</f>
        <v/>
      </c>
      <c r="BE757" s="18">
        <f t="shared" si="113"/>
        <v>0</v>
      </c>
      <c r="BI757" s="13">
        <f t="shared" si="114"/>
        <v>0</v>
      </c>
      <c r="BM757" s="16">
        <f t="shared" si="115"/>
        <v>0</v>
      </c>
      <c r="BN757" s="21">
        <f t="shared" si="116"/>
        <v>0</v>
      </c>
      <c r="BO757" s="21">
        <f t="shared" si="117"/>
        <v>0</v>
      </c>
      <c r="BP757" s="21">
        <f t="shared" si="118"/>
        <v>0</v>
      </c>
      <c r="BQ757" s="14">
        <f t="shared" si="119"/>
        <v>0</v>
      </c>
      <c r="BR757" s="22" t="str">
        <f>IF(OR(AND(X757="Mourões", BQ757&gt;=6.5),AND(X757="Postes", BQ757&gt;=9.6),AND(X757="Dormentes", BQ757&gt;=9.6),AND(X757="Estacas - Solo", BQ757&gt;=6.5),AND(X757="Estacas - Suspenso", BQ757&gt;=4),AND(X757="Cruzetas", BQ757&gt;=6.5),AND(X757="Outros - Solo", BQ757&gt;=6.5),AND(X757="Outros - Suspenso",BQ757&gt;=4),AND(X757="Deck",BQ757&gt;=4)),'Listas suspensas'!$C$21,'Listas suspensas'!$C$22)</f>
        <v>Os resultados da análise química apresentaram uma retenção do produto inferior ao padrão mínimo exigido pela norma ABNT NBR 16143</v>
      </c>
    </row>
    <row r="758" spans="25:70" x14ac:dyDescent="0.25">
      <c r="Y758" s="34" t="str">
        <f>IF(X758='Listas suspensas'!$A$21,'Listas suspensas'!$B$23,IF(X758='Listas suspensas'!$A$22,'Listas suspensas'!$B$23,IF(X758='Listas suspensas'!$A$23,'Listas suspensas'!$B$22,IF(X758='Listas suspensas'!$A$26,'Listas suspensas'!$B$22,IF(X758='Listas suspensas'!$A$32,'Listas suspensas'!$B$22,IF(X758='Listas suspensas'!$A$33,'Listas suspensas'!$B$21,IF(X758='Listas suspensas'!$A$24,'Listas suspensas'!$B$22,IF(X758='Listas suspensas'!$A$25,'Listas suspensas'!$B$21,IF(X758='Listas suspensas'!$A$30,'Listas suspensas'!$B$21,"")))))))))</f>
        <v/>
      </c>
      <c r="AB758" s="8" t="str">
        <f>IF(AA758='Listas suspensas'!$A$2,'Listas suspensas'!$B$2,IF(AA758='Listas suspensas'!$A$3,'Listas suspensas'!$B$3,IF(AA758='Listas suspensas'!$A$4,'Listas suspensas'!$B$4,IF(AA758='Listas suspensas'!$A$5,'Listas suspensas'!$B$5,IF(AA758='Listas suspensas'!$A$6,'Listas suspensas'!$B$6,"")))))</f>
        <v/>
      </c>
      <c r="AC758" s="8" t="str">
        <f>IF(AA758='Listas suspensas'!$A$2,'Listas suspensas'!$C$2,IF(AA758='Listas suspensas'!$A$3,'Listas suspensas'!$C$3,IF(AA758='Listas suspensas'!$A$4,'Listas suspensas'!$C$4,IF(AA758='Listas suspensas'!$A$5,'Listas suspensas'!$C$5,IF(AA758='Listas suspensas'!$A$6,'Listas suspensas'!$C$6,"")))))</f>
        <v/>
      </c>
      <c r="BE758" s="18">
        <f t="shared" si="113"/>
        <v>0</v>
      </c>
      <c r="BI758" s="13">
        <f t="shared" si="114"/>
        <v>0</v>
      </c>
      <c r="BM758" s="16">
        <f t="shared" si="115"/>
        <v>0</v>
      </c>
      <c r="BN758" s="21">
        <f t="shared" si="116"/>
        <v>0</v>
      </c>
      <c r="BO758" s="21">
        <f t="shared" si="117"/>
        <v>0</v>
      </c>
      <c r="BP758" s="21">
        <f t="shared" si="118"/>
        <v>0</v>
      </c>
      <c r="BQ758" s="14">
        <f t="shared" si="119"/>
        <v>0</v>
      </c>
      <c r="BR758" s="22" t="str">
        <f>IF(OR(AND(X758="Mourões", BQ758&gt;=6.5),AND(X758="Postes", BQ758&gt;=9.6),AND(X758="Dormentes", BQ758&gt;=9.6),AND(X758="Estacas - Solo", BQ758&gt;=6.5),AND(X758="Estacas - Suspenso", BQ758&gt;=4),AND(X758="Cruzetas", BQ758&gt;=6.5),AND(X758="Outros - Solo", BQ758&gt;=6.5),AND(X758="Outros - Suspenso",BQ758&gt;=4),AND(X758="Deck",BQ758&gt;=4)),'Listas suspensas'!$C$21,'Listas suspensas'!$C$22)</f>
        <v>Os resultados da análise química apresentaram uma retenção do produto inferior ao padrão mínimo exigido pela norma ABNT NBR 16143</v>
      </c>
    </row>
    <row r="759" spans="25:70" x14ac:dyDescent="0.25">
      <c r="Y759" s="34" t="str">
        <f>IF(X759='Listas suspensas'!$A$21,'Listas suspensas'!$B$23,IF(X759='Listas suspensas'!$A$22,'Listas suspensas'!$B$23,IF(X759='Listas suspensas'!$A$23,'Listas suspensas'!$B$22,IF(X759='Listas suspensas'!$A$26,'Listas suspensas'!$B$22,IF(X759='Listas suspensas'!$A$32,'Listas suspensas'!$B$22,IF(X759='Listas suspensas'!$A$33,'Listas suspensas'!$B$21,IF(X759='Listas suspensas'!$A$24,'Listas suspensas'!$B$22,IF(X759='Listas suspensas'!$A$25,'Listas suspensas'!$B$21,IF(X759='Listas suspensas'!$A$30,'Listas suspensas'!$B$21,"")))))))))</f>
        <v/>
      </c>
      <c r="AB759" s="8" t="str">
        <f>IF(AA759='Listas suspensas'!$A$2,'Listas suspensas'!$B$2,IF(AA759='Listas suspensas'!$A$3,'Listas suspensas'!$B$3,IF(AA759='Listas suspensas'!$A$4,'Listas suspensas'!$B$4,IF(AA759='Listas suspensas'!$A$5,'Listas suspensas'!$B$5,IF(AA759='Listas suspensas'!$A$6,'Listas suspensas'!$B$6,"")))))</f>
        <v/>
      </c>
      <c r="AC759" s="8" t="str">
        <f>IF(AA759='Listas suspensas'!$A$2,'Listas suspensas'!$C$2,IF(AA759='Listas suspensas'!$A$3,'Listas suspensas'!$C$3,IF(AA759='Listas suspensas'!$A$4,'Listas suspensas'!$C$4,IF(AA759='Listas suspensas'!$A$5,'Listas suspensas'!$C$5,IF(AA759='Listas suspensas'!$A$6,'Listas suspensas'!$C$6,"")))))</f>
        <v/>
      </c>
      <c r="BE759" s="18">
        <f t="shared" si="113"/>
        <v>0</v>
      </c>
      <c r="BI759" s="13">
        <f t="shared" si="114"/>
        <v>0</v>
      </c>
      <c r="BM759" s="16">
        <f t="shared" si="115"/>
        <v>0</v>
      </c>
      <c r="BN759" s="21">
        <f t="shared" si="116"/>
        <v>0</v>
      </c>
      <c r="BO759" s="21">
        <f t="shared" si="117"/>
        <v>0</v>
      </c>
      <c r="BP759" s="21">
        <f t="shared" si="118"/>
        <v>0</v>
      </c>
      <c r="BQ759" s="14">
        <f t="shared" si="119"/>
        <v>0</v>
      </c>
      <c r="BR759" s="22" t="str">
        <f>IF(OR(AND(X759="Mourões", BQ759&gt;=6.5),AND(X759="Postes", BQ759&gt;=9.6),AND(X759="Dormentes", BQ759&gt;=9.6),AND(X759="Estacas - Solo", BQ759&gt;=6.5),AND(X759="Estacas - Suspenso", BQ759&gt;=4),AND(X759="Cruzetas", BQ759&gt;=6.5),AND(X759="Outros - Solo", BQ759&gt;=6.5),AND(X759="Outros - Suspenso",BQ759&gt;=4),AND(X759="Deck",BQ759&gt;=4)),'Listas suspensas'!$C$21,'Listas suspensas'!$C$22)</f>
        <v>Os resultados da análise química apresentaram uma retenção do produto inferior ao padrão mínimo exigido pela norma ABNT NBR 16143</v>
      </c>
    </row>
    <row r="760" spans="25:70" x14ac:dyDescent="0.25">
      <c r="Y760" s="34" t="str">
        <f>IF(X760='Listas suspensas'!$A$21,'Listas suspensas'!$B$23,IF(X760='Listas suspensas'!$A$22,'Listas suspensas'!$B$23,IF(X760='Listas suspensas'!$A$23,'Listas suspensas'!$B$22,IF(X760='Listas suspensas'!$A$26,'Listas suspensas'!$B$22,IF(X760='Listas suspensas'!$A$32,'Listas suspensas'!$B$22,IF(X760='Listas suspensas'!$A$33,'Listas suspensas'!$B$21,IF(X760='Listas suspensas'!$A$24,'Listas suspensas'!$B$22,IF(X760='Listas suspensas'!$A$25,'Listas suspensas'!$B$21,IF(X760='Listas suspensas'!$A$30,'Listas suspensas'!$B$21,"")))))))))</f>
        <v/>
      </c>
      <c r="AB760" s="8" t="str">
        <f>IF(AA760='Listas suspensas'!$A$2,'Listas suspensas'!$B$2,IF(AA760='Listas suspensas'!$A$3,'Listas suspensas'!$B$3,IF(AA760='Listas suspensas'!$A$4,'Listas suspensas'!$B$4,IF(AA760='Listas suspensas'!$A$5,'Listas suspensas'!$B$5,IF(AA760='Listas suspensas'!$A$6,'Listas suspensas'!$B$6,"")))))</f>
        <v/>
      </c>
      <c r="AC760" s="8" t="str">
        <f>IF(AA760='Listas suspensas'!$A$2,'Listas suspensas'!$C$2,IF(AA760='Listas suspensas'!$A$3,'Listas suspensas'!$C$3,IF(AA760='Listas suspensas'!$A$4,'Listas suspensas'!$C$4,IF(AA760='Listas suspensas'!$A$5,'Listas suspensas'!$C$5,IF(AA760='Listas suspensas'!$A$6,'Listas suspensas'!$C$6,"")))))</f>
        <v/>
      </c>
      <c r="BE760" s="18">
        <f t="shared" si="113"/>
        <v>0</v>
      </c>
      <c r="BI760" s="13">
        <f t="shared" si="114"/>
        <v>0</v>
      </c>
      <c r="BM760" s="16">
        <f t="shared" si="115"/>
        <v>0</v>
      </c>
      <c r="BN760" s="21">
        <f t="shared" si="116"/>
        <v>0</v>
      </c>
      <c r="BO760" s="21">
        <f t="shared" si="117"/>
        <v>0</v>
      </c>
      <c r="BP760" s="21">
        <f t="shared" si="118"/>
        <v>0</v>
      </c>
      <c r="BQ760" s="14">
        <f t="shared" si="119"/>
        <v>0</v>
      </c>
      <c r="BR760" s="22" t="str">
        <f>IF(OR(AND(X760="Mourões", BQ760&gt;=6.5),AND(X760="Postes", BQ760&gt;=9.6),AND(X760="Dormentes", BQ760&gt;=9.6),AND(X760="Estacas - Solo", BQ760&gt;=6.5),AND(X760="Estacas - Suspenso", BQ760&gt;=4),AND(X760="Cruzetas", BQ760&gt;=6.5),AND(X760="Outros - Solo", BQ760&gt;=6.5),AND(X760="Outros - Suspenso",BQ760&gt;=4),AND(X760="Deck",BQ760&gt;=4)),'Listas suspensas'!$C$21,'Listas suspensas'!$C$22)</f>
        <v>Os resultados da análise química apresentaram uma retenção do produto inferior ao padrão mínimo exigido pela norma ABNT NBR 16143</v>
      </c>
    </row>
    <row r="761" spans="25:70" x14ac:dyDescent="0.25">
      <c r="Y761" s="34" t="str">
        <f>IF(X761='Listas suspensas'!$A$21,'Listas suspensas'!$B$23,IF(X761='Listas suspensas'!$A$22,'Listas suspensas'!$B$23,IF(X761='Listas suspensas'!$A$23,'Listas suspensas'!$B$22,IF(X761='Listas suspensas'!$A$26,'Listas suspensas'!$B$22,IF(X761='Listas suspensas'!$A$32,'Listas suspensas'!$B$22,IF(X761='Listas suspensas'!$A$33,'Listas suspensas'!$B$21,IF(X761='Listas suspensas'!$A$24,'Listas suspensas'!$B$22,IF(X761='Listas suspensas'!$A$25,'Listas suspensas'!$B$21,IF(X761='Listas suspensas'!$A$30,'Listas suspensas'!$B$21,"")))))))))</f>
        <v/>
      </c>
      <c r="AB761" s="8" t="str">
        <f>IF(AA761='Listas suspensas'!$A$2,'Listas suspensas'!$B$2,IF(AA761='Listas suspensas'!$A$3,'Listas suspensas'!$B$3,IF(AA761='Listas suspensas'!$A$4,'Listas suspensas'!$B$4,IF(AA761='Listas suspensas'!$A$5,'Listas suspensas'!$B$5,IF(AA761='Listas suspensas'!$A$6,'Listas suspensas'!$B$6,"")))))</f>
        <v/>
      </c>
      <c r="AC761" s="8" t="str">
        <f>IF(AA761='Listas suspensas'!$A$2,'Listas suspensas'!$C$2,IF(AA761='Listas suspensas'!$A$3,'Listas suspensas'!$C$3,IF(AA761='Listas suspensas'!$A$4,'Listas suspensas'!$C$4,IF(AA761='Listas suspensas'!$A$5,'Listas suspensas'!$C$5,IF(AA761='Listas suspensas'!$A$6,'Listas suspensas'!$C$6,"")))))</f>
        <v/>
      </c>
      <c r="BE761" s="18">
        <f t="shared" ref="BE761:BE824" si="120">BD761*1000</f>
        <v>0</v>
      </c>
      <c r="BI761" s="13">
        <f t="shared" si="114"/>
        <v>0</v>
      </c>
      <c r="BM761" s="16">
        <f t="shared" si="115"/>
        <v>0</v>
      </c>
      <c r="BN761" s="21">
        <f t="shared" si="116"/>
        <v>0</v>
      </c>
      <c r="BO761" s="21">
        <f t="shared" si="117"/>
        <v>0</v>
      </c>
      <c r="BP761" s="21">
        <f t="shared" si="118"/>
        <v>0</v>
      </c>
      <c r="BQ761" s="14">
        <f t="shared" si="119"/>
        <v>0</v>
      </c>
      <c r="BR761" s="22" t="str">
        <f>IF(OR(AND(X761="Mourões", BQ761&gt;=6.5),AND(X761="Postes", BQ761&gt;=9.6),AND(X761="Dormentes", BQ761&gt;=9.6),AND(X761="Estacas - Solo", BQ761&gt;=6.5),AND(X761="Estacas - Suspenso", BQ761&gt;=4),AND(X761="Cruzetas", BQ761&gt;=6.5),AND(X761="Outros - Solo", BQ761&gt;=6.5),AND(X761="Outros - Suspenso",BQ761&gt;=4),AND(X761="Deck",BQ761&gt;=4)),'Listas suspensas'!$C$21,'Listas suspensas'!$C$22)</f>
        <v>Os resultados da análise química apresentaram uma retenção do produto inferior ao padrão mínimo exigido pela norma ABNT NBR 16143</v>
      </c>
    </row>
    <row r="762" spans="25:70" x14ac:dyDescent="0.25">
      <c r="Y762" s="34" t="str">
        <f>IF(X762='Listas suspensas'!$A$21,'Listas suspensas'!$B$23,IF(X762='Listas suspensas'!$A$22,'Listas suspensas'!$B$23,IF(X762='Listas suspensas'!$A$23,'Listas suspensas'!$B$22,IF(X762='Listas suspensas'!$A$26,'Listas suspensas'!$B$22,IF(X762='Listas suspensas'!$A$32,'Listas suspensas'!$B$22,IF(X762='Listas suspensas'!$A$33,'Listas suspensas'!$B$21,IF(X762='Listas suspensas'!$A$24,'Listas suspensas'!$B$22,IF(X762='Listas suspensas'!$A$25,'Listas suspensas'!$B$21,IF(X762='Listas suspensas'!$A$30,'Listas suspensas'!$B$21,"")))))))))</f>
        <v/>
      </c>
      <c r="AB762" s="8" t="str">
        <f>IF(AA762='Listas suspensas'!$A$2,'Listas suspensas'!$B$2,IF(AA762='Listas suspensas'!$A$3,'Listas suspensas'!$B$3,IF(AA762='Listas suspensas'!$A$4,'Listas suspensas'!$B$4,IF(AA762='Listas suspensas'!$A$5,'Listas suspensas'!$B$5,IF(AA762='Listas suspensas'!$A$6,'Listas suspensas'!$B$6,"")))))</f>
        <v/>
      </c>
      <c r="AC762" s="8" t="str">
        <f>IF(AA762='Listas suspensas'!$A$2,'Listas suspensas'!$C$2,IF(AA762='Listas suspensas'!$A$3,'Listas suspensas'!$C$3,IF(AA762='Listas suspensas'!$A$4,'Listas suspensas'!$C$4,IF(AA762='Listas suspensas'!$A$5,'Listas suspensas'!$C$5,IF(AA762='Listas suspensas'!$A$6,'Listas suspensas'!$C$6,"")))))</f>
        <v/>
      </c>
      <c r="BE762" s="18">
        <f t="shared" si="120"/>
        <v>0</v>
      </c>
      <c r="BI762" s="13">
        <f t="shared" si="114"/>
        <v>0</v>
      </c>
      <c r="BM762" s="16">
        <f t="shared" si="115"/>
        <v>0</v>
      </c>
      <c r="BN762" s="21">
        <f t="shared" si="116"/>
        <v>0</v>
      </c>
      <c r="BO762" s="21">
        <f t="shared" si="117"/>
        <v>0</v>
      </c>
      <c r="BP762" s="21">
        <f t="shared" si="118"/>
        <v>0</v>
      </c>
      <c r="BQ762" s="14">
        <f t="shared" si="119"/>
        <v>0</v>
      </c>
      <c r="BR762" s="22" t="str">
        <f>IF(OR(AND(X762="Mourões", BQ762&gt;=6.5),AND(X762="Postes", BQ762&gt;=9.6),AND(X762="Dormentes", BQ762&gt;=9.6),AND(X762="Estacas - Solo", BQ762&gt;=6.5),AND(X762="Estacas - Suspenso", BQ762&gt;=4),AND(X762="Cruzetas", BQ762&gt;=6.5),AND(X762="Outros - Solo", BQ762&gt;=6.5),AND(X762="Outros - Suspenso",BQ762&gt;=4),AND(X762="Deck",BQ762&gt;=4)),'Listas suspensas'!$C$21,'Listas suspensas'!$C$22)</f>
        <v>Os resultados da análise química apresentaram uma retenção do produto inferior ao padrão mínimo exigido pela norma ABNT NBR 16143</v>
      </c>
    </row>
    <row r="763" spans="25:70" x14ac:dyDescent="0.25">
      <c r="Y763" s="34" t="str">
        <f>IF(X763='Listas suspensas'!$A$21,'Listas suspensas'!$B$23,IF(X763='Listas suspensas'!$A$22,'Listas suspensas'!$B$23,IF(X763='Listas suspensas'!$A$23,'Listas suspensas'!$B$22,IF(X763='Listas suspensas'!$A$26,'Listas suspensas'!$B$22,IF(X763='Listas suspensas'!$A$32,'Listas suspensas'!$B$22,IF(X763='Listas suspensas'!$A$33,'Listas suspensas'!$B$21,IF(X763='Listas suspensas'!$A$24,'Listas suspensas'!$B$22,IF(X763='Listas suspensas'!$A$25,'Listas suspensas'!$B$21,IF(X763='Listas suspensas'!$A$30,'Listas suspensas'!$B$21,"")))))))))</f>
        <v/>
      </c>
      <c r="AB763" s="8" t="str">
        <f>IF(AA763='Listas suspensas'!$A$2,'Listas suspensas'!$B$2,IF(AA763='Listas suspensas'!$A$3,'Listas suspensas'!$B$3,IF(AA763='Listas suspensas'!$A$4,'Listas suspensas'!$B$4,IF(AA763='Listas suspensas'!$A$5,'Listas suspensas'!$B$5,IF(AA763='Listas suspensas'!$A$6,'Listas suspensas'!$B$6,"")))))</f>
        <v/>
      </c>
      <c r="AC763" s="8" t="str">
        <f>IF(AA763='Listas suspensas'!$A$2,'Listas suspensas'!$C$2,IF(AA763='Listas suspensas'!$A$3,'Listas suspensas'!$C$3,IF(AA763='Listas suspensas'!$A$4,'Listas suspensas'!$C$4,IF(AA763='Listas suspensas'!$A$5,'Listas suspensas'!$C$5,IF(AA763='Listas suspensas'!$A$6,'Listas suspensas'!$C$6,"")))))</f>
        <v/>
      </c>
      <c r="BE763" s="18">
        <f t="shared" si="120"/>
        <v>0</v>
      </c>
      <c r="BI763" s="13">
        <f t="shared" si="114"/>
        <v>0</v>
      </c>
      <c r="BM763" s="16">
        <f t="shared" si="115"/>
        <v>0</v>
      </c>
      <c r="BN763" s="21">
        <f t="shared" si="116"/>
        <v>0</v>
      </c>
      <c r="BO763" s="21">
        <f t="shared" si="117"/>
        <v>0</v>
      </c>
      <c r="BP763" s="21">
        <f t="shared" si="118"/>
        <v>0</v>
      </c>
      <c r="BQ763" s="14">
        <f t="shared" si="119"/>
        <v>0</v>
      </c>
      <c r="BR763" s="22" t="str">
        <f>IF(OR(AND(X763="Mourões", BQ763&gt;=6.5),AND(X763="Postes", BQ763&gt;=9.6),AND(X763="Dormentes", BQ763&gt;=9.6),AND(X763="Estacas - Solo", BQ763&gt;=6.5),AND(X763="Estacas - Suspenso", BQ763&gt;=4),AND(X763="Cruzetas", BQ763&gt;=6.5),AND(X763="Outros - Solo", BQ763&gt;=6.5),AND(X763="Outros - Suspenso",BQ763&gt;=4),AND(X763="Deck",BQ763&gt;=4)),'Listas suspensas'!$C$21,'Listas suspensas'!$C$22)</f>
        <v>Os resultados da análise química apresentaram uma retenção do produto inferior ao padrão mínimo exigido pela norma ABNT NBR 16143</v>
      </c>
    </row>
    <row r="764" spans="25:70" x14ac:dyDescent="0.25">
      <c r="Y764" s="34" t="str">
        <f>IF(X764='Listas suspensas'!$A$21,'Listas suspensas'!$B$23,IF(X764='Listas suspensas'!$A$22,'Listas suspensas'!$B$23,IF(X764='Listas suspensas'!$A$23,'Listas suspensas'!$B$22,IF(X764='Listas suspensas'!$A$26,'Listas suspensas'!$B$22,IF(X764='Listas suspensas'!$A$32,'Listas suspensas'!$B$22,IF(X764='Listas suspensas'!$A$33,'Listas suspensas'!$B$21,IF(X764='Listas suspensas'!$A$24,'Listas suspensas'!$B$22,IF(X764='Listas suspensas'!$A$25,'Listas suspensas'!$B$21,IF(X764='Listas suspensas'!$A$30,'Listas suspensas'!$B$21,"")))))))))</f>
        <v/>
      </c>
      <c r="AB764" s="8" t="str">
        <f>IF(AA764='Listas suspensas'!$A$2,'Listas suspensas'!$B$2,IF(AA764='Listas suspensas'!$A$3,'Listas suspensas'!$B$3,IF(AA764='Listas suspensas'!$A$4,'Listas suspensas'!$B$4,IF(AA764='Listas suspensas'!$A$5,'Listas suspensas'!$B$5,IF(AA764='Listas suspensas'!$A$6,'Listas suspensas'!$B$6,"")))))</f>
        <v/>
      </c>
      <c r="AC764" s="8" t="str">
        <f>IF(AA764='Listas suspensas'!$A$2,'Listas suspensas'!$C$2,IF(AA764='Listas suspensas'!$A$3,'Listas suspensas'!$C$3,IF(AA764='Listas suspensas'!$A$4,'Listas suspensas'!$C$4,IF(AA764='Listas suspensas'!$A$5,'Listas suspensas'!$C$5,IF(AA764='Listas suspensas'!$A$6,'Listas suspensas'!$C$6,"")))))</f>
        <v/>
      </c>
      <c r="BE764" s="18">
        <f t="shared" si="120"/>
        <v>0</v>
      </c>
      <c r="BI764" s="13">
        <f t="shared" si="114"/>
        <v>0</v>
      </c>
      <c r="BM764" s="16">
        <f t="shared" si="115"/>
        <v>0</v>
      </c>
      <c r="BN764" s="21">
        <f t="shared" si="116"/>
        <v>0</v>
      </c>
      <c r="BO764" s="21">
        <f t="shared" si="117"/>
        <v>0</v>
      </c>
      <c r="BP764" s="21">
        <f t="shared" si="118"/>
        <v>0</v>
      </c>
      <c r="BQ764" s="14">
        <f t="shared" si="119"/>
        <v>0</v>
      </c>
      <c r="BR764" s="22" t="str">
        <f>IF(OR(AND(X764="Mourões", BQ764&gt;=6.5),AND(X764="Postes", BQ764&gt;=9.6),AND(X764="Dormentes", BQ764&gt;=9.6),AND(X764="Estacas - Solo", BQ764&gt;=6.5),AND(X764="Estacas - Suspenso", BQ764&gt;=4),AND(X764="Cruzetas", BQ764&gt;=6.5),AND(X764="Outros - Solo", BQ764&gt;=6.5),AND(X764="Outros - Suspenso",BQ764&gt;=4),AND(X764="Deck",BQ764&gt;=4)),'Listas suspensas'!$C$21,'Listas suspensas'!$C$22)</f>
        <v>Os resultados da análise química apresentaram uma retenção do produto inferior ao padrão mínimo exigido pela norma ABNT NBR 16143</v>
      </c>
    </row>
    <row r="765" spans="25:70" x14ac:dyDescent="0.25">
      <c r="Y765" s="34" t="str">
        <f>IF(X765='Listas suspensas'!$A$21,'Listas suspensas'!$B$23,IF(X765='Listas suspensas'!$A$22,'Listas suspensas'!$B$23,IF(X765='Listas suspensas'!$A$23,'Listas suspensas'!$B$22,IF(X765='Listas suspensas'!$A$26,'Listas suspensas'!$B$22,IF(X765='Listas suspensas'!$A$32,'Listas suspensas'!$B$22,IF(X765='Listas suspensas'!$A$33,'Listas suspensas'!$B$21,IF(X765='Listas suspensas'!$A$24,'Listas suspensas'!$B$22,IF(X765='Listas suspensas'!$A$25,'Listas suspensas'!$B$21,IF(X765='Listas suspensas'!$A$30,'Listas suspensas'!$B$21,"")))))))))</f>
        <v/>
      </c>
      <c r="AB765" s="8" t="str">
        <f>IF(AA765='Listas suspensas'!$A$2,'Listas suspensas'!$B$2,IF(AA765='Listas suspensas'!$A$3,'Listas suspensas'!$B$3,IF(AA765='Listas suspensas'!$A$4,'Listas suspensas'!$B$4,IF(AA765='Listas suspensas'!$A$5,'Listas suspensas'!$B$5,IF(AA765='Listas suspensas'!$A$6,'Listas suspensas'!$B$6,"")))))</f>
        <v/>
      </c>
      <c r="AC765" s="8" t="str">
        <f>IF(AA765='Listas suspensas'!$A$2,'Listas suspensas'!$C$2,IF(AA765='Listas suspensas'!$A$3,'Listas suspensas'!$C$3,IF(AA765='Listas suspensas'!$A$4,'Listas suspensas'!$C$4,IF(AA765='Listas suspensas'!$A$5,'Listas suspensas'!$C$5,IF(AA765='Listas suspensas'!$A$6,'Listas suspensas'!$C$6,"")))))</f>
        <v/>
      </c>
      <c r="BE765" s="18">
        <f t="shared" si="120"/>
        <v>0</v>
      </c>
      <c r="BI765" s="13">
        <f t="shared" si="114"/>
        <v>0</v>
      </c>
      <c r="BM765" s="16">
        <f t="shared" si="115"/>
        <v>0</v>
      </c>
      <c r="BN765" s="21">
        <f t="shared" si="116"/>
        <v>0</v>
      </c>
      <c r="BO765" s="21">
        <f t="shared" si="117"/>
        <v>0</v>
      </c>
      <c r="BP765" s="21">
        <f t="shared" si="118"/>
        <v>0</v>
      </c>
      <c r="BQ765" s="14">
        <f t="shared" si="119"/>
        <v>0</v>
      </c>
      <c r="BR765" s="22" t="str">
        <f>IF(OR(AND(X765="Mourões", BQ765&gt;=6.5),AND(X765="Postes", BQ765&gt;=9.6),AND(X765="Dormentes", BQ765&gt;=9.6),AND(X765="Estacas - Solo", BQ765&gt;=6.5),AND(X765="Estacas - Suspenso", BQ765&gt;=4),AND(X765="Cruzetas", BQ765&gt;=6.5),AND(X765="Outros - Solo", BQ765&gt;=6.5),AND(X765="Outros - Suspenso",BQ765&gt;=4),AND(X765="Deck",BQ765&gt;=4)),'Listas suspensas'!$C$21,'Listas suspensas'!$C$22)</f>
        <v>Os resultados da análise química apresentaram uma retenção do produto inferior ao padrão mínimo exigido pela norma ABNT NBR 16143</v>
      </c>
    </row>
    <row r="766" spans="25:70" x14ac:dyDescent="0.25">
      <c r="Y766" s="34" t="str">
        <f>IF(X766='Listas suspensas'!$A$21,'Listas suspensas'!$B$23,IF(X766='Listas suspensas'!$A$22,'Listas suspensas'!$B$23,IF(X766='Listas suspensas'!$A$23,'Listas suspensas'!$B$22,IF(X766='Listas suspensas'!$A$26,'Listas suspensas'!$B$22,IF(X766='Listas suspensas'!$A$32,'Listas suspensas'!$B$22,IF(X766='Listas suspensas'!$A$33,'Listas suspensas'!$B$21,IF(X766='Listas suspensas'!$A$24,'Listas suspensas'!$B$22,IF(X766='Listas suspensas'!$A$25,'Listas suspensas'!$B$21,IF(X766='Listas suspensas'!$A$30,'Listas suspensas'!$B$21,"")))))))))</f>
        <v/>
      </c>
      <c r="AB766" s="8" t="str">
        <f>IF(AA766='Listas suspensas'!$A$2,'Listas suspensas'!$B$2,IF(AA766='Listas suspensas'!$A$3,'Listas suspensas'!$B$3,IF(AA766='Listas suspensas'!$A$4,'Listas suspensas'!$B$4,IF(AA766='Listas suspensas'!$A$5,'Listas suspensas'!$B$5,IF(AA766='Listas suspensas'!$A$6,'Listas suspensas'!$B$6,"")))))</f>
        <v/>
      </c>
      <c r="AC766" s="8" t="str">
        <f>IF(AA766='Listas suspensas'!$A$2,'Listas suspensas'!$C$2,IF(AA766='Listas suspensas'!$A$3,'Listas suspensas'!$C$3,IF(AA766='Listas suspensas'!$A$4,'Listas suspensas'!$C$4,IF(AA766='Listas suspensas'!$A$5,'Listas suspensas'!$C$5,IF(AA766='Listas suspensas'!$A$6,'Listas suspensas'!$C$6,"")))))</f>
        <v/>
      </c>
      <c r="BE766" s="18">
        <f t="shared" si="120"/>
        <v>0</v>
      </c>
      <c r="BI766" s="13">
        <f t="shared" si="114"/>
        <v>0</v>
      </c>
      <c r="BM766" s="16">
        <f t="shared" si="115"/>
        <v>0</v>
      </c>
      <c r="BN766" s="21">
        <f t="shared" si="116"/>
        <v>0</v>
      </c>
      <c r="BO766" s="21">
        <f t="shared" si="117"/>
        <v>0</v>
      </c>
      <c r="BP766" s="21">
        <f t="shared" si="118"/>
        <v>0</v>
      </c>
      <c r="BQ766" s="14">
        <f t="shared" si="119"/>
        <v>0</v>
      </c>
      <c r="BR766" s="22" t="str">
        <f>IF(OR(AND(X766="Mourões", BQ766&gt;=6.5),AND(X766="Postes", BQ766&gt;=9.6),AND(X766="Dormentes", BQ766&gt;=9.6),AND(X766="Estacas - Solo", BQ766&gt;=6.5),AND(X766="Estacas - Suspenso", BQ766&gt;=4),AND(X766="Cruzetas", BQ766&gt;=6.5),AND(X766="Outros - Solo", BQ766&gt;=6.5),AND(X766="Outros - Suspenso",BQ766&gt;=4),AND(X766="Deck",BQ766&gt;=4)),'Listas suspensas'!$C$21,'Listas suspensas'!$C$22)</f>
        <v>Os resultados da análise química apresentaram uma retenção do produto inferior ao padrão mínimo exigido pela norma ABNT NBR 16143</v>
      </c>
    </row>
    <row r="767" spans="25:70" x14ac:dyDescent="0.25">
      <c r="Y767" s="34" t="str">
        <f>IF(X767='Listas suspensas'!$A$21,'Listas suspensas'!$B$23,IF(X767='Listas suspensas'!$A$22,'Listas suspensas'!$B$23,IF(X767='Listas suspensas'!$A$23,'Listas suspensas'!$B$22,IF(X767='Listas suspensas'!$A$26,'Listas suspensas'!$B$22,IF(X767='Listas suspensas'!$A$32,'Listas suspensas'!$B$22,IF(X767='Listas suspensas'!$A$33,'Listas suspensas'!$B$21,IF(X767='Listas suspensas'!$A$24,'Listas suspensas'!$B$22,IF(X767='Listas suspensas'!$A$25,'Listas suspensas'!$B$21,IF(X767='Listas suspensas'!$A$30,'Listas suspensas'!$B$21,"")))))))))</f>
        <v/>
      </c>
      <c r="AB767" s="8" t="str">
        <f>IF(AA767='Listas suspensas'!$A$2,'Listas suspensas'!$B$2,IF(AA767='Listas suspensas'!$A$3,'Listas suspensas'!$B$3,IF(AA767='Listas suspensas'!$A$4,'Listas suspensas'!$B$4,IF(AA767='Listas suspensas'!$A$5,'Listas suspensas'!$B$5,IF(AA767='Listas suspensas'!$A$6,'Listas suspensas'!$B$6,"")))))</f>
        <v/>
      </c>
      <c r="AC767" s="8" t="str">
        <f>IF(AA767='Listas suspensas'!$A$2,'Listas suspensas'!$C$2,IF(AA767='Listas suspensas'!$A$3,'Listas suspensas'!$C$3,IF(AA767='Listas suspensas'!$A$4,'Listas suspensas'!$C$4,IF(AA767='Listas suspensas'!$A$5,'Listas suspensas'!$C$5,IF(AA767='Listas suspensas'!$A$6,'Listas suspensas'!$C$6,"")))))</f>
        <v/>
      </c>
      <c r="BE767" s="18">
        <f t="shared" si="120"/>
        <v>0</v>
      </c>
      <c r="BI767" s="13">
        <f t="shared" si="114"/>
        <v>0</v>
      </c>
      <c r="BM767" s="16">
        <f t="shared" si="115"/>
        <v>0</v>
      </c>
      <c r="BN767" s="21">
        <f t="shared" si="116"/>
        <v>0</v>
      </c>
      <c r="BO767" s="21">
        <f t="shared" si="117"/>
        <v>0</v>
      </c>
      <c r="BP767" s="21">
        <f t="shared" si="118"/>
        <v>0</v>
      </c>
      <c r="BQ767" s="14">
        <f t="shared" si="119"/>
        <v>0</v>
      </c>
      <c r="BR767" s="22" t="str">
        <f>IF(OR(AND(X767="Mourões", BQ767&gt;=6.5),AND(X767="Postes", BQ767&gt;=9.6),AND(X767="Dormentes", BQ767&gt;=9.6),AND(X767="Estacas - Solo", BQ767&gt;=6.5),AND(X767="Estacas - Suspenso", BQ767&gt;=4),AND(X767="Cruzetas", BQ767&gt;=6.5),AND(X767="Outros - Solo", BQ767&gt;=6.5),AND(X767="Outros - Suspenso",BQ767&gt;=4),AND(X767="Deck",BQ767&gt;=4)),'Listas suspensas'!$C$21,'Listas suspensas'!$C$22)</f>
        <v>Os resultados da análise química apresentaram uma retenção do produto inferior ao padrão mínimo exigido pela norma ABNT NBR 16143</v>
      </c>
    </row>
    <row r="768" spans="25:70" x14ac:dyDescent="0.25">
      <c r="Y768" s="34" t="str">
        <f>IF(X768='Listas suspensas'!$A$21,'Listas suspensas'!$B$23,IF(X768='Listas suspensas'!$A$22,'Listas suspensas'!$B$23,IF(X768='Listas suspensas'!$A$23,'Listas suspensas'!$B$22,IF(X768='Listas suspensas'!$A$26,'Listas suspensas'!$B$22,IF(X768='Listas suspensas'!$A$32,'Listas suspensas'!$B$22,IF(X768='Listas suspensas'!$A$33,'Listas suspensas'!$B$21,IF(X768='Listas suspensas'!$A$24,'Listas suspensas'!$B$22,IF(X768='Listas suspensas'!$A$25,'Listas suspensas'!$B$21,IF(X768='Listas suspensas'!$A$30,'Listas suspensas'!$B$21,"")))))))))</f>
        <v/>
      </c>
      <c r="AB768" s="8" t="str">
        <f>IF(AA768='Listas suspensas'!$A$2,'Listas suspensas'!$B$2,IF(AA768='Listas suspensas'!$A$3,'Listas suspensas'!$B$3,IF(AA768='Listas suspensas'!$A$4,'Listas suspensas'!$B$4,IF(AA768='Listas suspensas'!$A$5,'Listas suspensas'!$B$5,IF(AA768='Listas suspensas'!$A$6,'Listas suspensas'!$B$6,"")))))</f>
        <v/>
      </c>
      <c r="AC768" s="8" t="str">
        <f>IF(AA768='Listas suspensas'!$A$2,'Listas suspensas'!$C$2,IF(AA768='Listas suspensas'!$A$3,'Listas suspensas'!$C$3,IF(AA768='Listas suspensas'!$A$4,'Listas suspensas'!$C$4,IF(AA768='Listas suspensas'!$A$5,'Listas suspensas'!$C$5,IF(AA768='Listas suspensas'!$A$6,'Listas suspensas'!$C$6,"")))))</f>
        <v/>
      </c>
      <c r="BE768" s="18">
        <f t="shared" si="120"/>
        <v>0</v>
      </c>
      <c r="BI768" s="13">
        <f t="shared" si="114"/>
        <v>0</v>
      </c>
      <c r="BM768" s="16">
        <f t="shared" si="115"/>
        <v>0</v>
      </c>
      <c r="BN768" s="21">
        <f t="shared" si="116"/>
        <v>0</v>
      </c>
      <c r="BO768" s="21">
        <f t="shared" si="117"/>
        <v>0</v>
      </c>
      <c r="BP768" s="21">
        <f t="shared" si="118"/>
        <v>0</v>
      </c>
      <c r="BQ768" s="14">
        <f t="shared" si="119"/>
        <v>0</v>
      </c>
      <c r="BR768" s="22" t="str">
        <f>IF(OR(AND(X768="Mourões", BQ768&gt;=6.5),AND(X768="Postes", BQ768&gt;=9.6),AND(X768="Dormentes", BQ768&gt;=9.6),AND(X768="Estacas - Solo", BQ768&gt;=6.5),AND(X768="Estacas - Suspenso", BQ768&gt;=4),AND(X768="Cruzetas", BQ768&gt;=6.5),AND(X768="Outros - Solo", BQ768&gt;=6.5),AND(X768="Outros - Suspenso",BQ768&gt;=4),AND(X768="Deck",BQ768&gt;=4)),'Listas suspensas'!$C$21,'Listas suspensas'!$C$22)</f>
        <v>Os resultados da análise química apresentaram uma retenção do produto inferior ao padrão mínimo exigido pela norma ABNT NBR 16143</v>
      </c>
    </row>
    <row r="769" spans="25:70" x14ac:dyDescent="0.25">
      <c r="Y769" s="34" t="str">
        <f>IF(X769='Listas suspensas'!$A$21,'Listas suspensas'!$B$23,IF(X769='Listas suspensas'!$A$22,'Listas suspensas'!$B$23,IF(X769='Listas suspensas'!$A$23,'Listas suspensas'!$B$22,IF(X769='Listas suspensas'!$A$26,'Listas suspensas'!$B$22,IF(X769='Listas suspensas'!$A$32,'Listas suspensas'!$B$22,IF(X769='Listas suspensas'!$A$33,'Listas suspensas'!$B$21,IF(X769='Listas suspensas'!$A$24,'Listas suspensas'!$B$22,IF(X769='Listas suspensas'!$A$25,'Listas suspensas'!$B$21,IF(X769='Listas suspensas'!$A$30,'Listas suspensas'!$B$21,"")))))))))</f>
        <v/>
      </c>
      <c r="AB769" s="8" t="str">
        <f>IF(AA769='Listas suspensas'!$A$2,'Listas suspensas'!$B$2,IF(AA769='Listas suspensas'!$A$3,'Listas suspensas'!$B$3,IF(AA769='Listas suspensas'!$A$4,'Listas suspensas'!$B$4,IF(AA769='Listas suspensas'!$A$5,'Listas suspensas'!$B$5,IF(AA769='Listas suspensas'!$A$6,'Listas suspensas'!$B$6,"")))))</f>
        <v/>
      </c>
      <c r="AC769" s="8" t="str">
        <f>IF(AA769='Listas suspensas'!$A$2,'Listas suspensas'!$C$2,IF(AA769='Listas suspensas'!$A$3,'Listas suspensas'!$C$3,IF(AA769='Listas suspensas'!$A$4,'Listas suspensas'!$C$4,IF(AA769='Listas suspensas'!$A$5,'Listas suspensas'!$C$5,IF(AA769='Listas suspensas'!$A$6,'Listas suspensas'!$C$6,"")))))</f>
        <v/>
      </c>
      <c r="BE769" s="18">
        <f t="shared" si="120"/>
        <v>0</v>
      </c>
      <c r="BI769" s="13">
        <f t="shared" si="114"/>
        <v>0</v>
      </c>
      <c r="BM769" s="16">
        <f t="shared" si="115"/>
        <v>0</v>
      </c>
      <c r="BN769" s="21">
        <f t="shared" si="116"/>
        <v>0</v>
      </c>
      <c r="BO769" s="21">
        <f t="shared" si="117"/>
        <v>0</v>
      </c>
      <c r="BP769" s="21">
        <f t="shared" si="118"/>
        <v>0</v>
      </c>
      <c r="BQ769" s="14">
        <f t="shared" si="119"/>
        <v>0</v>
      </c>
      <c r="BR769" s="22" t="str">
        <f>IF(OR(AND(X769="Mourões", BQ769&gt;=6.5),AND(X769="Postes", BQ769&gt;=9.6),AND(X769="Dormentes", BQ769&gt;=9.6),AND(X769="Estacas - Solo", BQ769&gt;=6.5),AND(X769="Estacas - Suspenso", BQ769&gt;=4),AND(X769="Cruzetas", BQ769&gt;=6.5),AND(X769="Outros - Solo", BQ769&gt;=6.5),AND(X769="Outros - Suspenso",BQ769&gt;=4),AND(X769="Deck",BQ769&gt;=4)),'Listas suspensas'!$C$21,'Listas suspensas'!$C$22)</f>
        <v>Os resultados da análise química apresentaram uma retenção do produto inferior ao padrão mínimo exigido pela norma ABNT NBR 16143</v>
      </c>
    </row>
    <row r="770" spans="25:70" x14ac:dyDescent="0.25">
      <c r="Y770" s="34" t="str">
        <f>IF(X770='Listas suspensas'!$A$21,'Listas suspensas'!$B$23,IF(X770='Listas suspensas'!$A$22,'Listas suspensas'!$B$23,IF(X770='Listas suspensas'!$A$23,'Listas suspensas'!$B$22,IF(X770='Listas suspensas'!$A$26,'Listas suspensas'!$B$22,IF(X770='Listas suspensas'!$A$32,'Listas suspensas'!$B$22,IF(X770='Listas suspensas'!$A$33,'Listas suspensas'!$B$21,IF(X770='Listas suspensas'!$A$24,'Listas suspensas'!$B$22,IF(X770='Listas suspensas'!$A$25,'Listas suspensas'!$B$21,IF(X770='Listas suspensas'!$A$30,'Listas suspensas'!$B$21,"")))))))))</f>
        <v/>
      </c>
      <c r="AB770" s="8" t="str">
        <f>IF(AA770='Listas suspensas'!$A$2,'Listas suspensas'!$B$2,IF(AA770='Listas suspensas'!$A$3,'Listas suspensas'!$B$3,IF(AA770='Listas suspensas'!$A$4,'Listas suspensas'!$B$4,IF(AA770='Listas suspensas'!$A$5,'Listas suspensas'!$B$5,IF(AA770='Listas suspensas'!$A$6,'Listas suspensas'!$B$6,"")))))</f>
        <v/>
      </c>
      <c r="AC770" s="8" t="str">
        <f>IF(AA770='Listas suspensas'!$A$2,'Listas suspensas'!$C$2,IF(AA770='Listas suspensas'!$A$3,'Listas suspensas'!$C$3,IF(AA770='Listas suspensas'!$A$4,'Listas suspensas'!$C$4,IF(AA770='Listas suspensas'!$A$5,'Listas suspensas'!$C$5,IF(AA770='Listas suspensas'!$A$6,'Listas suspensas'!$C$6,"")))))</f>
        <v/>
      </c>
      <c r="BE770" s="18">
        <f t="shared" si="120"/>
        <v>0</v>
      </c>
      <c r="BI770" s="13">
        <f t="shared" si="114"/>
        <v>0</v>
      </c>
      <c r="BM770" s="16">
        <f t="shared" si="115"/>
        <v>0</v>
      </c>
      <c r="BN770" s="21">
        <f t="shared" si="116"/>
        <v>0</v>
      </c>
      <c r="BO770" s="21">
        <f t="shared" si="117"/>
        <v>0</v>
      </c>
      <c r="BP770" s="21">
        <f t="shared" si="118"/>
        <v>0</v>
      </c>
      <c r="BQ770" s="14">
        <f t="shared" si="119"/>
        <v>0</v>
      </c>
      <c r="BR770" s="22" t="str">
        <f>IF(OR(AND(X770="Mourões", BQ770&gt;=6.5),AND(X770="Postes", BQ770&gt;=9.6),AND(X770="Dormentes", BQ770&gt;=9.6),AND(X770="Estacas - Solo", BQ770&gt;=6.5),AND(X770="Estacas - Suspenso", BQ770&gt;=4),AND(X770="Cruzetas", BQ770&gt;=6.5),AND(X770="Outros - Solo", BQ770&gt;=6.5),AND(X770="Outros - Suspenso",BQ770&gt;=4),AND(X770="Deck",BQ770&gt;=4)),'Listas suspensas'!$C$21,'Listas suspensas'!$C$22)</f>
        <v>Os resultados da análise química apresentaram uma retenção do produto inferior ao padrão mínimo exigido pela norma ABNT NBR 16143</v>
      </c>
    </row>
    <row r="771" spans="25:70" x14ac:dyDescent="0.25">
      <c r="Y771" s="34" t="str">
        <f>IF(X771='Listas suspensas'!$A$21,'Listas suspensas'!$B$23,IF(X771='Listas suspensas'!$A$22,'Listas suspensas'!$B$23,IF(X771='Listas suspensas'!$A$23,'Listas suspensas'!$B$22,IF(X771='Listas suspensas'!$A$26,'Listas suspensas'!$B$22,IF(X771='Listas suspensas'!$A$32,'Listas suspensas'!$B$22,IF(X771='Listas suspensas'!$A$33,'Listas suspensas'!$B$21,IF(X771='Listas suspensas'!$A$24,'Listas suspensas'!$B$22,IF(X771='Listas suspensas'!$A$25,'Listas suspensas'!$B$21,IF(X771='Listas suspensas'!$A$30,'Listas suspensas'!$B$21,"")))))))))</f>
        <v/>
      </c>
      <c r="AB771" s="8" t="str">
        <f>IF(AA771='Listas suspensas'!$A$2,'Listas suspensas'!$B$2,IF(AA771='Listas suspensas'!$A$3,'Listas suspensas'!$B$3,IF(AA771='Listas suspensas'!$A$4,'Listas suspensas'!$B$4,IF(AA771='Listas suspensas'!$A$5,'Listas suspensas'!$B$5,IF(AA771='Listas suspensas'!$A$6,'Listas suspensas'!$B$6,"")))))</f>
        <v/>
      </c>
      <c r="AC771" s="8" t="str">
        <f>IF(AA771='Listas suspensas'!$A$2,'Listas suspensas'!$C$2,IF(AA771='Listas suspensas'!$A$3,'Listas suspensas'!$C$3,IF(AA771='Listas suspensas'!$A$4,'Listas suspensas'!$C$4,IF(AA771='Listas suspensas'!$A$5,'Listas suspensas'!$C$5,IF(AA771='Listas suspensas'!$A$6,'Listas suspensas'!$C$6,"")))))</f>
        <v/>
      </c>
      <c r="BE771" s="18">
        <f t="shared" si="120"/>
        <v>0</v>
      </c>
      <c r="BI771" s="13">
        <f t="shared" ref="BI771:BI834" si="121">SUM(BF771:BH771)</f>
        <v>0</v>
      </c>
      <c r="BM771" s="16">
        <f t="shared" si="115"/>
        <v>0</v>
      </c>
      <c r="BN771" s="21">
        <f t="shared" si="116"/>
        <v>0</v>
      </c>
      <c r="BO771" s="21">
        <f t="shared" si="117"/>
        <v>0</v>
      </c>
      <c r="BP771" s="21">
        <f t="shared" si="118"/>
        <v>0</v>
      </c>
      <c r="BQ771" s="14">
        <f t="shared" si="119"/>
        <v>0</v>
      </c>
      <c r="BR771" s="22" t="str">
        <f>IF(OR(AND(X771="Mourões", BQ771&gt;=6.5),AND(X771="Postes", BQ771&gt;=9.6),AND(X771="Dormentes", BQ771&gt;=9.6),AND(X771="Estacas - Solo", BQ771&gt;=6.5),AND(X771="Estacas - Suspenso", BQ771&gt;=4),AND(X771="Cruzetas", BQ771&gt;=6.5),AND(X771="Outros - Solo", BQ771&gt;=6.5),AND(X771="Outros - Suspenso",BQ771&gt;=4),AND(X771="Deck",BQ771&gt;=4)),'Listas suspensas'!$C$21,'Listas suspensas'!$C$22)</f>
        <v>Os resultados da análise química apresentaram uma retenção do produto inferior ao padrão mínimo exigido pela norma ABNT NBR 16143</v>
      </c>
    </row>
    <row r="772" spans="25:70" x14ac:dyDescent="0.25">
      <c r="Y772" s="34" t="str">
        <f>IF(X772='Listas suspensas'!$A$21,'Listas suspensas'!$B$23,IF(X772='Listas suspensas'!$A$22,'Listas suspensas'!$B$23,IF(X772='Listas suspensas'!$A$23,'Listas suspensas'!$B$22,IF(X772='Listas suspensas'!$A$26,'Listas suspensas'!$B$22,IF(X772='Listas suspensas'!$A$32,'Listas suspensas'!$B$22,IF(X772='Listas suspensas'!$A$33,'Listas suspensas'!$B$21,IF(X772='Listas suspensas'!$A$24,'Listas suspensas'!$B$22,IF(X772='Listas suspensas'!$A$25,'Listas suspensas'!$B$21,IF(X772='Listas suspensas'!$A$30,'Listas suspensas'!$B$21,"")))))))))</f>
        <v/>
      </c>
      <c r="AB772" s="8" t="str">
        <f>IF(AA772='Listas suspensas'!$A$2,'Listas suspensas'!$B$2,IF(AA772='Listas suspensas'!$A$3,'Listas suspensas'!$B$3,IF(AA772='Listas suspensas'!$A$4,'Listas suspensas'!$B$4,IF(AA772='Listas suspensas'!$A$5,'Listas suspensas'!$B$5,IF(AA772='Listas suspensas'!$A$6,'Listas suspensas'!$B$6,"")))))</f>
        <v/>
      </c>
      <c r="AC772" s="8" t="str">
        <f>IF(AA772='Listas suspensas'!$A$2,'Listas suspensas'!$C$2,IF(AA772='Listas suspensas'!$A$3,'Listas suspensas'!$C$3,IF(AA772='Listas suspensas'!$A$4,'Listas suspensas'!$C$4,IF(AA772='Listas suspensas'!$A$5,'Listas suspensas'!$C$5,IF(AA772='Listas suspensas'!$A$6,'Listas suspensas'!$C$6,"")))))</f>
        <v/>
      </c>
      <c r="BE772" s="18">
        <f t="shared" si="120"/>
        <v>0</v>
      </c>
      <c r="BI772" s="13">
        <f t="shared" si="121"/>
        <v>0</v>
      </c>
      <c r="BM772" s="16">
        <f t="shared" si="115"/>
        <v>0</v>
      </c>
      <c r="BN772" s="21">
        <f t="shared" si="116"/>
        <v>0</v>
      </c>
      <c r="BO772" s="21">
        <f t="shared" si="117"/>
        <v>0</v>
      </c>
      <c r="BP772" s="21">
        <f t="shared" si="118"/>
        <v>0</v>
      </c>
      <c r="BQ772" s="14">
        <f t="shared" si="119"/>
        <v>0</v>
      </c>
      <c r="BR772" s="22" t="str">
        <f>IF(OR(AND(X772="Mourões", BQ772&gt;=6.5),AND(X772="Postes", BQ772&gt;=9.6),AND(X772="Dormentes", BQ772&gt;=9.6),AND(X772="Estacas - Solo", BQ772&gt;=6.5),AND(X772="Estacas - Suspenso", BQ772&gt;=4),AND(X772="Cruzetas", BQ772&gt;=6.5),AND(X772="Outros - Solo", BQ772&gt;=6.5),AND(X772="Outros - Suspenso",BQ772&gt;=4),AND(X772="Deck",BQ772&gt;=4)),'Listas suspensas'!$C$21,'Listas suspensas'!$C$22)</f>
        <v>Os resultados da análise química apresentaram uma retenção do produto inferior ao padrão mínimo exigido pela norma ABNT NBR 16143</v>
      </c>
    </row>
    <row r="773" spans="25:70" x14ac:dyDescent="0.25">
      <c r="Y773" s="34" t="str">
        <f>IF(X773='Listas suspensas'!$A$21,'Listas suspensas'!$B$23,IF(X773='Listas suspensas'!$A$22,'Listas suspensas'!$B$23,IF(X773='Listas suspensas'!$A$23,'Listas suspensas'!$B$22,IF(X773='Listas suspensas'!$A$26,'Listas suspensas'!$B$22,IF(X773='Listas suspensas'!$A$32,'Listas suspensas'!$B$22,IF(X773='Listas suspensas'!$A$33,'Listas suspensas'!$B$21,IF(X773='Listas suspensas'!$A$24,'Listas suspensas'!$B$22,IF(X773='Listas suspensas'!$A$25,'Listas suspensas'!$B$21,IF(X773='Listas suspensas'!$A$30,'Listas suspensas'!$B$21,"")))))))))</f>
        <v/>
      </c>
      <c r="AB773" s="8" t="str">
        <f>IF(AA773='Listas suspensas'!$A$2,'Listas suspensas'!$B$2,IF(AA773='Listas suspensas'!$A$3,'Listas suspensas'!$B$3,IF(AA773='Listas suspensas'!$A$4,'Listas suspensas'!$B$4,IF(AA773='Listas suspensas'!$A$5,'Listas suspensas'!$B$5,IF(AA773='Listas suspensas'!$A$6,'Listas suspensas'!$B$6,"")))))</f>
        <v/>
      </c>
      <c r="AC773" s="8" t="str">
        <f>IF(AA773='Listas suspensas'!$A$2,'Listas suspensas'!$C$2,IF(AA773='Listas suspensas'!$A$3,'Listas suspensas'!$C$3,IF(AA773='Listas suspensas'!$A$4,'Listas suspensas'!$C$4,IF(AA773='Listas suspensas'!$A$5,'Listas suspensas'!$C$5,IF(AA773='Listas suspensas'!$A$6,'Listas suspensas'!$C$6,"")))))</f>
        <v/>
      </c>
      <c r="BE773" s="18">
        <f t="shared" si="120"/>
        <v>0</v>
      </c>
      <c r="BI773" s="13">
        <f t="shared" si="121"/>
        <v>0</v>
      </c>
      <c r="BM773" s="16">
        <f t="shared" si="115"/>
        <v>0</v>
      </c>
      <c r="BN773" s="21">
        <f t="shared" si="116"/>
        <v>0</v>
      </c>
      <c r="BO773" s="21">
        <f t="shared" si="117"/>
        <v>0</v>
      </c>
      <c r="BP773" s="21">
        <f t="shared" si="118"/>
        <v>0</v>
      </c>
      <c r="BQ773" s="14">
        <f t="shared" si="119"/>
        <v>0</v>
      </c>
      <c r="BR773" s="22" t="str">
        <f>IF(OR(AND(X773="Mourões", BQ773&gt;=6.5),AND(X773="Postes", BQ773&gt;=9.6),AND(X773="Dormentes", BQ773&gt;=9.6),AND(X773="Estacas - Solo", BQ773&gt;=6.5),AND(X773="Estacas - Suspenso", BQ773&gt;=4),AND(X773="Cruzetas", BQ773&gt;=6.5),AND(X773="Outros - Solo", BQ773&gt;=6.5),AND(X773="Outros - Suspenso",BQ773&gt;=4),AND(X773="Deck",BQ773&gt;=4)),'Listas suspensas'!$C$21,'Listas suspensas'!$C$22)</f>
        <v>Os resultados da análise química apresentaram uma retenção do produto inferior ao padrão mínimo exigido pela norma ABNT NBR 16143</v>
      </c>
    </row>
    <row r="774" spans="25:70" x14ac:dyDescent="0.25">
      <c r="Y774" s="34" t="str">
        <f>IF(X774='Listas suspensas'!$A$21,'Listas suspensas'!$B$23,IF(X774='Listas suspensas'!$A$22,'Listas suspensas'!$B$23,IF(X774='Listas suspensas'!$A$23,'Listas suspensas'!$B$22,IF(X774='Listas suspensas'!$A$26,'Listas suspensas'!$B$22,IF(X774='Listas suspensas'!$A$32,'Listas suspensas'!$B$22,IF(X774='Listas suspensas'!$A$33,'Listas suspensas'!$B$21,IF(X774='Listas suspensas'!$A$24,'Listas suspensas'!$B$22,IF(X774='Listas suspensas'!$A$25,'Listas suspensas'!$B$21,IF(X774='Listas suspensas'!$A$30,'Listas suspensas'!$B$21,"")))))))))</f>
        <v/>
      </c>
      <c r="AB774" s="8" t="str">
        <f>IF(AA774='Listas suspensas'!$A$2,'Listas suspensas'!$B$2,IF(AA774='Listas suspensas'!$A$3,'Listas suspensas'!$B$3,IF(AA774='Listas suspensas'!$A$4,'Listas suspensas'!$B$4,IF(AA774='Listas suspensas'!$A$5,'Listas suspensas'!$B$5,IF(AA774='Listas suspensas'!$A$6,'Listas suspensas'!$B$6,"")))))</f>
        <v/>
      </c>
      <c r="AC774" s="8" t="str">
        <f>IF(AA774='Listas suspensas'!$A$2,'Listas suspensas'!$C$2,IF(AA774='Listas suspensas'!$A$3,'Listas suspensas'!$C$3,IF(AA774='Listas suspensas'!$A$4,'Listas suspensas'!$C$4,IF(AA774='Listas suspensas'!$A$5,'Listas suspensas'!$C$5,IF(AA774='Listas suspensas'!$A$6,'Listas suspensas'!$C$6,"")))))</f>
        <v/>
      </c>
      <c r="BE774" s="18">
        <f t="shared" si="120"/>
        <v>0</v>
      </c>
      <c r="BI774" s="13">
        <f t="shared" si="121"/>
        <v>0</v>
      </c>
      <c r="BM774" s="16">
        <f t="shared" si="115"/>
        <v>0</v>
      </c>
      <c r="BN774" s="21">
        <f t="shared" si="116"/>
        <v>0</v>
      </c>
      <c r="BO774" s="21">
        <f t="shared" si="117"/>
        <v>0</v>
      </c>
      <c r="BP774" s="21">
        <f t="shared" si="118"/>
        <v>0</v>
      </c>
      <c r="BQ774" s="14">
        <f t="shared" si="119"/>
        <v>0</v>
      </c>
      <c r="BR774" s="22" t="str">
        <f>IF(OR(AND(X774="Mourões", BQ774&gt;=6.5),AND(X774="Postes", BQ774&gt;=9.6),AND(X774="Dormentes", BQ774&gt;=9.6),AND(X774="Estacas - Solo", BQ774&gt;=6.5),AND(X774="Estacas - Suspenso", BQ774&gt;=4),AND(X774="Cruzetas", BQ774&gt;=6.5),AND(X774="Outros - Solo", BQ774&gt;=6.5),AND(X774="Outros - Suspenso",BQ774&gt;=4),AND(X774="Deck",BQ774&gt;=4)),'Listas suspensas'!$C$21,'Listas suspensas'!$C$22)</f>
        <v>Os resultados da análise química apresentaram uma retenção do produto inferior ao padrão mínimo exigido pela norma ABNT NBR 16143</v>
      </c>
    </row>
    <row r="775" spans="25:70" x14ac:dyDescent="0.25">
      <c r="Y775" s="34" t="str">
        <f>IF(X775='Listas suspensas'!$A$21,'Listas suspensas'!$B$23,IF(X775='Listas suspensas'!$A$22,'Listas suspensas'!$B$23,IF(X775='Listas suspensas'!$A$23,'Listas suspensas'!$B$22,IF(X775='Listas suspensas'!$A$26,'Listas suspensas'!$B$22,IF(X775='Listas suspensas'!$A$32,'Listas suspensas'!$B$22,IF(X775='Listas suspensas'!$A$33,'Listas suspensas'!$B$21,IF(X775='Listas suspensas'!$A$24,'Listas suspensas'!$B$22,IF(X775='Listas suspensas'!$A$25,'Listas suspensas'!$B$21,IF(X775='Listas suspensas'!$A$30,'Listas suspensas'!$B$21,"")))))))))</f>
        <v/>
      </c>
      <c r="AB775" s="8" t="str">
        <f>IF(AA775='Listas suspensas'!$A$2,'Listas suspensas'!$B$2,IF(AA775='Listas suspensas'!$A$3,'Listas suspensas'!$B$3,IF(AA775='Listas suspensas'!$A$4,'Listas suspensas'!$B$4,IF(AA775='Listas suspensas'!$A$5,'Listas suspensas'!$B$5,IF(AA775='Listas suspensas'!$A$6,'Listas suspensas'!$B$6,"")))))</f>
        <v/>
      </c>
      <c r="AC775" s="8" t="str">
        <f>IF(AA775='Listas suspensas'!$A$2,'Listas suspensas'!$C$2,IF(AA775='Listas suspensas'!$A$3,'Listas suspensas'!$C$3,IF(AA775='Listas suspensas'!$A$4,'Listas suspensas'!$C$4,IF(AA775='Listas suspensas'!$A$5,'Listas suspensas'!$C$5,IF(AA775='Listas suspensas'!$A$6,'Listas suspensas'!$C$6,"")))))</f>
        <v/>
      </c>
      <c r="BE775" s="18">
        <f t="shared" si="120"/>
        <v>0</v>
      </c>
      <c r="BI775" s="13">
        <f t="shared" si="121"/>
        <v>0</v>
      </c>
      <c r="BM775" s="16">
        <f t="shared" si="115"/>
        <v>0</v>
      </c>
      <c r="BN775" s="21">
        <f t="shared" si="116"/>
        <v>0</v>
      </c>
      <c r="BO775" s="21">
        <f t="shared" si="117"/>
        <v>0</v>
      </c>
      <c r="BP775" s="21">
        <f t="shared" si="118"/>
        <v>0</v>
      </c>
      <c r="BQ775" s="14">
        <f t="shared" si="119"/>
        <v>0</v>
      </c>
      <c r="BR775" s="22" t="str">
        <f>IF(OR(AND(X775="Mourões", BQ775&gt;=6.5),AND(X775="Postes", BQ775&gt;=9.6),AND(X775="Dormentes", BQ775&gt;=9.6),AND(X775="Estacas - Solo", BQ775&gt;=6.5),AND(X775="Estacas - Suspenso", BQ775&gt;=4),AND(X775="Cruzetas", BQ775&gt;=6.5),AND(X775="Outros - Solo", BQ775&gt;=6.5),AND(X775="Outros - Suspenso",BQ775&gt;=4),AND(X775="Deck",BQ775&gt;=4)),'Listas suspensas'!$C$21,'Listas suspensas'!$C$22)</f>
        <v>Os resultados da análise química apresentaram uma retenção do produto inferior ao padrão mínimo exigido pela norma ABNT NBR 16143</v>
      </c>
    </row>
    <row r="776" spans="25:70" x14ac:dyDescent="0.25">
      <c r="Y776" s="34" t="str">
        <f>IF(X776='Listas suspensas'!$A$21,'Listas suspensas'!$B$23,IF(X776='Listas suspensas'!$A$22,'Listas suspensas'!$B$23,IF(X776='Listas suspensas'!$A$23,'Listas suspensas'!$B$22,IF(X776='Listas suspensas'!$A$26,'Listas suspensas'!$B$22,IF(X776='Listas suspensas'!$A$32,'Listas suspensas'!$B$22,IF(X776='Listas suspensas'!$A$33,'Listas suspensas'!$B$21,IF(X776='Listas suspensas'!$A$24,'Listas suspensas'!$B$22,IF(X776='Listas suspensas'!$A$25,'Listas suspensas'!$B$21,IF(X776='Listas suspensas'!$A$30,'Listas suspensas'!$B$21,"")))))))))</f>
        <v/>
      </c>
      <c r="AB776" s="8" t="str">
        <f>IF(AA776='Listas suspensas'!$A$2,'Listas suspensas'!$B$2,IF(AA776='Listas suspensas'!$A$3,'Listas suspensas'!$B$3,IF(AA776='Listas suspensas'!$A$4,'Listas suspensas'!$B$4,IF(AA776='Listas suspensas'!$A$5,'Listas suspensas'!$B$5,IF(AA776='Listas suspensas'!$A$6,'Listas suspensas'!$B$6,"")))))</f>
        <v/>
      </c>
      <c r="AC776" s="8" t="str">
        <f>IF(AA776='Listas suspensas'!$A$2,'Listas suspensas'!$C$2,IF(AA776='Listas suspensas'!$A$3,'Listas suspensas'!$C$3,IF(AA776='Listas suspensas'!$A$4,'Listas suspensas'!$C$4,IF(AA776='Listas suspensas'!$A$5,'Listas suspensas'!$C$5,IF(AA776='Listas suspensas'!$A$6,'Listas suspensas'!$C$6,"")))))</f>
        <v/>
      </c>
      <c r="BE776" s="18">
        <f t="shared" si="120"/>
        <v>0</v>
      </c>
      <c r="BI776" s="13">
        <f t="shared" si="121"/>
        <v>0</v>
      </c>
      <c r="BM776" s="16">
        <f t="shared" si="115"/>
        <v>0</v>
      </c>
      <c r="BN776" s="21">
        <f t="shared" si="116"/>
        <v>0</v>
      </c>
      <c r="BO776" s="21">
        <f t="shared" si="117"/>
        <v>0</v>
      </c>
      <c r="BP776" s="21">
        <f t="shared" si="118"/>
        <v>0</v>
      </c>
      <c r="BQ776" s="14">
        <f t="shared" si="119"/>
        <v>0</v>
      </c>
      <c r="BR776" s="22" t="str">
        <f>IF(OR(AND(X776="Mourões", BQ776&gt;=6.5),AND(X776="Postes", BQ776&gt;=9.6),AND(X776="Dormentes", BQ776&gt;=9.6),AND(X776="Estacas - Solo", BQ776&gt;=6.5),AND(X776="Estacas - Suspenso", BQ776&gt;=4),AND(X776="Cruzetas", BQ776&gt;=6.5),AND(X776="Outros - Solo", BQ776&gt;=6.5),AND(X776="Outros - Suspenso",BQ776&gt;=4),AND(X776="Deck",BQ776&gt;=4)),'Listas suspensas'!$C$21,'Listas suspensas'!$C$22)</f>
        <v>Os resultados da análise química apresentaram uma retenção do produto inferior ao padrão mínimo exigido pela norma ABNT NBR 16143</v>
      </c>
    </row>
    <row r="777" spans="25:70" x14ac:dyDescent="0.25">
      <c r="Y777" s="34" t="str">
        <f>IF(X777='Listas suspensas'!$A$21,'Listas suspensas'!$B$23,IF(X777='Listas suspensas'!$A$22,'Listas suspensas'!$B$23,IF(X777='Listas suspensas'!$A$23,'Listas suspensas'!$B$22,IF(X777='Listas suspensas'!$A$26,'Listas suspensas'!$B$22,IF(X777='Listas suspensas'!$A$32,'Listas suspensas'!$B$22,IF(X777='Listas suspensas'!$A$33,'Listas suspensas'!$B$21,IF(X777='Listas suspensas'!$A$24,'Listas suspensas'!$B$22,IF(X777='Listas suspensas'!$A$25,'Listas suspensas'!$B$21,IF(X777='Listas suspensas'!$A$30,'Listas suspensas'!$B$21,"")))))))))</f>
        <v/>
      </c>
      <c r="AB777" s="8" t="str">
        <f>IF(AA777='Listas suspensas'!$A$2,'Listas suspensas'!$B$2,IF(AA777='Listas suspensas'!$A$3,'Listas suspensas'!$B$3,IF(AA777='Listas suspensas'!$A$4,'Listas suspensas'!$B$4,IF(AA777='Listas suspensas'!$A$5,'Listas suspensas'!$B$5,IF(AA777='Listas suspensas'!$A$6,'Listas suspensas'!$B$6,"")))))</f>
        <v/>
      </c>
      <c r="AC777" s="8" t="str">
        <f>IF(AA777='Listas suspensas'!$A$2,'Listas suspensas'!$C$2,IF(AA777='Listas suspensas'!$A$3,'Listas suspensas'!$C$3,IF(AA777='Listas suspensas'!$A$4,'Listas suspensas'!$C$4,IF(AA777='Listas suspensas'!$A$5,'Listas suspensas'!$C$5,IF(AA777='Listas suspensas'!$A$6,'Listas suspensas'!$C$6,"")))))</f>
        <v/>
      </c>
      <c r="BE777" s="18">
        <f t="shared" si="120"/>
        <v>0</v>
      </c>
      <c r="BI777" s="13">
        <f t="shared" si="121"/>
        <v>0</v>
      </c>
      <c r="BM777" s="16">
        <f t="shared" si="115"/>
        <v>0</v>
      </c>
      <c r="BN777" s="21">
        <f t="shared" si="116"/>
        <v>0</v>
      </c>
      <c r="BO777" s="21">
        <f t="shared" si="117"/>
        <v>0</v>
      </c>
      <c r="BP777" s="21">
        <f t="shared" si="118"/>
        <v>0</v>
      </c>
      <c r="BQ777" s="14">
        <f t="shared" si="119"/>
        <v>0</v>
      </c>
      <c r="BR777" s="22" t="str">
        <f>IF(OR(AND(X777="Mourões", BQ777&gt;=6.5),AND(X777="Postes", BQ777&gt;=9.6),AND(X777="Dormentes", BQ777&gt;=9.6),AND(X777="Estacas - Solo", BQ777&gt;=6.5),AND(X777="Estacas - Suspenso", BQ777&gt;=4),AND(X777="Cruzetas", BQ777&gt;=6.5),AND(X777="Outros - Solo", BQ777&gt;=6.5),AND(X777="Outros - Suspenso",BQ777&gt;=4),AND(X777="Deck",BQ777&gt;=4)),'Listas suspensas'!$C$21,'Listas suspensas'!$C$22)</f>
        <v>Os resultados da análise química apresentaram uma retenção do produto inferior ao padrão mínimo exigido pela norma ABNT NBR 16143</v>
      </c>
    </row>
    <row r="778" spans="25:70" x14ac:dyDescent="0.25">
      <c r="Y778" s="34" t="str">
        <f>IF(X778='Listas suspensas'!$A$21,'Listas suspensas'!$B$23,IF(X778='Listas suspensas'!$A$22,'Listas suspensas'!$B$23,IF(X778='Listas suspensas'!$A$23,'Listas suspensas'!$B$22,IF(X778='Listas suspensas'!$A$26,'Listas suspensas'!$B$22,IF(X778='Listas suspensas'!$A$32,'Listas suspensas'!$B$22,IF(X778='Listas suspensas'!$A$33,'Listas suspensas'!$B$21,IF(X778='Listas suspensas'!$A$24,'Listas suspensas'!$B$22,IF(X778='Listas suspensas'!$A$25,'Listas suspensas'!$B$21,IF(X778='Listas suspensas'!$A$30,'Listas suspensas'!$B$21,"")))))))))</f>
        <v/>
      </c>
      <c r="AB778" s="8" t="str">
        <f>IF(AA778='Listas suspensas'!$A$2,'Listas suspensas'!$B$2,IF(AA778='Listas suspensas'!$A$3,'Listas suspensas'!$B$3,IF(AA778='Listas suspensas'!$A$4,'Listas suspensas'!$B$4,IF(AA778='Listas suspensas'!$A$5,'Listas suspensas'!$B$5,IF(AA778='Listas suspensas'!$A$6,'Listas suspensas'!$B$6,"")))))</f>
        <v/>
      </c>
      <c r="AC778" s="8" t="str">
        <f>IF(AA778='Listas suspensas'!$A$2,'Listas suspensas'!$C$2,IF(AA778='Listas suspensas'!$A$3,'Listas suspensas'!$C$3,IF(AA778='Listas suspensas'!$A$4,'Listas suspensas'!$C$4,IF(AA778='Listas suspensas'!$A$5,'Listas suspensas'!$C$5,IF(AA778='Listas suspensas'!$A$6,'Listas suspensas'!$C$6,"")))))</f>
        <v/>
      </c>
      <c r="BE778" s="18">
        <f t="shared" si="120"/>
        <v>0</v>
      </c>
      <c r="BI778" s="13">
        <f t="shared" si="121"/>
        <v>0</v>
      </c>
      <c r="BM778" s="16">
        <f t="shared" si="115"/>
        <v>0</v>
      </c>
      <c r="BN778" s="21">
        <f t="shared" si="116"/>
        <v>0</v>
      </c>
      <c r="BO778" s="21">
        <f t="shared" si="117"/>
        <v>0</v>
      </c>
      <c r="BP778" s="21">
        <f t="shared" si="118"/>
        <v>0</v>
      </c>
      <c r="BQ778" s="14">
        <f t="shared" si="119"/>
        <v>0</v>
      </c>
      <c r="BR778" s="22" t="str">
        <f>IF(OR(AND(X778="Mourões", BQ778&gt;=6.5),AND(X778="Postes", BQ778&gt;=9.6),AND(X778="Dormentes", BQ778&gt;=9.6),AND(X778="Estacas - Solo", BQ778&gt;=6.5),AND(X778="Estacas - Suspenso", BQ778&gt;=4),AND(X778="Cruzetas", BQ778&gt;=6.5),AND(X778="Outros - Solo", BQ778&gt;=6.5),AND(X778="Outros - Suspenso",BQ778&gt;=4),AND(X778="Deck",BQ778&gt;=4)),'Listas suspensas'!$C$21,'Listas suspensas'!$C$22)</f>
        <v>Os resultados da análise química apresentaram uma retenção do produto inferior ao padrão mínimo exigido pela norma ABNT NBR 16143</v>
      </c>
    </row>
    <row r="779" spans="25:70" x14ac:dyDescent="0.25">
      <c r="Y779" s="34" t="str">
        <f>IF(X779='Listas suspensas'!$A$21,'Listas suspensas'!$B$23,IF(X779='Listas suspensas'!$A$22,'Listas suspensas'!$B$23,IF(X779='Listas suspensas'!$A$23,'Listas suspensas'!$B$22,IF(X779='Listas suspensas'!$A$26,'Listas suspensas'!$B$22,IF(X779='Listas suspensas'!$A$32,'Listas suspensas'!$B$22,IF(X779='Listas suspensas'!$A$33,'Listas suspensas'!$B$21,IF(X779='Listas suspensas'!$A$24,'Listas suspensas'!$B$22,IF(X779='Listas suspensas'!$A$25,'Listas suspensas'!$B$21,IF(X779='Listas suspensas'!$A$30,'Listas suspensas'!$B$21,"")))))))))</f>
        <v/>
      </c>
      <c r="AB779" s="8" t="str">
        <f>IF(AA779='Listas suspensas'!$A$2,'Listas suspensas'!$B$2,IF(AA779='Listas suspensas'!$A$3,'Listas suspensas'!$B$3,IF(AA779='Listas suspensas'!$A$4,'Listas suspensas'!$B$4,IF(AA779='Listas suspensas'!$A$5,'Listas suspensas'!$B$5,IF(AA779='Listas suspensas'!$A$6,'Listas suspensas'!$B$6,"")))))</f>
        <v/>
      </c>
      <c r="AC779" s="8" t="str">
        <f>IF(AA779='Listas suspensas'!$A$2,'Listas suspensas'!$C$2,IF(AA779='Listas suspensas'!$A$3,'Listas suspensas'!$C$3,IF(AA779='Listas suspensas'!$A$4,'Listas suspensas'!$C$4,IF(AA779='Listas suspensas'!$A$5,'Listas suspensas'!$C$5,IF(AA779='Listas suspensas'!$A$6,'Listas suspensas'!$C$6,"")))))</f>
        <v/>
      </c>
      <c r="BE779" s="18">
        <f t="shared" si="120"/>
        <v>0</v>
      </c>
      <c r="BI779" s="13">
        <f t="shared" si="121"/>
        <v>0</v>
      </c>
      <c r="BM779" s="16">
        <f t="shared" si="115"/>
        <v>0</v>
      </c>
      <c r="BN779" s="21">
        <f t="shared" si="116"/>
        <v>0</v>
      </c>
      <c r="BO779" s="21">
        <f t="shared" si="117"/>
        <v>0</v>
      </c>
      <c r="BP779" s="21">
        <f t="shared" si="118"/>
        <v>0</v>
      </c>
      <c r="BQ779" s="14">
        <f t="shared" si="119"/>
        <v>0</v>
      </c>
      <c r="BR779" s="22" t="str">
        <f>IF(OR(AND(X779="Mourões", BQ779&gt;=6.5),AND(X779="Postes", BQ779&gt;=9.6),AND(X779="Dormentes", BQ779&gt;=9.6),AND(X779="Estacas - Solo", BQ779&gt;=6.5),AND(X779="Estacas - Suspenso", BQ779&gt;=4),AND(X779="Cruzetas", BQ779&gt;=6.5),AND(X779="Outros - Solo", BQ779&gt;=6.5),AND(X779="Outros - Suspenso",BQ779&gt;=4),AND(X779="Deck",BQ779&gt;=4)),'Listas suspensas'!$C$21,'Listas suspensas'!$C$22)</f>
        <v>Os resultados da análise química apresentaram uma retenção do produto inferior ao padrão mínimo exigido pela norma ABNT NBR 16143</v>
      </c>
    </row>
    <row r="780" spans="25:70" x14ac:dyDescent="0.25">
      <c r="Y780" s="34" t="str">
        <f>IF(X780='Listas suspensas'!$A$21,'Listas suspensas'!$B$23,IF(X780='Listas suspensas'!$A$22,'Listas suspensas'!$B$23,IF(X780='Listas suspensas'!$A$23,'Listas suspensas'!$B$22,IF(X780='Listas suspensas'!$A$26,'Listas suspensas'!$B$22,IF(X780='Listas suspensas'!$A$32,'Listas suspensas'!$B$22,IF(X780='Listas suspensas'!$A$33,'Listas suspensas'!$B$21,IF(X780='Listas suspensas'!$A$24,'Listas suspensas'!$B$22,IF(X780='Listas suspensas'!$A$25,'Listas suspensas'!$B$21,IF(X780='Listas suspensas'!$A$30,'Listas suspensas'!$B$21,"")))))))))</f>
        <v/>
      </c>
      <c r="AB780" s="8" t="str">
        <f>IF(AA780='Listas suspensas'!$A$2,'Listas suspensas'!$B$2,IF(AA780='Listas suspensas'!$A$3,'Listas suspensas'!$B$3,IF(AA780='Listas suspensas'!$A$4,'Listas suspensas'!$B$4,IF(AA780='Listas suspensas'!$A$5,'Listas suspensas'!$B$5,IF(AA780='Listas suspensas'!$A$6,'Listas suspensas'!$B$6,"")))))</f>
        <v/>
      </c>
      <c r="AC780" s="8" t="str">
        <f>IF(AA780='Listas suspensas'!$A$2,'Listas suspensas'!$C$2,IF(AA780='Listas suspensas'!$A$3,'Listas suspensas'!$C$3,IF(AA780='Listas suspensas'!$A$4,'Listas suspensas'!$C$4,IF(AA780='Listas suspensas'!$A$5,'Listas suspensas'!$C$5,IF(AA780='Listas suspensas'!$A$6,'Listas suspensas'!$C$6,"")))))</f>
        <v/>
      </c>
      <c r="BE780" s="18">
        <f t="shared" si="120"/>
        <v>0</v>
      </c>
      <c r="BI780" s="13">
        <f t="shared" si="121"/>
        <v>0</v>
      </c>
      <c r="BM780" s="16">
        <f t="shared" si="115"/>
        <v>0</v>
      </c>
      <c r="BN780" s="21">
        <f t="shared" si="116"/>
        <v>0</v>
      </c>
      <c r="BO780" s="21">
        <f t="shared" si="117"/>
        <v>0</v>
      </c>
      <c r="BP780" s="21">
        <f t="shared" si="118"/>
        <v>0</v>
      </c>
      <c r="BQ780" s="14">
        <f t="shared" si="119"/>
        <v>0</v>
      </c>
      <c r="BR780" s="22" t="str">
        <f>IF(OR(AND(X780="Mourões", BQ780&gt;=6.5),AND(X780="Postes", BQ780&gt;=9.6),AND(X780="Dormentes", BQ780&gt;=9.6),AND(X780="Estacas - Solo", BQ780&gt;=6.5),AND(X780="Estacas - Suspenso", BQ780&gt;=4),AND(X780="Cruzetas", BQ780&gt;=6.5),AND(X780="Outros - Solo", BQ780&gt;=6.5),AND(X780="Outros - Suspenso",BQ780&gt;=4),AND(X780="Deck",BQ780&gt;=4)),'Listas suspensas'!$C$21,'Listas suspensas'!$C$22)</f>
        <v>Os resultados da análise química apresentaram uma retenção do produto inferior ao padrão mínimo exigido pela norma ABNT NBR 16143</v>
      </c>
    </row>
    <row r="781" spans="25:70" x14ac:dyDescent="0.25">
      <c r="Y781" s="34" t="str">
        <f>IF(X781='Listas suspensas'!$A$21,'Listas suspensas'!$B$23,IF(X781='Listas suspensas'!$A$22,'Listas suspensas'!$B$23,IF(X781='Listas suspensas'!$A$23,'Listas suspensas'!$B$22,IF(X781='Listas suspensas'!$A$26,'Listas suspensas'!$B$22,IF(X781='Listas suspensas'!$A$32,'Listas suspensas'!$B$22,IF(X781='Listas suspensas'!$A$33,'Listas suspensas'!$B$21,IF(X781='Listas suspensas'!$A$24,'Listas suspensas'!$B$22,IF(X781='Listas suspensas'!$A$25,'Listas suspensas'!$B$21,IF(X781='Listas suspensas'!$A$30,'Listas suspensas'!$B$21,"")))))))))</f>
        <v/>
      </c>
      <c r="AB781" s="8" t="str">
        <f>IF(AA781='Listas suspensas'!$A$2,'Listas suspensas'!$B$2,IF(AA781='Listas suspensas'!$A$3,'Listas suspensas'!$B$3,IF(AA781='Listas suspensas'!$A$4,'Listas suspensas'!$B$4,IF(AA781='Listas suspensas'!$A$5,'Listas suspensas'!$B$5,IF(AA781='Listas suspensas'!$A$6,'Listas suspensas'!$B$6,"")))))</f>
        <v/>
      </c>
      <c r="AC781" s="8" t="str">
        <f>IF(AA781='Listas suspensas'!$A$2,'Listas suspensas'!$C$2,IF(AA781='Listas suspensas'!$A$3,'Listas suspensas'!$C$3,IF(AA781='Listas suspensas'!$A$4,'Listas suspensas'!$C$4,IF(AA781='Listas suspensas'!$A$5,'Listas suspensas'!$C$5,IF(AA781='Listas suspensas'!$A$6,'Listas suspensas'!$C$6,"")))))</f>
        <v/>
      </c>
      <c r="BE781" s="18">
        <f t="shared" si="120"/>
        <v>0</v>
      </c>
      <c r="BI781" s="13">
        <f t="shared" si="121"/>
        <v>0</v>
      </c>
      <c r="BM781" s="16">
        <f t="shared" si="115"/>
        <v>0</v>
      </c>
      <c r="BN781" s="21">
        <f t="shared" si="116"/>
        <v>0</v>
      </c>
      <c r="BO781" s="21">
        <f t="shared" si="117"/>
        <v>0</v>
      </c>
      <c r="BP781" s="21">
        <f t="shared" si="118"/>
        <v>0</v>
      </c>
      <c r="BQ781" s="14">
        <f t="shared" si="119"/>
        <v>0</v>
      </c>
      <c r="BR781" s="22" t="str">
        <f>IF(OR(AND(X781="Mourões", BQ781&gt;=6.5),AND(X781="Postes", BQ781&gt;=9.6),AND(X781="Dormentes", BQ781&gt;=9.6),AND(X781="Estacas - Solo", BQ781&gt;=6.5),AND(X781="Estacas - Suspenso", BQ781&gt;=4),AND(X781="Cruzetas", BQ781&gt;=6.5),AND(X781="Outros - Solo", BQ781&gt;=6.5),AND(X781="Outros - Suspenso",BQ781&gt;=4),AND(X781="Deck",BQ781&gt;=4)),'Listas suspensas'!$C$21,'Listas suspensas'!$C$22)</f>
        <v>Os resultados da análise química apresentaram uma retenção do produto inferior ao padrão mínimo exigido pela norma ABNT NBR 16143</v>
      </c>
    </row>
    <row r="782" spans="25:70" x14ac:dyDescent="0.25">
      <c r="Y782" s="34" t="str">
        <f>IF(X782='Listas suspensas'!$A$21,'Listas suspensas'!$B$23,IF(X782='Listas suspensas'!$A$22,'Listas suspensas'!$B$23,IF(X782='Listas suspensas'!$A$23,'Listas suspensas'!$B$22,IF(X782='Listas suspensas'!$A$26,'Listas suspensas'!$B$22,IF(X782='Listas suspensas'!$A$32,'Listas suspensas'!$B$22,IF(X782='Listas suspensas'!$A$33,'Listas suspensas'!$B$21,IF(X782='Listas suspensas'!$A$24,'Listas suspensas'!$B$22,IF(X782='Listas suspensas'!$A$25,'Listas suspensas'!$B$21,IF(X782='Listas suspensas'!$A$30,'Listas suspensas'!$B$21,"")))))))))</f>
        <v/>
      </c>
      <c r="AB782" s="8" t="str">
        <f>IF(AA782='Listas suspensas'!$A$2,'Listas suspensas'!$B$2,IF(AA782='Listas suspensas'!$A$3,'Listas suspensas'!$B$3,IF(AA782='Listas suspensas'!$A$4,'Listas suspensas'!$B$4,IF(AA782='Listas suspensas'!$A$5,'Listas suspensas'!$B$5,IF(AA782='Listas suspensas'!$A$6,'Listas suspensas'!$B$6,"")))))</f>
        <v/>
      </c>
      <c r="AC782" s="8" t="str">
        <f>IF(AA782='Listas suspensas'!$A$2,'Listas suspensas'!$C$2,IF(AA782='Listas suspensas'!$A$3,'Listas suspensas'!$C$3,IF(AA782='Listas suspensas'!$A$4,'Listas suspensas'!$C$4,IF(AA782='Listas suspensas'!$A$5,'Listas suspensas'!$C$5,IF(AA782='Listas suspensas'!$A$6,'Listas suspensas'!$C$6,"")))))</f>
        <v/>
      </c>
      <c r="BE782" s="18">
        <f t="shared" si="120"/>
        <v>0</v>
      </c>
      <c r="BI782" s="13">
        <f t="shared" si="121"/>
        <v>0</v>
      </c>
      <c r="BM782" s="16">
        <f t="shared" si="115"/>
        <v>0</v>
      </c>
      <c r="BN782" s="21">
        <f t="shared" si="116"/>
        <v>0</v>
      </c>
      <c r="BO782" s="21">
        <f t="shared" si="117"/>
        <v>0</v>
      </c>
      <c r="BP782" s="21">
        <f t="shared" si="118"/>
        <v>0</v>
      </c>
      <c r="BQ782" s="14">
        <f t="shared" si="119"/>
        <v>0</v>
      </c>
      <c r="BR782" s="22" t="str">
        <f>IF(OR(AND(X782="Mourões", BQ782&gt;=6.5),AND(X782="Postes", BQ782&gt;=9.6),AND(X782="Dormentes", BQ782&gt;=9.6),AND(X782="Estacas - Solo", BQ782&gt;=6.5),AND(X782="Estacas - Suspenso", BQ782&gt;=4),AND(X782="Cruzetas", BQ782&gt;=6.5),AND(X782="Outros - Solo", BQ782&gt;=6.5),AND(X782="Outros - Suspenso",BQ782&gt;=4),AND(X782="Deck",BQ782&gt;=4)),'Listas suspensas'!$C$21,'Listas suspensas'!$C$22)</f>
        <v>Os resultados da análise química apresentaram uma retenção do produto inferior ao padrão mínimo exigido pela norma ABNT NBR 16143</v>
      </c>
    </row>
    <row r="783" spans="25:70" x14ac:dyDescent="0.25">
      <c r="Y783" s="34" t="str">
        <f>IF(X783='Listas suspensas'!$A$21,'Listas suspensas'!$B$23,IF(X783='Listas suspensas'!$A$22,'Listas suspensas'!$B$23,IF(X783='Listas suspensas'!$A$23,'Listas suspensas'!$B$22,IF(X783='Listas suspensas'!$A$26,'Listas suspensas'!$B$22,IF(X783='Listas suspensas'!$A$32,'Listas suspensas'!$B$22,IF(X783='Listas suspensas'!$A$33,'Listas suspensas'!$B$21,IF(X783='Listas suspensas'!$A$24,'Listas suspensas'!$B$22,IF(X783='Listas suspensas'!$A$25,'Listas suspensas'!$B$21,IF(X783='Listas suspensas'!$A$30,'Listas suspensas'!$B$21,"")))))))))</f>
        <v/>
      </c>
      <c r="AB783" s="8" t="str">
        <f>IF(AA783='Listas suspensas'!$A$2,'Listas suspensas'!$B$2,IF(AA783='Listas suspensas'!$A$3,'Listas suspensas'!$B$3,IF(AA783='Listas suspensas'!$A$4,'Listas suspensas'!$B$4,IF(AA783='Listas suspensas'!$A$5,'Listas suspensas'!$B$5,IF(AA783='Listas suspensas'!$A$6,'Listas suspensas'!$B$6,"")))))</f>
        <v/>
      </c>
      <c r="AC783" s="8" t="str">
        <f>IF(AA783='Listas suspensas'!$A$2,'Listas suspensas'!$C$2,IF(AA783='Listas suspensas'!$A$3,'Listas suspensas'!$C$3,IF(AA783='Listas suspensas'!$A$4,'Listas suspensas'!$C$4,IF(AA783='Listas suspensas'!$A$5,'Listas suspensas'!$C$5,IF(AA783='Listas suspensas'!$A$6,'Listas suspensas'!$C$6,"")))))</f>
        <v/>
      </c>
      <c r="BE783" s="18">
        <f t="shared" si="120"/>
        <v>0</v>
      </c>
      <c r="BI783" s="13">
        <f t="shared" si="121"/>
        <v>0</v>
      </c>
      <c r="BM783" s="16">
        <f t="shared" si="115"/>
        <v>0</v>
      </c>
      <c r="BN783" s="21">
        <f t="shared" si="116"/>
        <v>0</v>
      </c>
      <c r="BO783" s="21">
        <f t="shared" si="117"/>
        <v>0</v>
      </c>
      <c r="BP783" s="21">
        <f t="shared" si="118"/>
        <v>0</v>
      </c>
      <c r="BQ783" s="14">
        <f t="shared" si="119"/>
        <v>0</v>
      </c>
      <c r="BR783" s="22" t="str">
        <f>IF(OR(AND(X783="Mourões", BQ783&gt;=6.5),AND(X783="Postes", BQ783&gt;=9.6),AND(X783="Dormentes", BQ783&gt;=9.6),AND(X783="Estacas - Solo", BQ783&gt;=6.5),AND(X783="Estacas - Suspenso", BQ783&gt;=4),AND(X783="Cruzetas", BQ783&gt;=6.5),AND(X783="Outros - Solo", BQ783&gt;=6.5),AND(X783="Outros - Suspenso",BQ783&gt;=4),AND(X783="Deck",BQ783&gt;=4)),'Listas suspensas'!$C$21,'Listas suspensas'!$C$22)</f>
        <v>Os resultados da análise química apresentaram uma retenção do produto inferior ao padrão mínimo exigido pela norma ABNT NBR 16143</v>
      </c>
    </row>
    <row r="784" spans="25:70" x14ac:dyDescent="0.25">
      <c r="Y784" s="34" t="str">
        <f>IF(X784='Listas suspensas'!$A$21,'Listas suspensas'!$B$23,IF(X784='Listas suspensas'!$A$22,'Listas suspensas'!$B$23,IF(X784='Listas suspensas'!$A$23,'Listas suspensas'!$B$22,IF(X784='Listas suspensas'!$A$26,'Listas suspensas'!$B$22,IF(X784='Listas suspensas'!$A$32,'Listas suspensas'!$B$22,IF(X784='Listas suspensas'!$A$33,'Listas suspensas'!$B$21,IF(X784='Listas suspensas'!$A$24,'Listas suspensas'!$B$22,IF(X784='Listas suspensas'!$A$25,'Listas suspensas'!$B$21,IF(X784='Listas suspensas'!$A$30,'Listas suspensas'!$B$21,"")))))))))</f>
        <v/>
      </c>
      <c r="AB784" s="8" t="str">
        <f>IF(AA784='Listas suspensas'!$A$2,'Listas suspensas'!$B$2,IF(AA784='Listas suspensas'!$A$3,'Listas suspensas'!$B$3,IF(AA784='Listas suspensas'!$A$4,'Listas suspensas'!$B$4,IF(AA784='Listas suspensas'!$A$5,'Listas suspensas'!$B$5,IF(AA784='Listas suspensas'!$A$6,'Listas suspensas'!$B$6,"")))))</f>
        <v/>
      </c>
      <c r="AC784" s="8" t="str">
        <f>IF(AA784='Listas suspensas'!$A$2,'Listas suspensas'!$C$2,IF(AA784='Listas suspensas'!$A$3,'Listas suspensas'!$C$3,IF(AA784='Listas suspensas'!$A$4,'Listas suspensas'!$C$4,IF(AA784='Listas suspensas'!$A$5,'Listas suspensas'!$C$5,IF(AA784='Listas suspensas'!$A$6,'Listas suspensas'!$C$6,"")))))</f>
        <v/>
      </c>
      <c r="BE784" s="18">
        <f t="shared" si="120"/>
        <v>0</v>
      </c>
      <c r="BI784" s="13">
        <f t="shared" si="121"/>
        <v>0</v>
      </c>
      <c r="BM784" s="16">
        <f t="shared" si="115"/>
        <v>0</v>
      </c>
      <c r="BN784" s="21">
        <f t="shared" si="116"/>
        <v>0</v>
      </c>
      <c r="BO784" s="21">
        <f t="shared" si="117"/>
        <v>0</v>
      </c>
      <c r="BP784" s="21">
        <f t="shared" si="118"/>
        <v>0</v>
      </c>
      <c r="BQ784" s="14">
        <f t="shared" si="119"/>
        <v>0</v>
      </c>
      <c r="BR784" s="22" t="str">
        <f>IF(OR(AND(X784="Mourões", BQ784&gt;=6.5),AND(X784="Postes", BQ784&gt;=9.6),AND(X784="Dormentes", BQ784&gt;=9.6),AND(X784="Estacas - Solo", BQ784&gt;=6.5),AND(X784="Estacas - Suspenso", BQ784&gt;=4),AND(X784="Cruzetas", BQ784&gt;=6.5),AND(X784="Outros - Solo", BQ784&gt;=6.5),AND(X784="Outros - Suspenso",BQ784&gt;=4),AND(X784="Deck",BQ784&gt;=4)),'Listas suspensas'!$C$21,'Listas suspensas'!$C$22)</f>
        <v>Os resultados da análise química apresentaram uma retenção do produto inferior ao padrão mínimo exigido pela norma ABNT NBR 16143</v>
      </c>
    </row>
    <row r="785" spans="25:70" x14ac:dyDescent="0.25">
      <c r="Y785" s="34" t="str">
        <f>IF(X785='Listas suspensas'!$A$21,'Listas suspensas'!$B$23,IF(X785='Listas suspensas'!$A$22,'Listas suspensas'!$B$23,IF(X785='Listas suspensas'!$A$23,'Listas suspensas'!$B$22,IF(X785='Listas suspensas'!$A$26,'Listas suspensas'!$B$22,IF(X785='Listas suspensas'!$A$32,'Listas suspensas'!$B$22,IF(X785='Listas suspensas'!$A$33,'Listas suspensas'!$B$21,IF(X785='Listas suspensas'!$A$24,'Listas suspensas'!$B$22,IF(X785='Listas suspensas'!$A$25,'Listas suspensas'!$B$21,IF(X785='Listas suspensas'!$A$30,'Listas suspensas'!$B$21,"")))))))))</f>
        <v/>
      </c>
      <c r="AB785" s="8" t="str">
        <f>IF(AA785='Listas suspensas'!$A$2,'Listas suspensas'!$B$2,IF(AA785='Listas suspensas'!$A$3,'Listas suspensas'!$B$3,IF(AA785='Listas suspensas'!$A$4,'Listas suspensas'!$B$4,IF(AA785='Listas suspensas'!$A$5,'Listas suspensas'!$B$5,IF(AA785='Listas suspensas'!$A$6,'Listas suspensas'!$B$6,"")))))</f>
        <v/>
      </c>
      <c r="AC785" s="8" t="str">
        <f>IF(AA785='Listas suspensas'!$A$2,'Listas suspensas'!$C$2,IF(AA785='Listas suspensas'!$A$3,'Listas suspensas'!$C$3,IF(AA785='Listas suspensas'!$A$4,'Listas suspensas'!$C$4,IF(AA785='Listas suspensas'!$A$5,'Listas suspensas'!$C$5,IF(AA785='Listas suspensas'!$A$6,'Listas suspensas'!$C$6,"")))))</f>
        <v/>
      </c>
      <c r="BE785" s="18">
        <f t="shared" si="120"/>
        <v>0</v>
      </c>
      <c r="BI785" s="13">
        <f t="shared" si="121"/>
        <v>0</v>
      </c>
      <c r="BM785" s="16">
        <f t="shared" si="115"/>
        <v>0</v>
      </c>
      <c r="BN785" s="21">
        <f t="shared" si="116"/>
        <v>0</v>
      </c>
      <c r="BO785" s="21">
        <f t="shared" si="117"/>
        <v>0</v>
      </c>
      <c r="BP785" s="21">
        <f t="shared" si="118"/>
        <v>0</v>
      </c>
      <c r="BQ785" s="14">
        <f t="shared" si="119"/>
        <v>0</v>
      </c>
      <c r="BR785" s="22" t="str">
        <f>IF(OR(AND(X785="Mourões", BQ785&gt;=6.5),AND(X785="Postes", BQ785&gt;=9.6),AND(X785="Dormentes", BQ785&gt;=9.6),AND(X785="Estacas - Solo", BQ785&gt;=6.5),AND(X785="Estacas - Suspenso", BQ785&gt;=4),AND(X785="Cruzetas", BQ785&gt;=6.5),AND(X785="Outros - Solo", BQ785&gt;=6.5),AND(X785="Outros - Suspenso",BQ785&gt;=4),AND(X785="Deck",BQ785&gt;=4)),'Listas suspensas'!$C$21,'Listas suspensas'!$C$22)</f>
        <v>Os resultados da análise química apresentaram uma retenção do produto inferior ao padrão mínimo exigido pela norma ABNT NBR 16143</v>
      </c>
    </row>
    <row r="786" spans="25:70" x14ac:dyDescent="0.25">
      <c r="Y786" s="34" t="str">
        <f>IF(X786='Listas suspensas'!$A$21,'Listas suspensas'!$B$23,IF(X786='Listas suspensas'!$A$22,'Listas suspensas'!$B$23,IF(X786='Listas suspensas'!$A$23,'Listas suspensas'!$B$22,IF(X786='Listas suspensas'!$A$26,'Listas suspensas'!$B$22,IF(X786='Listas suspensas'!$A$32,'Listas suspensas'!$B$22,IF(X786='Listas suspensas'!$A$33,'Listas suspensas'!$B$21,IF(X786='Listas suspensas'!$A$24,'Listas suspensas'!$B$22,IF(X786='Listas suspensas'!$A$25,'Listas suspensas'!$B$21,IF(X786='Listas suspensas'!$A$30,'Listas suspensas'!$B$21,"")))))))))</f>
        <v/>
      </c>
      <c r="AB786" s="8" t="str">
        <f>IF(AA786='Listas suspensas'!$A$2,'Listas suspensas'!$B$2,IF(AA786='Listas suspensas'!$A$3,'Listas suspensas'!$B$3,IF(AA786='Listas suspensas'!$A$4,'Listas suspensas'!$B$4,IF(AA786='Listas suspensas'!$A$5,'Listas suspensas'!$B$5,IF(AA786='Listas suspensas'!$A$6,'Listas suspensas'!$B$6,"")))))</f>
        <v/>
      </c>
      <c r="AC786" s="8" t="str">
        <f>IF(AA786='Listas suspensas'!$A$2,'Listas suspensas'!$C$2,IF(AA786='Listas suspensas'!$A$3,'Listas suspensas'!$C$3,IF(AA786='Listas suspensas'!$A$4,'Listas suspensas'!$C$4,IF(AA786='Listas suspensas'!$A$5,'Listas suspensas'!$C$5,IF(AA786='Listas suspensas'!$A$6,'Listas suspensas'!$C$6,"")))))</f>
        <v/>
      </c>
      <c r="BE786" s="18">
        <f t="shared" si="120"/>
        <v>0</v>
      </c>
      <c r="BI786" s="13">
        <f t="shared" si="121"/>
        <v>0</v>
      </c>
      <c r="BM786" s="16">
        <f t="shared" si="115"/>
        <v>0</v>
      </c>
      <c r="BN786" s="21">
        <f t="shared" si="116"/>
        <v>0</v>
      </c>
      <c r="BO786" s="21">
        <f t="shared" si="117"/>
        <v>0</v>
      </c>
      <c r="BP786" s="21">
        <f t="shared" si="118"/>
        <v>0</v>
      </c>
      <c r="BQ786" s="14">
        <f t="shared" si="119"/>
        <v>0</v>
      </c>
      <c r="BR786" s="22" t="str">
        <f>IF(OR(AND(X786="Mourões", BQ786&gt;=6.5),AND(X786="Postes", BQ786&gt;=9.6),AND(X786="Dormentes", BQ786&gt;=9.6),AND(X786="Estacas - Solo", BQ786&gt;=6.5),AND(X786="Estacas - Suspenso", BQ786&gt;=4),AND(X786="Cruzetas", BQ786&gt;=6.5),AND(X786="Outros - Solo", BQ786&gt;=6.5),AND(X786="Outros - Suspenso",BQ786&gt;=4),AND(X786="Deck",BQ786&gt;=4)),'Listas suspensas'!$C$21,'Listas suspensas'!$C$22)</f>
        <v>Os resultados da análise química apresentaram uma retenção do produto inferior ao padrão mínimo exigido pela norma ABNT NBR 16143</v>
      </c>
    </row>
    <row r="787" spans="25:70" x14ac:dyDescent="0.25">
      <c r="Y787" s="34" t="str">
        <f>IF(X787='Listas suspensas'!$A$21,'Listas suspensas'!$B$23,IF(X787='Listas suspensas'!$A$22,'Listas suspensas'!$B$23,IF(X787='Listas suspensas'!$A$23,'Listas suspensas'!$B$22,IF(X787='Listas suspensas'!$A$26,'Listas suspensas'!$B$22,IF(X787='Listas suspensas'!$A$32,'Listas suspensas'!$B$22,IF(X787='Listas suspensas'!$A$33,'Listas suspensas'!$B$21,IF(X787='Listas suspensas'!$A$24,'Listas suspensas'!$B$22,IF(X787='Listas suspensas'!$A$25,'Listas suspensas'!$B$21,IF(X787='Listas suspensas'!$A$30,'Listas suspensas'!$B$21,"")))))))))</f>
        <v/>
      </c>
      <c r="AB787" s="8" t="str">
        <f>IF(AA787='Listas suspensas'!$A$2,'Listas suspensas'!$B$2,IF(AA787='Listas suspensas'!$A$3,'Listas suspensas'!$B$3,IF(AA787='Listas suspensas'!$A$4,'Listas suspensas'!$B$4,IF(AA787='Listas suspensas'!$A$5,'Listas suspensas'!$B$5,IF(AA787='Listas suspensas'!$A$6,'Listas suspensas'!$B$6,"")))))</f>
        <v/>
      </c>
      <c r="AC787" s="8" t="str">
        <f>IF(AA787='Listas suspensas'!$A$2,'Listas suspensas'!$C$2,IF(AA787='Listas suspensas'!$A$3,'Listas suspensas'!$C$3,IF(AA787='Listas suspensas'!$A$4,'Listas suspensas'!$C$4,IF(AA787='Listas suspensas'!$A$5,'Listas suspensas'!$C$5,IF(AA787='Listas suspensas'!$A$6,'Listas suspensas'!$C$6,"")))))</f>
        <v/>
      </c>
      <c r="BE787" s="18">
        <f t="shared" si="120"/>
        <v>0</v>
      </c>
      <c r="BI787" s="13">
        <f t="shared" si="121"/>
        <v>0</v>
      </c>
      <c r="BM787" s="16">
        <f t="shared" si="115"/>
        <v>0</v>
      </c>
      <c r="BN787" s="21">
        <f t="shared" si="116"/>
        <v>0</v>
      </c>
      <c r="BO787" s="21">
        <f t="shared" si="117"/>
        <v>0</v>
      </c>
      <c r="BP787" s="21">
        <f t="shared" si="118"/>
        <v>0</v>
      </c>
      <c r="BQ787" s="14">
        <f t="shared" si="119"/>
        <v>0</v>
      </c>
      <c r="BR787" s="22" t="str">
        <f>IF(OR(AND(X787="Mourões", BQ787&gt;=6.5),AND(X787="Postes", BQ787&gt;=9.6),AND(X787="Dormentes", BQ787&gt;=9.6),AND(X787="Estacas - Solo", BQ787&gt;=6.5),AND(X787="Estacas - Suspenso", BQ787&gt;=4),AND(X787="Cruzetas", BQ787&gt;=6.5),AND(X787="Outros - Solo", BQ787&gt;=6.5),AND(X787="Outros - Suspenso",BQ787&gt;=4),AND(X787="Deck",BQ787&gt;=4)),'Listas suspensas'!$C$21,'Listas suspensas'!$C$22)</f>
        <v>Os resultados da análise química apresentaram uma retenção do produto inferior ao padrão mínimo exigido pela norma ABNT NBR 16143</v>
      </c>
    </row>
    <row r="788" spans="25:70" x14ac:dyDescent="0.25">
      <c r="Y788" s="34" t="str">
        <f>IF(X788='Listas suspensas'!$A$21,'Listas suspensas'!$B$23,IF(X788='Listas suspensas'!$A$22,'Listas suspensas'!$B$23,IF(X788='Listas suspensas'!$A$23,'Listas suspensas'!$B$22,IF(X788='Listas suspensas'!$A$26,'Listas suspensas'!$B$22,IF(X788='Listas suspensas'!$A$32,'Listas suspensas'!$B$22,IF(X788='Listas suspensas'!$A$33,'Listas suspensas'!$B$21,IF(X788='Listas suspensas'!$A$24,'Listas suspensas'!$B$22,IF(X788='Listas suspensas'!$A$25,'Listas suspensas'!$B$21,IF(X788='Listas suspensas'!$A$30,'Listas suspensas'!$B$21,"")))))))))</f>
        <v/>
      </c>
      <c r="AB788" s="8" t="str">
        <f>IF(AA788='Listas suspensas'!$A$2,'Listas suspensas'!$B$2,IF(AA788='Listas suspensas'!$A$3,'Listas suspensas'!$B$3,IF(AA788='Listas suspensas'!$A$4,'Listas suspensas'!$B$4,IF(AA788='Listas suspensas'!$A$5,'Listas suspensas'!$B$5,IF(AA788='Listas suspensas'!$A$6,'Listas suspensas'!$B$6,"")))))</f>
        <v/>
      </c>
      <c r="AC788" s="8" t="str">
        <f>IF(AA788='Listas suspensas'!$A$2,'Listas suspensas'!$C$2,IF(AA788='Listas suspensas'!$A$3,'Listas suspensas'!$C$3,IF(AA788='Listas suspensas'!$A$4,'Listas suspensas'!$C$4,IF(AA788='Listas suspensas'!$A$5,'Listas suspensas'!$C$5,IF(AA788='Listas suspensas'!$A$6,'Listas suspensas'!$C$6,"")))))</f>
        <v/>
      </c>
      <c r="BE788" s="18">
        <f t="shared" si="120"/>
        <v>0</v>
      </c>
      <c r="BI788" s="13">
        <f t="shared" si="121"/>
        <v>0</v>
      </c>
      <c r="BM788" s="16">
        <f t="shared" si="115"/>
        <v>0</v>
      </c>
      <c r="BN788" s="21">
        <f t="shared" si="116"/>
        <v>0</v>
      </c>
      <c r="BO788" s="21">
        <f t="shared" si="117"/>
        <v>0</v>
      </c>
      <c r="BP788" s="21">
        <f t="shared" si="118"/>
        <v>0</v>
      </c>
      <c r="BQ788" s="14">
        <f t="shared" si="119"/>
        <v>0</v>
      </c>
      <c r="BR788" s="22" t="str">
        <f>IF(OR(AND(X788="Mourões", BQ788&gt;=6.5),AND(X788="Postes", BQ788&gt;=9.6),AND(X788="Dormentes", BQ788&gt;=9.6),AND(X788="Estacas - Solo", BQ788&gt;=6.5),AND(X788="Estacas - Suspenso", BQ788&gt;=4),AND(X788="Cruzetas", BQ788&gt;=6.5),AND(X788="Outros - Solo", BQ788&gt;=6.5),AND(X788="Outros - Suspenso",BQ788&gt;=4),AND(X788="Deck",BQ788&gt;=4)),'Listas suspensas'!$C$21,'Listas suspensas'!$C$22)</f>
        <v>Os resultados da análise química apresentaram uma retenção do produto inferior ao padrão mínimo exigido pela norma ABNT NBR 16143</v>
      </c>
    </row>
    <row r="789" spans="25:70" x14ac:dyDescent="0.25">
      <c r="Y789" s="34" t="str">
        <f>IF(X789='Listas suspensas'!$A$21,'Listas suspensas'!$B$23,IF(X789='Listas suspensas'!$A$22,'Listas suspensas'!$B$23,IF(X789='Listas suspensas'!$A$23,'Listas suspensas'!$B$22,IF(X789='Listas suspensas'!$A$26,'Listas suspensas'!$B$22,IF(X789='Listas suspensas'!$A$32,'Listas suspensas'!$B$22,IF(X789='Listas suspensas'!$A$33,'Listas suspensas'!$B$21,IF(X789='Listas suspensas'!$A$24,'Listas suspensas'!$B$22,IF(X789='Listas suspensas'!$A$25,'Listas suspensas'!$B$21,IF(X789='Listas suspensas'!$A$30,'Listas suspensas'!$B$21,"")))))))))</f>
        <v/>
      </c>
      <c r="AB789" s="8" t="str">
        <f>IF(AA789='Listas suspensas'!$A$2,'Listas suspensas'!$B$2,IF(AA789='Listas suspensas'!$A$3,'Listas suspensas'!$B$3,IF(AA789='Listas suspensas'!$A$4,'Listas suspensas'!$B$4,IF(AA789='Listas suspensas'!$A$5,'Listas suspensas'!$B$5,IF(AA789='Listas suspensas'!$A$6,'Listas suspensas'!$B$6,"")))))</f>
        <v/>
      </c>
      <c r="AC789" s="8" t="str">
        <f>IF(AA789='Listas suspensas'!$A$2,'Listas suspensas'!$C$2,IF(AA789='Listas suspensas'!$A$3,'Listas suspensas'!$C$3,IF(AA789='Listas suspensas'!$A$4,'Listas suspensas'!$C$4,IF(AA789='Listas suspensas'!$A$5,'Listas suspensas'!$C$5,IF(AA789='Listas suspensas'!$A$6,'Listas suspensas'!$C$6,"")))))</f>
        <v/>
      </c>
      <c r="BE789" s="18">
        <f t="shared" si="120"/>
        <v>0</v>
      </c>
      <c r="BI789" s="13">
        <f t="shared" si="121"/>
        <v>0</v>
      </c>
      <c r="BM789" s="16">
        <f t="shared" si="115"/>
        <v>0</v>
      </c>
      <c r="BN789" s="21">
        <f t="shared" si="116"/>
        <v>0</v>
      </c>
      <c r="BO789" s="21">
        <f t="shared" si="117"/>
        <v>0</v>
      </c>
      <c r="BP789" s="21">
        <f t="shared" si="118"/>
        <v>0</v>
      </c>
      <c r="BQ789" s="14">
        <f t="shared" si="119"/>
        <v>0</v>
      </c>
      <c r="BR789" s="22" t="str">
        <f>IF(OR(AND(X789="Mourões", BQ789&gt;=6.5),AND(X789="Postes", BQ789&gt;=9.6),AND(X789="Dormentes", BQ789&gt;=9.6),AND(X789="Estacas - Solo", BQ789&gt;=6.5),AND(X789="Estacas - Suspenso", BQ789&gt;=4),AND(X789="Cruzetas", BQ789&gt;=6.5),AND(X789="Outros - Solo", BQ789&gt;=6.5),AND(X789="Outros - Suspenso",BQ789&gt;=4),AND(X789="Deck",BQ789&gt;=4)),'Listas suspensas'!$C$21,'Listas suspensas'!$C$22)</f>
        <v>Os resultados da análise química apresentaram uma retenção do produto inferior ao padrão mínimo exigido pela norma ABNT NBR 16143</v>
      </c>
    </row>
    <row r="790" spans="25:70" x14ac:dyDescent="0.25">
      <c r="Y790" s="34" t="str">
        <f>IF(X790='Listas suspensas'!$A$21,'Listas suspensas'!$B$23,IF(X790='Listas suspensas'!$A$22,'Listas suspensas'!$B$23,IF(X790='Listas suspensas'!$A$23,'Listas suspensas'!$B$22,IF(X790='Listas suspensas'!$A$26,'Listas suspensas'!$B$22,IF(X790='Listas suspensas'!$A$32,'Listas suspensas'!$B$22,IF(X790='Listas suspensas'!$A$33,'Listas suspensas'!$B$21,IF(X790='Listas suspensas'!$A$24,'Listas suspensas'!$B$22,IF(X790='Listas suspensas'!$A$25,'Listas suspensas'!$B$21,IF(X790='Listas suspensas'!$A$30,'Listas suspensas'!$B$21,"")))))))))</f>
        <v/>
      </c>
      <c r="AB790" s="8" t="str">
        <f>IF(AA790='Listas suspensas'!$A$2,'Listas suspensas'!$B$2,IF(AA790='Listas suspensas'!$A$3,'Listas suspensas'!$B$3,IF(AA790='Listas suspensas'!$A$4,'Listas suspensas'!$B$4,IF(AA790='Listas suspensas'!$A$5,'Listas suspensas'!$B$5,IF(AA790='Listas suspensas'!$A$6,'Listas suspensas'!$B$6,"")))))</f>
        <v/>
      </c>
      <c r="AC790" s="8" t="str">
        <f>IF(AA790='Listas suspensas'!$A$2,'Listas suspensas'!$C$2,IF(AA790='Listas suspensas'!$A$3,'Listas suspensas'!$C$3,IF(AA790='Listas suspensas'!$A$4,'Listas suspensas'!$C$4,IF(AA790='Listas suspensas'!$A$5,'Listas suspensas'!$C$5,IF(AA790='Listas suspensas'!$A$6,'Listas suspensas'!$C$6,"")))))</f>
        <v/>
      </c>
      <c r="BE790" s="18">
        <f t="shared" si="120"/>
        <v>0</v>
      </c>
      <c r="BI790" s="13">
        <f t="shared" si="121"/>
        <v>0</v>
      </c>
      <c r="BM790" s="16">
        <f t="shared" si="115"/>
        <v>0</v>
      </c>
      <c r="BN790" s="21">
        <f t="shared" si="116"/>
        <v>0</v>
      </c>
      <c r="BO790" s="21">
        <f t="shared" si="117"/>
        <v>0</v>
      </c>
      <c r="BP790" s="21">
        <f t="shared" si="118"/>
        <v>0</v>
      </c>
      <c r="BQ790" s="14">
        <f t="shared" si="119"/>
        <v>0</v>
      </c>
      <c r="BR790" s="22" t="str">
        <f>IF(OR(AND(X790="Mourões", BQ790&gt;=6.5),AND(X790="Postes", BQ790&gt;=9.6),AND(X790="Dormentes", BQ790&gt;=9.6),AND(X790="Estacas - Solo", BQ790&gt;=6.5),AND(X790="Estacas - Suspenso", BQ790&gt;=4),AND(X790="Cruzetas", BQ790&gt;=6.5),AND(X790="Outros - Solo", BQ790&gt;=6.5),AND(X790="Outros - Suspenso",BQ790&gt;=4),AND(X790="Deck",BQ790&gt;=4)),'Listas suspensas'!$C$21,'Listas suspensas'!$C$22)</f>
        <v>Os resultados da análise química apresentaram uma retenção do produto inferior ao padrão mínimo exigido pela norma ABNT NBR 16143</v>
      </c>
    </row>
    <row r="791" spans="25:70" x14ac:dyDescent="0.25">
      <c r="Y791" s="34" t="str">
        <f>IF(X791='Listas suspensas'!$A$21,'Listas suspensas'!$B$23,IF(X791='Listas suspensas'!$A$22,'Listas suspensas'!$B$23,IF(X791='Listas suspensas'!$A$23,'Listas suspensas'!$B$22,IF(X791='Listas suspensas'!$A$26,'Listas suspensas'!$B$22,IF(X791='Listas suspensas'!$A$32,'Listas suspensas'!$B$22,IF(X791='Listas suspensas'!$A$33,'Listas suspensas'!$B$21,IF(X791='Listas suspensas'!$A$24,'Listas suspensas'!$B$22,IF(X791='Listas suspensas'!$A$25,'Listas suspensas'!$B$21,IF(X791='Listas suspensas'!$A$30,'Listas suspensas'!$B$21,"")))))))))</f>
        <v/>
      </c>
      <c r="AB791" s="8" t="str">
        <f>IF(AA791='Listas suspensas'!$A$2,'Listas suspensas'!$B$2,IF(AA791='Listas suspensas'!$A$3,'Listas suspensas'!$B$3,IF(AA791='Listas suspensas'!$A$4,'Listas suspensas'!$B$4,IF(AA791='Listas suspensas'!$A$5,'Listas suspensas'!$B$5,IF(AA791='Listas suspensas'!$A$6,'Listas suspensas'!$B$6,"")))))</f>
        <v/>
      </c>
      <c r="AC791" s="8" t="str">
        <f>IF(AA791='Listas suspensas'!$A$2,'Listas suspensas'!$C$2,IF(AA791='Listas suspensas'!$A$3,'Listas suspensas'!$C$3,IF(AA791='Listas suspensas'!$A$4,'Listas suspensas'!$C$4,IF(AA791='Listas suspensas'!$A$5,'Listas suspensas'!$C$5,IF(AA791='Listas suspensas'!$A$6,'Listas suspensas'!$C$6,"")))))</f>
        <v/>
      </c>
      <c r="BE791" s="18">
        <f t="shared" si="120"/>
        <v>0</v>
      </c>
      <c r="BI791" s="13">
        <f t="shared" si="121"/>
        <v>0</v>
      </c>
      <c r="BM791" s="16">
        <f t="shared" si="115"/>
        <v>0</v>
      </c>
      <c r="BN791" s="21">
        <f t="shared" si="116"/>
        <v>0</v>
      </c>
      <c r="BO791" s="21">
        <f t="shared" si="117"/>
        <v>0</v>
      </c>
      <c r="BP791" s="21">
        <f t="shared" si="118"/>
        <v>0</v>
      </c>
      <c r="BQ791" s="14">
        <f t="shared" si="119"/>
        <v>0</v>
      </c>
      <c r="BR791" s="22" t="str">
        <f>IF(OR(AND(X791="Mourões", BQ791&gt;=6.5),AND(X791="Postes", BQ791&gt;=9.6),AND(X791="Dormentes", BQ791&gt;=9.6),AND(X791="Estacas - Solo", BQ791&gt;=6.5),AND(X791="Estacas - Suspenso", BQ791&gt;=4),AND(X791="Cruzetas", BQ791&gt;=6.5),AND(X791="Outros - Solo", BQ791&gt;=6.5),AND(X791="Outros - Suspenso",BQ791&gt;=4),AND(X791="Deck",BQ791&gt;=4)),'Listas suspensas'!$C$21,'Listas suspensas'!$C$22)</f>
        <v>Os resultados da análise química apresentaram uma retenção do produto inferior ao padrão mínimo exigido pela norma ABNT NBR 16143</v>
      </c>
    </row>
    <row r="792" spans="25:70" x14ac:dyDescent="0.25">
      <c r="Y792" s="34" t="str">
        <f>IF(X792='Listas suspensas'!$A$21,'Listas suspensas'!$B$23,IF(X792='Listas suspensas'!$A$22,'Listas suspensas'!$B$23,IF(X792='Listas suspensas'!$A$23,'Listas suspensas'!$B$22,IF(X792='Listas suspensas'!$A$26,'Listas suspensas'!$B$22,IF(X792='Listas suspensas'!$A$32,'Listas suspensas'!$B$22,IF(X792='Listas suspensas'!$A$33,'Listas suspensas'!$B$21,IF(X792='Listas suspensas'!$A$24,'Listas suspensas'!$B$22,IF(X792='Listas suspensas'!$A$25,'Listas suspensas'!$B$21,IF(X792='Listas suspensas'!$A$30,'Listas suspensas'!$B$21,"")))))))))</f>
        <v/>
      </c>
      <c r="AB792" s="8" t="str">
        <f>IF(AA792='Listas suspensas'!$A$2,'Listas suspensas'!$B$2,IF(AA792='Listas suspensas'!$A$3,'Listas suspensas'!$B$3,IF(AA792='Listas suspensas'!$A$4,'Listas suspensas'!$B$4,IF(AA792='Listas suspensas'!$A$5,'Listas suspensas'!$B$5,IF(AA792='Listas suspensas'!$A$6,'Listas suspensas'!$B$6,"")))))</f>
        <v/>
      </c>
      <c r="AC792" s="8" t="str">
        <f>IF(AA792='Listas suspensas'!$A$2,'Listas suspensas'!$C$2,IF(AA792='Listas suspensas'!$A$3,'Listas suspensas'!$C$3,IF(AA792='Listas suspensas'!$A$4,'Listas suspensas'!$C$4,IF(AA792='Listas suspensas'!$A$5,'Listas suspensas'!$C$5,IF(AA792='Listas suspensas'!$A$6,'Listas suspensas'!$C$6,"")))))</f>
        <v/>
      </c>
      <c r="BE792" s="18">
        <f t="shared" si="120"/>
        <v>0</v>
      </c>
      <c r="BI792" s="13">
        <f t="shared" si="121"/>
        <v>0</v>
      </c>
      <c r="BM792" s="16">
        <f t="shared" si="115"/>
        <v>0</v>
      </c>
      <c r="BN792" s="21">
        <f t="shared" si="116"/>
        <v>0</v>
      </c>
      <c r="BO792" s="21">
        <f t="shared" si="117"/>
        <v>0</v>
      </c>
      <c r="BP792" s="21">
        <f t="shared" si="118"/>
        <v>0</v>
      </c>
      <c r="BQ792" s="14">
        <f t="shared" si="119"/>
        <v>0</v>
      </c>
      <c r="BR792" s="22" t="str">
        <f>IF(OR(AND(X792="Mourões", BQ792&gt;=6.5),AND(X792="Postes", BQ792&gt;=9.6),AND(X792="Dormentes", BQ792&gt;=9.6),AND(X792="Estacas - Solo", BQ792&gt;=6.5),AND(X792="Estacas - Suspenso", BQ792&gt;=4),AND(X792="Cruzetas", BQ792&gt;=6.5),AND(X792="Outros - Solo", BQ792&gt;=6.5),AND(X792="Outros - Suspenso",BQ792&gt;=4),AND(X792="Deck",BQ792&gt;=4)),'Listas suspensas'!$C$21,'Listas suspensas'!$C$22)</f>
        <v>Os resultados da análise química apresentaram uma retenção do produto inferior ao padrão mínimo exigido pela norma ABNT NBR 16143</v>
      </c>
    </row>
    <row r="793" spans="25:70" x14ac:dyDescent="0.25">
      <c r="Y793" s="34" t="str">
        <f>IF(X793='Listas suspensas'!$A$21,'Listas suspensas'!$B$23,IF(X793='Listas suspensas'!$A$22,'Listas suspensas'!$B$23,IF(X793='Listas suspensas'!$A$23,'Listas suspensas'!$B$22,IF(X793='Listas suspensas'!$A$26,'Listas suspensas'!$B$22,IF(X793='Listas suspensas'!$A$32,'Listas suspensas'!$B$22,IF(X793='Listas suspensas'!$A$33,'Listas suspensas'!$B$21,IF(X793='Listas suspensas'!$A$24,'Listas suspensas'!$B$22,IF(X793='Listas suspensas'!$A$25,'Listas suspensas'!$B$21,IF(X793='Listas suspensas'!$A$30,'Listas suspensas'!$B$21,"")))))))))</f>
        <v/>
      </c>
      <c r="AB793" s="8" t="str">
        <f>IF(AA793='Listas suspensas'!$A$2,'Listas suspensas'!$B$2,IF(AA793='Listas suspensas'!$A$3,'Listas suspensas'!$B$3,IF(AA793='Listas suspensas'!$A$4,'Listas suspensas'!$B$4,IF(AA793='Listas suspensas'!$A$5,'Listas suspensas'!$B$5,IF(AA793='Listas suspensas'!$A$6,'Listas suspensas'!$B$6,"")))))</f>
        <v/>
      </c>
      <c r="AC793" s="8" t="str">
        <f>IF(AA793='Listas suspensas'!$A$2,'Listas suspensas'!$C$2,IF(AA793='Listas suspensas'!$A$3,'Listas suspensas'!$C$3,IF(AA793='Listas suspensas'!$A$4,'Listas suspensas'!$C$4,IF(AA793='Listas suspensas'!$A$5,'Listas suspensas'!$C$5,IF(AA793='Listas suspensas'!$A$6,'Listas suspensas'!$C$6,"")))))</f>
        <v/>
      </c>
      <c r="BE793" s="18">
        <f t="shared" si="120"/>
        <v>0</v>
      </c>
      <c r="BI793" s="13">
        <f t="shared" si="121"/>
        <v>0</v>
      </c>
      <c r="BM793" s="16">
        <f t="shared" si="115"/>
        <v>0</v>
      </c>
      <c r="BN793" s="21">
        <f t="shared" si="116"/>
        <v>0</v>
      </c>
      <c r="BO793" s="21">
        <f t="shared" si="117"/>
        <v>0</v>
      </c>
      <c r="BP793" s="21">
        <f t="shared" si="118"/>
        <v>0</v>
      </c>
      <c r="BQ793" s="14">
        <f t="shared" si="119"/>
        <v>0</v>
      </c>
      <c r="BR793" s="22" t="str">
        <f>IF(OR(AND(X793="Mourões", BQ793&gt;=6.5),AND(X793="Postes", BQ793&gt;=9.6),AND(X793="Dormentes", BQ793&gt;=9.6),AND(X793="Estacas - Solo", BQ793&gt;=6.5),AND(X793="Estacas - Suspenso", BQ793&gt;=4),AND(X793="Cruzetas", BQ793&gt;=6.5),AND(X793="Outros - Solo", BQ793&gt;=6.5),AND(X793="Outros - Suspenso",BQ793&gt;=4),AND(X793="Deck",BQ793&gt;=4)),'Listas suspensas'!$C$21,'Listas suspensas'!$C$22)</f>
        <v>Os resultados da análise química apresentaram uma retenção do produto inferior ao padrão mínimo exigido pela norma ABNT NBR 16143</v>
      </c>
    </row>
    <row r="794" spans="25:70" x14ac:dyDescent="0.25">
      <c r="Y794" s="34" t="str">
        <f>IF(X794='Listas suspensas'!$A$21,'Listas suspensas'!$B$23,IF(X794='Listas suspensas'!$A$22,'Listas suspensas'!$B$23,IF(X794='Listas suspensas'!$A$23,'Listas suspensas'!$B$22,IF(X794='Listas suspensas'!$A$26,'Listas suspensas'!$B$22,IF(X794='Listas suspensas'!$A$32,'Listas suspensas'!$B$22,IF(X794='Listas suspensas'!$A$33,'Listas suspensas'!$B$21,IF(X794='Listas suspensas'!$A$24,'Listas suspensas'!$B$22,IF(X794='Listas suspensas'!$A$25,'Listas suspensas'!$B$21,IF(X794='Listas suspensas'!$A$30,'Listas suspensas'!$B$21,"")))))))))</f>
        <v/>
      </c>
      <c r="AB794" s="8" t="str">
        <f>IF(AA794='Listas suspensas'!$A$2,'Listas suspensas'!$B$2,IF(AA794='Listas suspensas'!$A$3,'Listas suspensas'!$B$3,IF(AA794='Listas suspensas'!$A$4,'Listas suspensas'!$B$4,IF(AA794='Listas suspensas'!$A$5,'Listas suspensas'!$B$5,IF(AA794='Listas suspensas'!$A$6,'Listas suspensas'!$B$6,"")))))</f>
        <v/>
      </c>
      <c r="AC794" s="8" t="str">
        <f>IF(AA794='Listas suspensas'!$A$2,'Listas suspensas'!$C$2,IF(AA794='Listas suspensas'!$A$3,'Listas suspensas'!$C$3,IF(AA794='Listas suspensas'!$A$4,'Listas suspensas'!$C$4,IF(AA794='Listas suspensas'!$A$5,'Listas suspensas'!$C$5,IF(AA794='Listas suspensas'!$A$6,'Listas suspensas'!$C$6,"")))))</f>
        <v/>
      </c>
      <c r="BE794" s="18">
        <f t="shared" si="120"/>
        <v>0</v>
      </c>
      <c r="BI794" s="13">
        <f t="shared" si="121"/>
        <v>0</v>
      </c>
      <c r="BM794" s="16">
        <f t="shared" si="115"/>
        <v>0</v>
      </c>
      <c r="BN794" s="21">
        <f t="shared" si="116"/>
        <v>0</v>
      </c>
      <c r="BO794" s="21">
        <f t="shared" si="117"/>
        <v>0</v>
      </c>
      <c r="BP794" s="21">
        <f t="shared" si="118"/>
        <v>0</v>
      </c>
      <c r="BQ794" s="14">
        <f t="shared" si="119"/>
        <v>0</v>
      </c>
      <c r="BR794" s="22" t="str">
        <f>IF(OR(AND(X794="Mourões", BQ794&gt;=6.5),AND(X794="Postes", BQ794&gt;=9.6),AND(X794="Dormentes", BQ794&gt;=9.6),AND(X794="Estacas - Solo", BQ794&gt;=6.5),AND(X794="Estacas - Suspenso", BQ794&gt;=4),AND(X794="Cruzetas", BQ794&gt;=6.5),AND(X794="Outros - Solo", BQ794&gt;=6.5),AND(X794="Outros - Suspenso",BQ794&gt;=4),AND(X794="Deck",BQ794&gt;=4)),'Listas suspensas'!$C$21,'Listas suspensas'!$C$22)</f>
        <v>Os resultados da análise química apresentaram uma retenção do produto inferior ao padrão mínimo exigido pela norma ABNT NBR 16143</v>
      </c>
    </row>
    <row r="795" spans="25:70" x14ac:dyDescent="0.25">
      <c r="Y795" s="34" t="str">
        <f>IF(X795='Listas suspensas'!$A$21,'Listas suspensas'!$B$23,IF(X795='Listas suspensas'!$A$22,'Listas suspensas'!$B$23,IF(X795='Listas suspensas'!$A$23,'Listas suspensas'!$B$22,IF(X795='Listas suspensas'!$A$26,'Listas suspensas'!$B$22,IF(X795='Listas suspensas'!$A$32,'Listas suspensas'!$B$22,IF(X795='Listas suspensas'!$A$33,'Listas suspensas'!$B$21,IF(X795='Listas suspensas'!$A$24,'Listas suspensas'!$B$22,IF(X795='Listas suspensas'!$A$25,'Listas suspensas'!$B$21,IF(X795='Listas suspensas'!$A$30,'Listas suspensas'!$B$21,"")))))))))</f>
        <v/>
      </c>
      <c r="AB795" s="8" t="str">
        <f>IF(AA795='Listas suspensas'!$A$2,'Listas suspensas'!$B$2,IF(AA795='Listas suspensas'!$A$3,'Listas suspensas'!$B$3,IF(AA795='Listas suspensas'!$A$4,'Listas suspensas'!$B$4,IF(AA795='Listas suspensas'!$A$5,'Listas suspensas'!$B$5,IF(AA795='Listas suspensas'!$A$6,'Listas suspensas'!$B$6,"")))))</f>
        <v/>
      </c>
      <c r="AC795" s="8" t="str">
        <f>IF(AA795='Listas suspensas'!$A$2,'Listas suspensas'!$C$2,IF(AA795='Listas suspensas'!$A$3,'Listas suspensas'!$C$3,IF(AA795='Listas suspensas'!$A$4,'Listas suspensas'!$C$4,IF(AA795='Listas suspensas'!$A$5,'Listas suspensas'!$C$5,IF(AA795='Listas suspensas'!$A$6,'Listas suspensas'!$C$6,"")))))</f>
        <v/>
      </c>
      <c r="BE795" s="18">
        <f t="shared" si="120"/>
        <v>0</v>
      </c>
      <c r="BI795" s="13">
        <f t="shared" si="121"/>
        <v>0</v>
      </c>
      <c r="BM795" s="16">
        <f t="shared" si="115"/>
        <v>0</v>
      </c>
      <c r="BN795" s="21">
        <f t="shared" si="116"/>
        <v>0</v>
      </c>
      <c r="BO795" s="21">
        <f t="shared" si="117"/>
        <v>0</v>
      </c>
      <c r="BP795" s="21">
        <f t="shared" si="118"/>
        <v>0</v>
      </c>
      <c r="BQ795" s="14">
        <f t="shared" si="119"/>
        <v>0</v>
      </c>
      <c r="BR795" s="22" t="str">
        <f>IF(OR(AND(X795="Mourões", BQ795&gt;=6.5),AND(X795="Postes", BQ795&gt;=9.6),AND(X795="Dormentes", BQ795&gt;=9.6),AND(X795="Estacas - Solo", BQ795&gt;=6.5),AND(X795="Estacas - Suspenso", BQ795&gt;=4),AND(X795="Cruzetas", BQ795&gt;=6.5),AND(X795="Outros - Solo", BQ795&gt;=6.5),AND(X795="Outros - Suspenso",BQ795&gt;=4),AND(X795="Deck",BQ795&gt;=4)),'Listas suspensas'!$C$21,'Listas suspensas'!$C$22)</f>
        <v>Os resultados da análise química apresentaram uma retenção do produto inferior ao padrão mínimo exigido pela norma ABNT NBR 16143</v>
      </c>
    </row>
    <row r="796" spans="25:70" x14ac:dyDescent="0.25">
      <c r="Y796" s="34" t="str">
        <f>IF(X796='Listas suspensas'!$A$21,'Listas suspensas'!$B$23,IF(X796='Listas suspensas'!$A$22,'Listas suspensas'!$B$23,IF(X796='Listas suspensas'!$A$23,'Listas suspensas'!$B$22,IF(X796='Listas suspensas'!$A$26,'Listas suspensas'!$B$22,IF(X796='Listas suspensas'!$A$32,'Listas suspensas'!$B$22,IF(X796='Listas suspensas'!$A$33,'Listas suspensas'!$B$21,IF(X796='Listas suspensas'!$A$24,'Listas suspensas'!$B$22,IF(X796='Listas suspensas'!$A$25,'Listas suspensas'!$B$21,IF(X796='Listas suspensas'!$A$30,'Listas suspensas'!$B$21,"")))))))))</f>
        <v/>
      </c>
      <c r="AB796" s="8" t="str">
        <f>IF(AA796='Listas suspensas'!$A$2,'Listas suspensas'!$B$2,IF(AA796='Listas suspensas'!$A$3,'Listas suspensas'!$B$3,IF(AA796='Listas suspensas'!$A$4,'Listas suspensas'!$B$4,IF(AA796='Listas suspensas'!$A$5,'Listas suspensas'!$B$5,IF(AA796='Listas suspensas'!$A$6,'Listas suspensas'!$B$6,"")))))</f>
        <v/>
      </c>
      <c r="AC796" s="8" t="str">
        <f>IF(AA796='Listas suspensas'!$A$2,'Listas suspensas'!$C$2,IF(AA796='Listas suspensas'!$A$3,'Listas suspensas'!$C$3,IF(AA796='Listas suspensas'!$A$4,'Listas suspensas'!$C$4,IF(AA796='Listas suspensas'!$A$5,'Listas suspensas'!$C$5,IF(AA796='Listas suspensas'!$A$6,'Listas suspensas'!$C$6,"")))))</f>
        <v/>
      </c>
      <c r="BE796" s="18">
        <f t="shared" si="120"/>
        <v>0</v>
      </c>
      <c r="BI796" s="13">
        <f t="shared" si="121"/>
        <v>0</v>
      </c>
      <c r="BM796" s="16">
        <f t="shared" si="115"/>
        <v>0</v>
      </c>
      <c r="BN796" s="21">
        <f t="shared" si="116"/>
        <v>0</v>
      </c>
      <c r="BO796" s="21">
        <f t="shared" si="117"/>
        <v>0</v>
      </c>
      <c r="BP796" s="21">
        <f t="shared" si="118"/>
        <v>0</v>
      </c>
      <c r="BQ796" s="14">
        <f t="shared" si="119"/>
        <v>0</v>
      </c>
      <c r="BR796" s="22" t="str">
        <f>IF(OR(AND(X796="Mourões", BQ796&gt;=6.5),AND(X796="Postes", BQ796&gt;=9.6),AND(X796="Dormentes", BQ796&gt;=9.6),AND(X796="Estacas - Solo", BQ796&gt;=6.5),AND(X796="Estacas - Suspenso", BQ796&gt;=4),AND(X796="Cruzetas", BQ796&gt;=6.5),AND(X796="Outros - Solo", BQ796&gt;=6.5),AND(X796="Outros - Suspenso",BQ796&gt;=4),AND(X796="Deck",BQ796&gt;=4)),'Listas suspensas'!$C$21,'Listas suspensas'!$C$22)</f>
        <v>Os resultados da análise química apresentaram uma retenção do produto inferior ao padrão mínimo exigido pela norma ABNT NBR 16143</v>
      </c>
    </row>
    <row r="797" spans="25:70" x14ac:dyDescent="0.25">
      <c r="Y797" s="34" t="str">
        <f>IF(X797='Listas suspensas'!$A$21,'Listas suspensas'!$B$23,IF(X797='Listas suspensas'!$A$22,'Listas suspensas'!$B$23,IF(X797='Listas suspensas'!$A$23,'Listas suspensas'!$B$22,IF(X797='Listas suspensas'!$A$26,'Listas suspensas'!$B$22,IF(X797='Listas suspensas'!$A$32,'Listas suspensas'!$B$22,IF(X797='Listas suspensas'!$A$33,'Listas suspensas'!$B$21,IF(X797='Listas suspensas'!$A$24,'Listas suspensas'!$B$22,IF(X797='Listas suspensas'!$A$25,'Listas suspensas'!$B$21,IF(X797='Listas suspensas'!$A$30,'Listas suspensas'!$B$21,"")))))))))</f>
        <v/>
      </c>
      <c r="AB797" s="8" t="str">
        <f>IF(AA797='Listas suspensas'!$A$2,'Listas suspensas'!$B$2,IF(AA797='Listas suspensas'!$A$3,'Listas suspensas'!$B$3,IF(AA797='Listas suspensas'!$A$4,'Listas suspensas'!$B$4,IF(AA797='Listas suspensas'!$A$5,'Listas suspensas'!$B$5,IF(AA797='Listas suspensas'!$A$6,'Listas suspensas'!$B$6,"")))))</f>
        <v/>
      </c>
      <c r="AC797" s="8" t="str">
        <f>IF(AA797='Listas suspensas'!$A$2,'Listas suspensas'!$C$2,IF(AA797='Listas suspensas'!$A$3,'Listas suspensas'!$C$3,IF(AA797='Listas suspensas'!$A$4,'Listas suspensas'!$C$4,IF(AA797='Listas suspensas'!$A$5,'Listas suspensas'!$C$5,IF(AA797='Listas suspensas'!$A$6,'Listas suspensas'!$C$6,"")))))</f>
        <v/>
      </c>
      <c r="BE797" s="18">
        <f t="shared" si="120"/>
        <v>0</v>
      </c>
      <c r="BI797" s="13">
        <f t="shared" si="121"/>
        <v>0</v>
      </c>
      <c r="BM797" s="16">
        <f t="shared" si="115"/>
        <v>0</v>
      </c>
      <c r="BN797" s="21">
        <f t="shared" si="116"/>
        <v>0</v>
      </c>
      <c r="BO797" s="21">
        <f t="shared" si="117"/>
        <v>0</v>
      </c>
      <c r="BP797" s="21">
        <f t="shared" si="118"/>
        <v>0</v>
      </c>
      <c r="BQ797" s="14">
        <f t="shared" si="119"/>
        <v>0</v>
      </c>
      <c r="BR797" s="22" t="str">
        <f>IF(OR(AND(X797="Mourões", BQ797&gt;=6.5),AND(X797="Postes", BQ797&gt;=9.6),AND(X797="Dormentes", BQ797&gt;=9.6),AND(X797="Estacas - Solo", BQ797&gt;=6.5),AND(X797="Estacas - Suspenso", BQ797&gt;=4),AND(X797="Cruzetas", BQ797&gt;=6.5),AND(X797="Outros - Solo", BQ797&gt;=6.5),AND(X797="Outros - Suspenso",BQ797&gt;=4),AND(X797="Deck",BQ797&gt;=4)),'Listas suspensas'!$C$21,'Listas suspensas'!$C$22)</f>
        <v>Os resultados da análise química apresentaram uma retenção do produto inferior ao padrão mínimo exigido pela norma ABNT NBR 16143</v>
      </c>
    </row>
    <row r="798" spans="25:70" x14ac:dyDescent="0.25">
      <c r="Y798" s="34" t="str">
        <f>IF(X798='Listas suspensas'!$A$21,'Listas suspensas'!$B$23,IF(X798='Listas suspensas'!$A$22,'Listas suspensas'!$B$23,IF(X798='Listas suspensas'!$A$23,'Listas suspensas'!$B$22,IF(X798='Listas suspensas'!$A$26,'Listas suspensas'!$B$22,IF(X798='Listas suspensas'!$A$32,'Listas suspensas'!$B$22,IF(X798='Listas suspensas'!$A$33,'Listas suspensas'!$B$21,IF(X798='Listas suspensas'!$A$24,'Listas suspensas'!$B$22,IF(X798='Listas suspensas'!$A$25,'Listas suspensas'!$B$21,IF(X798='Listas suspensas'!$A$30,'Listas suspensas'!$B$21,"")))))))))</f>
        <v/>
      </c>
      <c r="AB798" s="8" t="str">
        <f>IF(AA798='Listas suspensas'!$A$2,'Listas suspensas'!$B$2,IF(AA798='Listas suspensas'!$A$3,'Listas suspensas'!$B$3,IF(AA798='Listas suspensas'!$A$4,'Listas suspensas'!$B$4,IF(AA798='Listas suspensas'!$A$5,'Listas suspensas'!$B$5,IF(AA798='Listas suspensas'!$A$6,'Listas suspensas'!$B$6,"")))))</f>
        <v/>
      </c>
      <c r="AC798" s="8" t="str">
        <f>IF(AA798='Listas suspensas'!$A$2,'Listas suspensas'!$C$2,IF(AA798='Listas suspensas'!$A$3,'Listas suspensas'!$C$3,IF(AA798='Listas suspensas'!$A$4,'Listas suspensas'!$C$4,IF(AA798='Listas suspensas'!$A$5,'Listas suspensas'!$C$5,IF(AA798='Listas suspensas'!$A$6,'Listas suspensas'!$C$6,"")))))</f>
        <v/>
      </c>
      <c r="BE798" s="18">
        <f t="shared" si="120"/>
        <v>0</v>
      </c>
      <c r="BI798" s="13">
        <f t="shared" si="121"/>
        <v>0</v>
      </c>
      <c r="BM798" s="16">
        <f t="shared" si="115"/>
        <v>0</v>
      </c>
      <c r="BN798" s="21">
        <f t="shared" si="116"/>
        <v>0</v>
      </c>
      <c r="BO798" s="21">
        <f t="shared" si="117"/>
        <v>0</v>
      </c>
      <c r="BP798" s="21">
        <f t="shared" si="118"/>
        <v>0</v>
      </c>
      <c r="BQ798" s="14">
        <f t="shared" si="119"/>
        <v>0</v>
      </c>
      <c r="BR798" s="22" t="str">
        <f>IF(OR(AND(X798="Mourões", BQ798&gt;=6.5),AND(X798="Postes", BQ798&gt;=9.6),AND(X798="Dormentes", BQ798&gt;=9.6),AND(X798="Estacas - Solo", BQ798&gt;=6.5),AND(X798="Estacas - Suspenso", BQ798&gt;=4),AND(X798="Cruzetas", BQ798&gt;=6.5),AND(X798="Outros - Solo", BQ798&gt;=6.5),AND(X798="Outros - Suspenso",BQ798&gt;=4),AND(X798="Deck",BQ798&gt;=4)),'Listas suspensas'!$C$21,'Listas suspensas'!$C$22)</f>
        <v>Os resultados da análise química apresentaram uma retenção do produto inferior ao padrão mínimo exigido pela norma ABNT NBR 16143</v>
      </c>
    </row>
    <row r="799" spans="25:70" x14ac:dyDescent="0.25">
      <c r="Y799" s="34" t="str">
        <f>IF(X799='Listas suspensas'!$A$21,'Listas suspensas'!$B$23,IF(X799='Listas suspensas'!$A$22,'Listas suspensas'!$B$23,IF(X799='Listas suspensas'!$A$23,'Listas suspensas'!$B$22,IF(X799='Listas suspensas'!$A$26,'Listas suspensas'!$B$22,IF(X799='Listas suspensas'!$A$32,'Listas suspensas'!$B$22,IF(X799='Listas suspensas'!$A$33,'Listas suspensas'!$B$21,IF(X799='Listas suspensas'!$A$24,'Listas suspensas'!$B$22,IF(X799='Listas suspensas'!$A$25,'Listas suspensas'!$B$21,IF(X799='Listas suspensas'!$A$30,'Listas suspensas'!$B$21,"")))))))))</f>
        <v/>
      </c>
      <c r="AB799" s="8" t="str">
        <f>IF(AA799='Listas suspensas'!$A$2,'Listas suspensas'!$B$2,IF(AA799='Listas suspensas'!$A$3,'Listas suspensas'!$B$3,IF(AA799='Listas suspensas'!$A$4,'Listas suspensas'!$B$4,IF(AA799='Listas suspensas'!$A$5,'Listas suspensas'!$B$5,IF(AA799='Listas suspensas'!$A$6,'Listas suspensas'!$B$6,"")))))</f>
        <v/>
      </c>
      <c r="AC799" s="8" t="str">
        <f>IF(AA799='Listas suspensas'!$A$2,'Listas suspensas'!$C$2,IF(AA799='Listas suspensas'!$A$3,'Listas suspensas'!$C$3,IF(AA799='Listas suspensas'!$A$4,'Listas suspensas'!$C$4,IF(AA799='Listas suspensas'!$A$5,'Listas suspensas'!$C$5,IF(AA799='Listas suspensas'!$A$6,'Listas suspensas'!$C$6,"")))))</f>
        <v/>
      </c>
      <c r="BE799" s="18">
        <f t="shared" si="120"/>
        <v>0</v>
      </c>
      <c r="BI799" s="13">
        <f t="shared" si="121"/>
        <v>0</v>
      </c>
      <c r="BM799" s="16">
        <f t="shared" si="115"/>
        <v>0</v>
      </c>
      <c r="BN799" s="21">
        <f t="shared" si="116"/>
        <v>0</v>
      </c>
      <c r="BO799" s="21">
        <f t="shared" si="117"/>
        <v>0</v>
      </c>
      <c r="BP799" s="21">
        <f t="shared" si="118"/>
        <v>0</v>
      </c>
      <c r="BQ799" s="14">
        <f t="shared" si="119"/>
        <v>0</v>
      </c>
      <c r="BR799" s="22" t="str">
        <f>IF(OR(AND(X799="Mourões", BQ799&gt;=6.5),AND(X799="Postes", BQ799&gt;=9.6),AND(X799="Dormentes", BQ799&gt;=9.6),AND(X799="Estacas - Solo", BQ799&gt;=6.5),AND(X799="Estacas - Suspenso", BQ799&gt;=4),AND(X799="Cruzetas", BQ799&gt;=6.5),AND(X799="Outros - Solo", BQ799&gt;=6.5),AND(X799="Outros - Suspenso",BQ799&gt;=4),AND(X799="Deck",BQ799&gt;=4)),'Listas suspensas'!$C$21,'Listas suspensas'!$C$22)</f>
        <v>Os resultados da análise química apresentaram uma retenção do produto inferior ao padrão mínimo exigido pela norma ABNT NBR 16143</v>
      </c>
    </row>
    <row r="800" spans="25:70" x14ac:dyDescent="0.25">
      <c r="Y800" s="34" t="str">
        <f>IF(X800='Listas suspensas'!$A$21,'Listas suspensas'!$B$23,IF(X800='Listas suspensas'!$A$22,'Listas suspensas'!$B$23,IF(X800='Listas suspensas'!$A$23,'Listas suspensas'!$B$22,IF(X800='Listas suspensas'!$A$26,'Listas suspensas'!$B$22,IF(X800='Listas suspensas'!$A$32,'Listas suspensas'!$B$22,IF(X800='Listas suspensas'!$A$33,'Listas suspensas'!$B$21,IF(X800='Listas suspensas'!$A$24,'Listas suspensas'!$B$22,IF(X800='Listas suspensas'!$A$25,'Listas suspensas'!$B$21,IF(X800='Listas suspensas'!$A$30,'Listas suspensas'!$B$21,"")))))))))</f>
        <v/>
      </c>
      <c r="AB800" s="8" t="str">
        <f>IF(AA800='Listas suspensas'!$A$2,'Listas suspensas'!$B$2,IF(AA800='Listas suspensas'!$A$3,'Listas suspensas'!$B$3,IF(AA800='Listas suspensas'!$A$4,'Listas suspensas'!$B$4,IF(AA800='Listas suspensas'!$A$5,'Listas suspensas'!$B$5,IF(AA800='Listas suspensas'!$A$6,'Listas suspensas'!$B$6,"")))))</f>
        <v/>
      </c>
      <c r="AC800" s="8" t="str">
        <f>IF(AA800='Listas suspensas'!$A$2,'Listas suspensas'!$C$2,IF(AA800='Listas suspensas'!$A$3,'Listas suspensas'!$C$3,IF(AA800='Listas suspensas'!$A$4,'Listas suspensas'!$C$4,IF(AA800='Listas suspensas'!$A$5,'Listas suspensas'!$C$5,IF(AA800='Listas suspensas'!$A$6,'Listas suspensas'!$C$6,"")))))</f>
        <v/>
      </c>
      <c r="BE800" s="18">
        <f t="shared" si="120"/>
        <v>0</v>
      </c>
      <c r="BI800" s="13">
        <f t="shared" si="121"/>
        <v>0</v>
      </c>
      <c r="BM800" s="16">
        <f t="shared" si="115"/>
        <v>0</v>
      </c>
      <c r="BN800" s="21">
        <f t="shared" si="116"/>
        <v>0</v>
      </c>
      <c r="BO800" s="21">
        <f t="shared" si="117"/>
        <v>0</v>
      </c>
      <c r="BP800" s="21">
        <f t="shared" si="118"/>
        <v>0</v>
      </c>
      <c r="BQ800" s="14">
        <f t="shared" si="119"/>
        <v>0</v>
      </c>
      <c r="BR800" s="22" t="str">
        <f>IF(OR(AND(X800="Mourões", BQ800&gt;=6.5),AND(X800="Postes", BQ800&gt;=9.6),AND(X800="Dormentes", BQ800&gt;=9.6),AND(X800="Estacas - Solo", BQ800&gt;=6.5),AND(X800="Estacas - Suspenso", BQ800&gt;=4),AND(X800="Cruzetas", BQ800&gt;=6.5),AND(X800="Outros - Solo", BQ800&gt;=6.5),AND(X800="Outros - Suspenso",BQ800&gt;=4),AND(X800="Deck",BQ800&gt;=4)),'Listas suspensas'!$C$21,'Listas suspensas'!$C$22)</f>
        <v>Os resultados da análise química apresentaram uma retenção do produto inferior ao padrão mínimo exigido pela norma ABNT NBR 16143</v>
      </c>
    </row>
    <row r="801" spans="25:70" x14ac:dyDescent="0.25">
      <c r="Y801" s="34" t="str">
        <f>IF(X801='Listas suspensas'!$A$21,'Listas suspensas'!$B$23,IF(X801='Listas suspensas'!$A$22,'Listas suspensas'!$B$23,IF(X801='Listas suspensas'!$A$23,'Listas suspensas'!$B$22,IF(X801='Listas suspensas'!$A$26,'Listas suspensas'!$B$22,IF(X801='Listas suspensas'!$A$32,'Listas suspensas'!$B$22,IF(X801='Listas suspensas'!$A$33,'Listas suspensas'!$B$21,IF(X801='Listas suspensas'!$A$24,'Listas suspensas'!$B$22,IF(X801='Listas suspensas'!$A$25,'Listas suspensas'!$B$21,IF(X801='Listas suspensas'!$A$30,'Listas suspensas'!$B$21,"")))))))))</f>
        <v/>
      </c>
      <c r="AB801" s="8" t="str">
        <f>IF(AA801='Listas suspensas'!$A$2,'Listas suspensas'!$B$2,IF(AA801='Listas suspensas'!$A$3,'Listas suspensas'!$B$3,IF(AA801='Listas suspensas'!$A$4,'Listas suspensas'!$B$4,IF(AA801='Listas suspensas'!$A$5,'Listas suspensas'!$B$5,IF(AA801='Listas suspensas'!$A$6,'Listas suspensas'!$B$6,"")))))</f>
        <v/>
      </c>
      <c r="AC801" s="8" t="str">
        <f>IF(AA801='Listas suspensas'!$A$2,'Listas suspensas'!$C$2,IF(AA801='Listas suspensas'!$A$3,'Listas suspensas'!$C$3,IF(AA801='Listas suspensas'!$A$4,'Listas suspensas'!$C$4,IF(AA801='Listas suspensas'!$A$5,'Listas suspensas'!$C$5,IF(AA801='Listas suspensas'!$A$6,'Listas suspensas'!$C$6,"")))))</f>
        <v/>
      </c>
      <c r="BE801" s="18">
        <f t="shared" si="120"/>
        <v>0</v>
      </c>
      <c r="BI801" s="13">
        <f t="shared" si="121"/>
        <v>0</v>
      </c>
      <c r="BM801" s="16">
        <f t="shared" si="115"/>
        <v>0</v>
      </c>
      <c r="BN801" s="21">
        <f t="shared" si="116"/>
        <v>0</v>
      </c>
      <c r="BO801" s="21">
        <f t="shared" si="117"/>
        <v>0</v>
      </c>
      <c r="BP801" s="21">
        <f t="shared" si="118"/>
        <v>0</v>
      </c>
      <c r="BQ801" s="14">
        <f t="shared" si="119"/>
        <v>0</v>
      </c>
      <c r="BR801" s="22" t="str">
        <f>IF(OR(AND(X801="Mourões", BQ801&gt;=6.5),AND(X801="Postes", BQ801&gt;=9.6),AND(X801="Dormentes", BQ801&gt;=9.6),AND(X801="Estacas - Solo", BQ801&gt;=6.5),AND(X801="Estacas - Suspenso", BQ801&gt;=4),AND(X801="Cruzetas", BQ801&gt;=6.5),AND(X801="Outros - Solo", BQ801&gt;=6.5),AND(X801="Outros - Suspenso",BQ801&gt;=4),AND(X801="Deck",BQ801&gt;=4)),'Listas suspensas'!$C$21,'Listas suspensas'!$C$22)</f>
        <v>Os resultados da análise química apresentaram uma retenção do produto inferior ao padrão mínimo exigido pela norma ABNT NBR 16143</v>
      </c>
    </row>
    <row r="802" spans="25:70" x14ac:dyDescent="0.25">
      <c r="Y802" s="34" t="str">
        <f>IF(X802='Listas suspensas'!$A$21,'Listas suspensas'!$B$23,IF(X802='Listas suspensas'!$A$22,'Listas suspensas'!$B$23,IF(X802='Listas suspensas'!$A$23,'Listas suspensas'!$B$22,IF(X802='Listas suspensas'!$A$26,'Listas suspensas'!$B$22,IF(X802='Listas suspensas'!$A$32,'Listas suspensas'!$B$22,IF(X802='Listas suspensas'!$A$33,'Listas suspensas'!$B$21,IF(X802='Listas suspensas'!$A$24,'Listas suspensas'!$B$22,IF(X802='Listas suspensas'!$A$25,'Listas suspensas'!$B$21,IF(X802='Listas suspensas'!$A$30,'Listas suspensas'!$B$21,"")))))))))</f>
        <v/>
      </c>
      <c r="AB802" s="8" t="str">
        <f>IF(AA802='Listas suspensas'!$A$2,'Listas suspensas'!$B$2,IF(AA802='Listas suspensas'!$A$3,'Listas suspensas'!$B$3,IF(AA802='Listas suspensas'!$A$4,'Listas suspensas'!$B$4,IF(AA802='Listas suspensas'!$A$5,'Listas suspensas'!$B$5,IF(AA802='Listas suspensas'!$A$6,'Listas suspensas'!$B$6,"")))))</f>
        <v/>
      </c>
      <c r="AC802" s="8" t="str">
        <f>IF(AA802='Listas suspensas'!$A$2,'Listas suspensas'!$C$2,IF(AA802='Listas suspensas'!$A$3,'Listas suspensas'!$C$3,IF(AA802='Listas suspensas'!$A$4,'Listas suspensas'!$C$4,IF(AA802='Listas suspensas'!$A$5,'Listas suspensas'!$C$5,IF(AA802='Listas suspensas'!$A$6,'Listas suspensas'!$C$6,"")))))</f>
        <v/>
      </c>
      <c r="BE802" s="18">
        <f t="shared" si="120"/>
        <v>0</v>
      </c>
      <c r="BI802" s="13">
        <f t="shared" si="121"/>
        <v>0</v>
      </c>
      <c r="BM802" s="16">
        <f t="shared" si="115"/>
        <v>0</v>
      </c>
      <c r="BN802" s="21">
        <f t="shared" si="116"/>
        <v>0</v>
      </c>
      <c r="BO802" s="21">
        <f t="shared" si="117"/>
        <v>0</v>
      </c>
      <c r="BP802" s="21">
        <f t="shared" si="118"/>
        <v>0</v>
      </c>
      <c r="BQ802" s="14">
        <f t="shared" si="119"/>
        <v>0</v>
      </c>
      <c r="BR802" s="22" t="str">
        <f>IF(OR(AND(X802="Mourões", BQ802&gt;=6.5),AND(X802="Postes", BQ802&gt;=9.6),AND(X802="Dormentes", BQ802&gt;=9.6),AND(X802="Estacas - Solo", BQ802&gt;=6.5),AND(X802="Estacas - Suspenso", BQ802&gt;=4),AND(X802="Cruzetas", BQ802&gt;=6.5),AND(X802="Outros - Solo", BQ802&gt;=6.5),AND(X802="Outros - Suspenso",BQ802&gt;=4),AND(X802="Deck",BQ802&gt;=4)),'Listas suspensas'!$C$21,'Listas suspensas'!$C$22)</f>
        <v>Os resultados da análise química apresentaram uma retenção do produto inferior ao padrão mínimo exigido pela norma ABNT NBR 16143</v>
      </c>
    </row>
    <row r="803" spans="25:70" x14ac:dyDescent="0.25">
      <c r="Y803" s="34" t="str">
        <f>IF(X803='Listas suspensas'!$A$21,'Listas suspensas'!$B$23,IF(X803='Listas suspensas'!$A$22,'Listas suspensas'!$B$23,IF(X803='Listas suspensas'!$A$23,'Listas suspensas'!$B$22,IF(X803='Listas suspensas'!$A$26,'Listas suspensas'!$B$22,IF(X803='Listas suspensas'!$A$32,'Listas suspensas'!$B$22,IF(X803='Listas suspensas'!$A$33,'Listas suspensas'!$B$21,IF(X803='Listas suspensas'!$A$24,'Listas suspensas'!$B$22,IF(X803='Listas suspensas'!$A$25,'Listas suspensas'!$B$21,IF(X803='Listas suspensas'!$A$30,'Listas suspensas'!$B$21,"")))))))))</f>
        <v/>
      </c>
      <c r="AB803" s="8" t="str">
        <f>IF(AA803='Listas suspensas'!$A$2,'Listas suspensas'!$B$2,IF(AA803='Listas suspensas'!$A$3,'Listas suspensas'!$B$3,IF(AA803='Listas suspensas'!$A$4,'Listas suspensas'!$B$4,IF(AA803='Listas suspensas'!$A$5,'Listas suspensas'!$B$5,IF(AA803='Listas suspensas'!$A$6,'Listas suspensas'!$B$6,"")))))</f>
        <v/>
      </c>
      <c r="AC803" s="8" t="str">
        <f>IF(AA803='Listas suspensas'!$A$2,'Listas suspensas'!$C$2,IF(AA803='Listas suspensas'!$A$3,'Listas suspensas'!$C$3,IF(AA803='Listas suspensas'!$A$4,'Listas suspensas'!$C$4,IF(AA803='Listas suspensas'!$A$5,'Listas suspensas'!$C$5,IF(AA803='Listas suspensas'!$A$6,'Listas suspensas'!$C$6,"")))))</f>
        <v/>
      </c>
      <c r="BE803" s="18">
        <f t="shared" si="120"/>
        <v>0</v>
      </c>
      <c r="BI803" s="13">
        <f t="shared" si="121"/>
        <v>0</v>
      </c>
      <c r="BM803" s="16">
        <f t="shared" si="115"/>
        <v>0</v>
      </c>
      <c r="BN803" s="21">
        <f t="shared" si="116"/>
        <v>0</v>
      </c>
      <c r="BO803" s="21">
        <f t="shared" si="117"/>
        <v>0</v>
      </c>
      <c r="BP803" s="21">
        <f t="shared" si="118"/>
        <v>0</v>
      </c>
      <c r="BQ803" s="14">
        <f t="shared" si="119"/>
        <v>0</v>
      </c>
      <c r="BR803" s="22" t="str">
        <f>IF(OR(AND(X803="Mourões", BQ803&gt;=6.5),AND(X803="Postes", BQ803&gt;=9.6),AND(X803="Dormentes", BQ803&gt;=9.6),AND(X803="Estacas - Solo", BQ803&gt;=6.5),AND(X803="Estacas - Suspenso", BQ803&gt;=4),AND(X803="Cruzetas", BQ803&gt;=6.5),AND(X803="Outros - Solo", BQ803&gt;=6.5),AND(X803="Outros - Suspenso",BQ803&gt;=4),AND(X803="Deck",BQ803&gt;=4)),'Listas suspensas'!$C$21,'Listas suspensas'!$C$22)</f>
        <v>Os resultados da análise química apresentaram uma retenção do produto inferior ao padrão mínimo exigido pela norma ABNT NBR 16143</v>
      </c>
    </row>
    <row r="804" spans="25:70" x14ac:dyDescent="0.25">
      <c r="Y804" s="34" t="str">
        <f>IF(X804='Listas suspensas'!$A$21,'Listas suspensas'!$B$23,IF(X804='Listas suspensas'!$A$22,'Listas suspensas'!$B$23,IF(X804='Listas suspensas'!$A$23,'Listas suspensas'!$B$22,IF(X804='Listas suspensas'!$A$26,'Listas suspensas'!$B$22,IF(X804='Listas suspensas'!$A$32,'Listas suspensas'!$B$22,IF(X804='Listas suspensas'!$A$33,'Listas suspensas'!$B$21,IF(X804='Listas suspensas'!$A$24,'Listas suspensas'!$B$22,IF(X804='Listas suspensas'!$A$25,'Listas suspensas'!$B$21,IF(X804='Listas suspensas'!$A$30,'Listas suspensas'!$B$21,"")))))))))</f>
        <v/>
      </c>
      <c r="AB804" s="8" t="str">
        <f>IF(AA804='Listas suspensas'!$A$2,'Listas suspensas'!$B$2,IF(AA804='Listas suspensas'!$A$3,'Listas suspensas'!$B$3,IF(AA804='Listas suspensas'!$A$4,'Listas suspensas'!$B$4,IF(AA804='Listas suspensas'!$A$5,'Listas suspensas'!$B$5,IF(AA804='Listas suspensas'!$A$6,'Listas suspensas'!$B$6,"")))))</f>
        <v/>
      </c>
      <c r="AC804" s="8" t="str">
        <f>IF(AA804='Listas suspensas'!$A$2,'Listas suspensas'!$C$2,IF(AA804='Listas suspensas'!$A$3,'Listas suspensas'!$C$3,IF(AA804='Listas suspensas'!$A$4,'Listas suspensas'!$C$4,IF(AA804='Listas suspensas'!$A$5,'Listas suspensas'!$C$5,IF(AA804='Listas suspensas'!$A$6,'Listas suspensas'!$C$6,"")))))</f>
        <v/>
      </c>
      <c r="BE804" s="18">
        <f t="shared" si="120"/>
        <v>0</v>
      </c>
      <c r="BI804" s="13">
        <f t="shared" si="121"/>
        <v>0</v>
      </c>
      <c r="BM804" s="16">
        <f t="shared" si="115"/>
        <v>0</v>
      </c>
      <c r="BN804" s="21">
        <f t="shared" si="116"/>
        <v>0</v>
      </c>
      <c r="BO804" s="21">
        <f t="shared" si="117"/>
        <v>0</v>
      </c>
      <c r="BP804" s="21">
        <f t="shared" si="118"/>
        <v>0</v>
      </c>
      <c r="BQ804" s="14">
        <f t="shared" si="119"/>
        <v>0</v>
      </c>
      <c r="BR804" s="22" t="str">
        <f>IF(OR(AND(X804="Mourões", BQ804&gt;=6.5),AND(X804="Postes", BQ804&gt;=9.6),AND(X804="Dormentes", BQ804&gt;=9.6),AND(X804="Estacas - Solo", BQ804&gt;=6.5),AND(X804="Estacas - Suspenso", BQ804&gt;=4),AND(X804="Cruzetas", BQ804&gt;=6.5),AND(X804="Outros - Solo", BQ804&gt;=6.5),AND(X804="Outros - Suspenso",BQ804&gt;=4),AND(X804="Deck",BQ804&gt;=4)),'Listas suspensas'!$C$21,'Listas suspensas'!$C$22)</f>
        <v>Os resultados da análise química apresentaram uma retenção do produto inferior ao padrão mínimo exigido pela norma ABNT NBR 16143</v>
      </c>
    </row>
    <row r="805" spans="25:70" x14ac:dyDescent="0.25">
      <c r="Y805" s="34" t="str">
        <f>IF(X805='Listas suspensas'!$A$21,'Listas suspensas'!$B$23,IF(X805='Listas suspensas'!$A$22,'Listas suspensas'!$B$23,IF(X805='Listas suspensas'!$A$23,'Listas suspensas'!$B$22,IF(X805='Listas suspensas'!$A$26,'Listas suspensas'!$B$22,IF(X805='Listas suspensas'!$A$32,'Listas suspensas'!$B$22,IF(X805='Listas suspensas'!$A$33,'Listas suspensas'!$B$21,IF(X805='Listas suspensas'!$A$24,'Listas suspensas'!$B$22,IF(X805='Listas suspensas'!$A$25,'Listas suspensas'!$B$21,IF(X805='Listas suspensas'!$A$30,'Listas suspensas'!$B$21,"")))))))))</f>
        <v/>
      </c>
      <c r="AB805" s="8" t="str">
        <f>IF(AA805='Listas suspensas'!$A$2,'Listas suspensas'!$B$2,IF(AA805='Listas suspensas'!$A$3,'Listas suspensas'!$B$3,IF(AA805='Listas suspensas'!$A$4,'Listas suspensas'!$B$4,IF(AA805='Listas suspensas'!$A$5,'Listas suspensas'!$B$5,IF(AA805='Listas suspensas'!$A$6,'Listas suspensas'!$B$6,"")))))</f>
        <v/>
      </c>
      <c r="AC805" s="8" t="str">
        <f>IF(AA805='Listas suspensas'!$A$2,'Listas suspensas'!$C$2,IF(AA805='Listas suspensas'!$A$3,'Listas suspensas'!$C$3,IF(AA805='Listas suspensas'!$A$4,'Listas suspensas'!$C$4,IF(AA805='Listas suspensas'!$A$5,'Listas suspensas'!$C$5,IF(AA805='Listas suspensas'!$A$6,'Listas suspensas'!$C$6,"")))))</f>
        <v/>
      </c>
      <c r="BE805" s="18">
        <f t="shared" si="120"/>
        <v>0</v>
      </c>
      <c r="BI805" s="13">
        <f t="shared" si="121"/>
        <v>0</v>
      </c>
      <c r="BM805" s="16">
        <f t="shared" si="115"/>
        <v>0</v>
      </c>
      <c r="BN805" s="21">
        <f t="shared" si="116"/>
        <v>0</v>
      </c>
      <c r="BO805" s="21">
        <f t="shared" si="117"/>
        <v>0</v>
      </c>
      <c r="BP805" s="21">
        <f t="shared" si="118"/>
        <v>0</v>
      </c>
      <c r="BQ805" s="14">
        <f t="shared" si="119"/>
        <v>0</v>
      </c>
      <c r="BR805" s="22" t="str">
        <f>IF(OR(AND(X805="Mourões", BQ805&gt;=6.5),AND(X805="Postes", BQ805&gt;=9.6),AND(X805="Dormentes", BQ805&gt;=9.6),AND(X805="Estacas - Solo", BQ805&gt;=6.5),AND(X805="Estacas - Suspenso", BQ805&gt;=4),AND(X805="Cruzetas", BQ805&gt;=6.5),AND(X805="Outros - Solo", BQ805&gt;=6.5),AND(X805="Outros - Suspenso",BQ805&gt;=4),AND(X805="Deck",BQ805&gt;=4)),'Listas suspensas'!$C$21,'Listas suspensas'!$C$22)</f>
        <v>Os resultados da análise química apresentaram uma retenção do produto inferior ao padrão mínimo exigido pela norma ABNT NBR 16143</v>
      </c>
    </row>
    <row r="806" spans="25:70" x14ac:dyDescent="0.25">
      <c r="Y806" s="34" t="str">
        <f>IF(X806='Listas suspensas'!$A$21,'Listas suspensas'!$B$23,IF(X806='Listas suspensas'!$A$22,'Listas suspensas'!$B$23,IF(X806='Listas suspensas'!$A$23,'Listas suspensas'!$B$22,IF(X806='Listas suspensas'!$A$26,'Listas suspensas'!$B$22,IF(X806='Listas suspensas'!$A$32,'Listas suspensas'!$B$22,IF(X806='Listas suspensas'!$A$33,'Listas suspensas'!$B$21,IF(X806='Listas suspensas'!$A$24,'Listas suspensas'!$B$22,IF(X806='Listas suspensas'!$A$25,'Listas suspensas'!$B$21,IF(X806='Listas suspensas'!$A$30,'Listas suspensas'!$B$21,"")))))))))</f>
        <v/>
      </c>
      <c r="AB806" s="8" t="str">
        <f>IF(AA806='Listas suspensas'!$A$2,'Listas suspensas'!$B$2,IF(AA806='Listas suspensas'!$A$3,'Listas suspensas'!$B$3,IF(AA806='Listas suspensas'!$A$4,'Listas suspensas'!$B$4,IF(AA806='Listas suspensas'!$A$5,'Listas suspensas'!$B$5,IF(AA806='Listas suspensas'!$A$6,'Listas suspensas'!$B$6,"")))))</f>
        <v/>
      </c>
      <c r="AC806" s="8" t="str">
        <f>IF(AA806='Listas suspensas'!$A$2,'Listas suspensas'!$C$2,IF(AA806='Listas suspensas'!$A$3,'Listas suspensas'!$C$3,IF(AA806='Listas suspensas'!$A$4,'Listas suspensas'!$C$4,IF(AA806='Listas suspensas'!$A$5,'Listas suspensas'!$C$5,IF(AA806='Listas suspensas'!$A$6,'Listas suspensas'!$C$6,"")))))</f>
        <v/>
      </c>
      <c r="BE806" s="18">
        <f t="shared" si="120"/>
        <v>0</v>
      </c>
      <c r="BI806" s="13">
        <f t="shared" si="121"/>
        <v>0</v>
      </c>
      <c r="BM806" s="16">
        <f t="shared" si="115"/>
        <v>0</v>
      </c>
      <c r="BN806" s="21">
        <f t="shared" si="116"/>
        <v>0</v>
      </c>
      <c r="BO806" s="21">
        <f t="shared" si="117"/>
        <v>0</v>
      </c>
      <c r="BP806" s="21">
        <f t="shared" si="118"/>
        <v>0</v>
      </c>
      <c r="BQ806" s="14">
        <f t="shared" si="119"/>
        <v>0</v>
      </c>
      <c r="BR806" s="22" t="str">
        <f>IF(OR(AND(X806="Mourões", BQ806&gt;=6.5),AND(X806="Postes", BQ806&gt;=9.6),AND(X806="Dormentes", BQ806&gt;=9.6),AND(X806="Estacas - Solo", BQ806&gt;=6.5),AND(X806="Estacas - Suspenso", BQ806&gt;=4),AND(X806="Cruzetas", BQ806&gt;=6.5),AND(X806="Outros - Solo", BQ806&gt;=6.5),AND(X806="Outros - Suspenso",BQ806&gt;=4),AND(X806="Deck",BQ806&gt;=4)),'Listas suspensas'!$C$21,'Listas suspensas'!$C$22)</f>
        <v>Os resultados da análise química apresentaram uma retenção do produto inferior ao padrão mínimo exigido pela norma ABNT NBR 16143</v>
      </c>
    </row>
    <row r="807" spans="25:70" x14ac:dyDescent="0.25">
      <c r="Y807" s="34" t="str">
        <f>IF(X807='Listas suspensas'!$A$21,'Listas suspensas'!$B$23,IF(X807='Listas suspensas'!$A$22,'Listas suspensas'!$B$23,IF(X807='Listas suspensas'!$A$23,'Listas suspensas'!$B$22,IF(X807='Listas suspensas'!$A$26,'Listas suspensas'!$B$22,IF(X807='Listas suspensas'!$A$32,'Listas suspensas'!$B$22,IF(X807='Listas suspensas'!$A$33,'Listas suspensas'!$B$21,IF(X807='Listas suspensas'!$A$24,'Listas suspensas'!$B$22,IF(X807='Listas suspensas'!$A$25,'Listas suspensas'!$B$21,IF(X807='Listas suspensas'!$A$30,'Listas suspensas'!$B$21,"")))))))))</f>
        <v/>
      </c>
      <c r="AB807" s="8" t="str">
        <f>IF(AA807='Listas suspensas'!$A$2,'Listas suspensas'!$B$2,IF(AA807='Listas suspensas'!$A$3,'Listas suspensas'!$B$3,IF(AA807='Listas suspensas'!$A$4,'Listas suspensas'!$B$4,IF(AA807='Listas suspensas'!$A$5,'Listas suspensas'!$B$5,IF(AA807='Listas suspensas'!$A$6,'Listas suspensas'!$B$6,"")))))</f>
        <v/>
      </c>
      <c r="AC807" s="8" t="str">
        <f>IF(AA807='Listas suspensas'!$A$2,'Listas suspensas'!$C$2,IF(AA807='Listas suspensas'!$A$3,'Listas suspensas'!$C$3,IF(AA807='Listas suspensas'!$A$4,'Listas suspensas'!$C$4,IF(AA807='Listas suspensas'!$A$5,'Listas suspensas'!$C$5,IF(AA807='Listas suspensas'!$A$6,'Listas suspensas'!$C$6,"")))))</f>
        <v/>
      </c>
      <c r="BE807" s="18">
        <f t="shared" si="120"/>
        <v>0</v>
      </c>
      <c r="BI807" s="13">
        <f t="shared" si="121"/>
        <v>0</v>
      </c>
      <c r="BM807" s="16">
        <f t="shared" si="115"/>
        <v>0</v>
      </c>
      <c r="BN807" s="21">
        <f t="shared" si="116"/>
        <v>0</v>
      </c>
      <c r="BO807" s="21">
        <f t="shared" si="117"/>
        <v>0</v>
      </c>
      <c r="BP807" s="21">
        <f t="shared" si="118"/>
        <v>0</v>
      </c>
      <c r="BQ807" s="14">
        <f t="shared" si="119"/>
        <v>0</v>
      </c>
      <c r="BR807" s="22" t="str">
        <f>IF(OR(AND(X807="Mourões", BQ807&gt;=6.5),AND(X807="Postes", BQ807&gt;=9.6),AND(X807="Dormentes", BQ807&gt;=9.6),AND(X807="Estacas - Solo", BQ807&gt;=6.5),AND(X807="Estacas - Suspenso", BQ807&gt;=4),AND(X807="Cruzetas", BQ807&gt;=6.5),AND(X807="Outros - Solo", BQ807&gt;=6.5),AND(X807="Outros - Suspenso",BQ807&gt;=4),AND(X807="Deck",BQ807&gt;=4)),'Listas suspensas'!$C$21,'Listas suspensas'!$C$22)</f>
        <v>Os resultados da análise química apresentaram uma retenção do produto inferior ao padrão mínimo exigido pela norma ABNT NBR 16143</v>
      </c>
    </row>
    <row r="808" spans="25:70" x14ac:dyDescent="0.25">
      <c r="Y808" s="34" t="str">
        <f>IF(X808='Listas suspensas'!$A$21,'Listas suspensas'!$B$23,IF(X808='Listas suspensas'!$A$22,'Listas suspensas'!$B$23,IF(X808='Listas suspensas'!$A$23,'Listas suspensas'!$B$22,IF(X808='Listas suspensas'!$A$26,'Listas suspensas'!$B$22,IF(X808='Listas suspensas'!$A$32,'Listas suspensas'!$B$22,IF(X808='Listas suspensas'!$A$33,'Listas suspensas'!$B$21,IF(X808='Listas suspensas'!$A$24,'Listas suspensas'!$B$22,IF(X808='Listas suspensas'!$A$25,'Listas suspensas'!$B$21,IF(X808='Listas suspensas'!$A$30,'Listas suspensas'!$B$21,"")))))))))</f>
        <v/>
      </c>
      <c r="AB808" s="8" t="str">
        <f>IF(AA808='Listas suspensas'!$A$2,'Listas suspensas'!$B$2,IF(AA808='Listas suspensas'!$A$3,'Listas suspensas'!$B$3,IF(AA808='Listas suspensas'!$A$4,'Listas suspensas'!$B$4,IF(AA808='Listas suspensas'!$A$5,'Listas suspensas'!$B$5,IF(AA808='Listas suspensas'!$A$6,'Listas suspensas'!$B$6,"")))))</f>
        <v/>
      </c>
      <c r="AC808" s="8" t="str">
        <f>IF(AA808='Listas suspensas'!$A$2,'Listas suspensas'!$C$2,IF(AA808='Listas suspensas'!$A$3,'Listas suspensas'!$C$3,IF(AA808='Listas suspensas'!$A$4,'Listas suspensas'!$C$4,IF(AA808='Listas suspensas'!$A$5,'Listas suspensas'!$C$5,IF(AA808='Listas suspensas'!$A$6,'Listas suspensas'!$C$6,"")))))</f>
        <v/>
      </c>
      <c r="BE808" s="18">
        <f t="shared" si="120"/>
        <v>0</v>
      </c>
      <c r="BI808" s="13">
        <f t="shared" si="121"/>
        <v>0</v>
      </c>
      <c r="BM808" s="16">
        <f t="shared" ref="BM808:BM841" si="122">ROUND(SUM(BJ808:BL808),2)</f>
        <v>0</v>
      </c>
      <c r="BN808" s="21">
        <f t="shared" ref="BN808:BN841" si="123">ROUND((BF808/100)*BE808,2)</f>
        <v>0</v>
      </c>
      <c r="BO808" s="21">
        <f t="shared" ref="BO808:BO841" si="124">ROUND((BG808/100)*BE808,2)</f>
        <v>0</v>
      </c>
      <c r="BP808" s="21">
        <f t="shared" ref="BP808:BP841" si="125">ROUND((BH808/100)*BE808,2)</f>
        <v>0</v>
      </c>
      <c r="BQ808" s="14">
        <f t="shared" ref="BQ808:BQ841" si="126">ROUND(SUM(BN808:BP808),2)</f>
        <v>0</v>
      </c>
      <c r="BR808" s="22" t="str">
        <f>IF(OR(AND(X808="Mourões", BQ808&gt;=6.5),AND(X808="Postes", BQ808&gt;=9.6),AND(X808="Dormentes", BQ808&gt;=9.6),AND(X808="Estacas - Solo", BQ808&gt;=6.5),AND(X808="Estacas - Suspenso", BQ808&gt;=4),AND(X808="Cruzetas", BQ808&gt;=6.5),AND(X808="Outros - Solo", BQ808&gt;=6.5),AND(X808="Outros - Suspenso",BQ808&gt;=4),AND(X808="Deck",BQ808&gt;=4)),'Listas suspensas'!$C$21,'Listas suspensas'!$C$22)</f>
        <v>Os resultados da análise química apresentaram uma retenção do produto inferior ao padrão mínimo exigido pela norma ABNT NBR 16143</v>
      </c>
    </row>
    <row r="809" spans="25:70" x14ac:dyDescent="0.25">
      <c r="Y809" s="34" t="str">
        <f>IF(X809='Listas suspensas'!$A$21,'Listas suspensas'!$B$23,IF(X809='Listas suspensas'!$A$22,'Listas suspensas'!$B$23,IF(X809='Listas suspensas'!$A$23,'Listas suspensas'!$B$22,IF(X809='Listas suspensas'!$A$26,'Listas suspensas'!$B$22,IF(X809='Listas suspensas'!$A$32,'Listas suspensas'!$B$22,IF(X809='Listas suspensas'!$A$33,'Listas suspensas'!$B$21,IF(X809='Listas suspensas'!$A$24,'Listas suspensas'!$B$22,IF(X809='Listas suspensas'!$A$25,'Listas suspensas'!$B$21,IF(X809='Listas suspensas'!$A$30,'Listas suspensas'!$B$21,"")))))))))</f>
        <v/>
      </c>
      <c r="AB809" s="8" t="str">
        <f>IF(AA809='Listas suspensas'!$A$2,'Listas suspensas'!$B$2,IF(AA809='Listas suspensas'!$A$3,'Listas suspensas'!$B$3,IF(AA809='Listas suspensas'!$A$4,'Listas suspensas'!$B$4,IF(AA809='Listas suspensas'!$A$5,'Listas suspensas'!$B$5,IF(AA809='Listas suspensas'!$A$6,'Listas suspensas'!$B$6,"")))))</f>
        <v/>
      </c>
      <c r="AC809" s="8" t="str">
        <f>IF(AA809='Listas suspensas'!$A$2,'Listas suspensas'!$C$2,IF(AA809='Listas suspensas'!$A$3,'Listas suspensas'!$C$3,IF(AA809='Listas suspensas'!$A$4,'Listas suspensas'!$C$4,IF(AA809='Listas suspensas'!$A$5,'Listas suspensas'!$C$5,IF(AA809='Listas suspensas'!$A$6,'Listas suspensas'!$C$6,"")))))</f>
        <v/>
      </c>
      <c r="BE809" s="18">
        <f t="shared" si="120"/>
        <v>0</v>
      </c>
      <c r="BI809" s="13">
        <f t="shared" si="121"/>
        <v>0</v>
      </c>
      <c r="BM809" s="16">
        <f t="shared" si="122"/>
        <v>0</v>
      </c>
      <c r="BN809" s="21">
        <f t="shared" si="123"/>
        <v>0</v>
      </c>
      <c r="BO809" s="21">
        <f t="shared" si="124"/>
        <v>0</v>
      </c>
      <c r="BP809" s="21">
        <f t="shared" si="125"/>
        <v>0</v>
      </c>
      <c r="BQ809" s="14">
        <f t="shared" si="126"/>
        <v>0</v>
      </c>
      <c r="BR809" s="22" t="str">
        <f>IF(OR(AND(X809="Mourões", BQ809&gt;=6.5),AND(X809="Postes", BQ809&gt;=9.6),AND(X809="Dormentes", BQ809&gt;=9.6),AND(X809="Estacas - Solo", BQ809&gt;=6.5),AND(X809="Estacas - Suspenso", BQ809&gt;=4),AND(X809="Cruzetas", BQ809&gt;=6.5),AND(X809="Outros - Solo", BQ809&gt;=6.5),AND(X809="Outros - Suspenso",BQ809&gt;=4),AND(X809="Deck",BQ809&gt;=4)),'Listas suspensas'!$C$21,'Listas suspensas'!$C$22)</f>
        <v>Os resultados da análise química apresentaram uma retenção do produto inferior ao padrão mínimo exigido pela norma ABNT NBR 16143</v>
      </c>
    </row>
    <row r="810" spans="25:70" x14ac:dyDescent="0.25">
      <c r="Y810" s="34" t="str">
        <f>IF(X810='Listas suspensas'!$A$21,'Listas suspensas'!$B$23,IF(X810='Listas suspensas'!$A$22,'Listas suspensas'!$B$23,IF(X810='Listas suspensas'!$A$23,'Listas suspensas'!$B$22,IF(X810='Listas suspensas'!$A$26,'Listas suspensas'!$B$22,IF(X810='Listas suspensas'!$A$32,'Listas suspensas'!$B$22,IF(X810='Listas suspensas'!$A$33,'Listas suspensas'!$B$21,IF(X810='Listas suspensas'!$A$24,'Listas suspensas'!$B$22,IF(X810='Listas suspensas'!$A$25,'Listas suspensas'!$B$21,IF(X810='Listas suspensas'!$A$30,'Listas suspensas'!$B$21,"")))))))))</f>
        <v/>
      </c>
      <c r="AB810" s="8" t="str">
        <f>IF(AA810='Listas suspensas'!$A$2,'Listas suspensas'!$B$2,IF(AA810='Listas suspensas'!$A$3,'Listas suspensas'!$B$3,IF(AA810='Listas suspensas'!$A$4,'Listas suspensas'!$B$4,IF(AA810='Listas suspensas'!$A$5,'Listas suspensas'!$B$5,IF(AA810='Listas suspensas'!$A$6,'Listas suspensas'!$B$6,"")))))</f>
        <v/>
      </c>
      <c r="AC810" s="8" t="str">
        <f>IF(AA810='Listas suspensas'!$A$2,'Listas suspensas'!$C$2,IF(AA810='Listas suspensas'!$A$3,'Listas suspensas'!$C$3,IF(AA810='Listas suspensas'!$A$4,'Listas suspensas'!$C$4,IF(AA810='Listas suspensas'!$A$5,'Listas suspensas'!$C$5,IF(AA810='Listas suspensas'!$A$6,'Listas suspensas'!$C$6,"")))))</f>
        <v/>
      </c>
      <c r="BE810" s="18">
        <f t="shared" si="120"/>
        <v>0</v>
      </c>
      <c r="BI810" s="13">
        <f t="shared" si="121"/>
        <v>0</v>
      </c>
      <c r="BM810" s="16">
        <f t="shared" si="122"/>
        <v>0</v>
      </c>
      <c r="BN810" s="21">
        <f t="shared" si="123"/>
        <v>0</v>
      </c>
      <c r="BO810" s="21">
        <f t="shared" si="124"/>
        <v>0</v>
      </c>
      <c r="BP810" s="21">
        <f t="shared" si="125"/>
        <v>0</v>
      </c>
      <c r="BQ810" s="14">
        <f t="shared" si="126"/>
        <v>0</v>
      </c>
      <c r="BR810" s="22" t="str">
        <f>IF(OR(AND(X810="Mourões", BQ810&gt;=6.5),AND(X810="Postes", BQ810&gt;=9.6),AND(X810="Dormentes", BQ810&gt;=9.6),AND(X810="Estacas - Solo", BQ810&gt;=6.5),AND(X810="Estacas - Suspenso", BQ810&gt;=4),AND(X810="Cruzetas", BQ810&gt;=6.5),AND(X810="Outros - Solo", BQ810&gt;=6.5),AND(X810="Outros - Suspenso",BQ810&gt;=4),AND(X810="Deck",BQ810&gt;=4)),'Listas suspensas'!$C$21,'Listas suspensas'!$C$22)</f>
        <v>Os resultados da análise química apresentaram uma retenção do produto inferior ao padrão mínimo exigido pela norma ABNT NBR 16143</v>
      </c>
    </row>
    <row r="811" spans="25:70" x14ac:dyDescent="0.25">
      <c r="Y811" s="34" t="str">
        <f>IF(X811='Listas suspensas'!$A$21,'Listas suspensas'!$B$23,IF(X811='Listas suspensas'!$A$22,'Listas suspensas'!$B$23,IF(X811='Listas suspensas'!$A$23,'Listas suspensas'!$B$22,IF(X811='Listas suspensas'!$A$26,'Listas suspensas'!$B$22,IF(X811='Listas suspensas'!$A$32,'Listas suspensas'!$B$22,IF(X811='Listas suspensas'!$A$33,'Listas suspensas'!$B$21,IF(X811='Listas suspensas'!$A$24,'Listas suspensas'!$B$22,IF(X811='Listas suspensas'!$A$25,'Listas suspensas'!$B$21,IF(X811='Listas suspensas'!$A$30,'Listas suspensas'!$B$21,"")))))))))</f>
        <v/>
      </c>
      <c r="AB811" s="8" t="str">
        <f>IF(AA811='Listas suspensas'!$A$2,'Listas suspensas'!$B$2,IF(AA811='Listas suspensas'!$A$3,'Listas suspensas'!$B$3,IF(AA811='Listas suspensas'!$A$4,'Listas suspensas'!$B$4,IF(AA811='Listas suspensas'!$A$5,'Listas suspensas'!$B$5,IF(AA811='Listas suspensas'!$A$6,'Listas suspensas'!$B$6,"")))))</f>
        <v/>
      </c>
      <c r="AC811" s="8" t="str">
        <f>IF(AA811='Listas suspensas'!$A$2,'Listas suspensas'!$C$2,IF(AA811='Listas suspensas'!$A$3,'Listas suspensas'!$C$3,IF(AA811='Listas suspensas'!$A$4,'Listas suspensas'!$C$4,IF(AA811='Listas suspensas'!$A$5,'Listas suspensas'!$C$5,IF(AA811='Listas suspensas'!$A$6,'Listas suspensas'!$C$6,"")))))</f>
        <v/>
      </c>
      <c r="BE811" s="18">
        <f t="shared" si="120"/>
        <v>0</v>
      </c>
      <c r="BI811" s="13">
        <f t="shared" si="121"/>
        <v>0</v>
      </c>
      <c r="BM811" s="16">
        <f t="shared" si="122"/>
        <v>0</v>
      </c>
      <c r="BN811" s="21">
        <f t="shared" si="123"/>
        <v>0</v>
      </c>
      <c r="BO811" s="21">
        <f t="shared" si="124"/>
        <v>0</v>
      </c>
      <c r="BP811" s="21">
        <f t="shared" si="125"/>
        <v>0</v>
      </c>
      <c r="BQ811" s="14">
        <f t="shared" si="126"/>
        <v>0</v>
      </c>
      <c r="BR811" s="22" t="str">
        <f>IF(OR(AND(X811="Mourões", BQ811&gt;=6.5),AND(X811="Postes", BQ811&gt;=9.6),AND(X811="Dormentes", BQ811&gt;=9.6),AND(X811="Estacas - Solo", BQ811&gt;=6.5),AND(X811="Estacas - Suspenso", BQ811&gt;=4),AND(X811="Cruzetas", BQ811&gt;=6.5),AND(X811="Outros - Solo", BQ811&gt;=6.5),AND(X811="Outros - Suspenso",BQ811&gt;=4),AND(X811="Deck",BQ811&gt;=4)),'Listas suspensas'!$C$21,'Listas suspensas'!$C$22)</f>
        <v>Os resultados da análise química apresentaram uma retenção do produto inferior ao padrão mínimo exigido pela norma ABNT NBR 16143</v>
      </c>
    </row>
    <row r="812" spans="25:70" x14ac:dyDescent="0.25">
      <c r="Y812" s="34" t="str">
        <f>IF(X812='Listas suspensas'!$A$21,'Listas suspensas'!$B$23,IF(X812='Listas suspensas'!$A$22,'Listas suspensas'!$B$23,IF(X812='Listas suspensas'!$A$23,'Listas suspensas'!$B$22,IF(X812='Listas suspensas'!$A$26,'Listas suspensas'!$B$22,IF(X812='Listas suspensas'!$A$32,'Listas suspensas'!$B$22,IF(X812='Listas suspensas'!$A$33,'Listas suspensas'!$B$21,IF(X812='Listas suspensas'!$A$24,'Listas suspensas'!$B$22,IF(X812='Listas suspensas'!$A$25,'Listas suspensas'!$B$21,IF(X812='Listas suspensas'!$A$30,'Listas suspensas'!$B$21,"")))))))))</f>
        <v/>
      </c>
      <c r="AB812" s="8" t="str">
        <f>IF(AA812='Listas suspensas'!$A$2,'Listas suspensas'!$B$2,IF(AA812='Listas suspensas'!$A$3,'Listas suspensas'!$B$3,IF(AA812='Listas suspensas'!$A$4,'Listas suspensas'!$B$4,IF(AA812='Listas suspensas'!$A$5,'Listas suspensas'!$B$5,IF(AA812='Listas suspensas'!$A$6,'Listas suspensas'!$B$6,"")))))</f>
        <v/>
      </c>
      <c r="AC812" s="8" t="str">
        <f>IF(AA812='Listas suspensas'!$A$2,'Listas suspensas'!$C$2,IF(AA812='Listas suspensas'!$A$3,'Listas suspensas'!$C$3,IF(AA812='Listas suspensas'!$A$4,'Listas suspensas'!$C$4,IF(AA812='Listas suspensas'!$A$5,'Listas suspensas'!$C$5,IF(AA812='Listas suspensas'!$A$6,'Listas suspensas'!$C$6,"")))))</f>
        <v/>
      </c>
      <c r="BE812" s="18">
        <f t="shared" si="120"/>
        <v>0</v>
      </c>
      <c r="BI812" s="13">
        <f t="shared" si="121"/>
        <v>0</v>
      </c>
      <c r="BM812" s="16">
        <f t="shared" si="122"/>
        <v>0</v>
      </c>
      <c r="BN812" s="21">
        <f t="shared" si="123"/>
        <v>0</v>
      </c>
      <c r="BO812" s="21">
        <f t="shared" si="124"/>
        <v>0</v>
      </c>
      <c r="BP812" s="21">
        <f t="shared" si="125"/>
        <v>0</v>
      </c>
      <c r="BQ812" s="14">
        <f t="shared" si="126"/>
        <v>0</v>
      </c>
      <c r="BR812" s="22" t="str">
        <f>IF(OR(AND(X812="Mourões", BQ812&gt;=6.5),AND(X812="Postes", BQ812&gt;=9.6),AND(X812="Dormentes", BQ812&gt;=9.6),AND(X812="Estacas - Solo", BQ812&gt;=6.5),AND(X812="Estacas - Suspenso", BQ812&gt;=4),AND(X812="Cruzetas", BQ812&gt;=6.5),AND(X812="Outros - Solo", BQ812&gt;=6.5),AND(X812="Outros - Suspenso",BQ812&gt;=4),AND(X812="Deck",BQ812&gt;=4)),'Listas suspensas'!$C$21,'Listas suspensas'!$C$22)</f>
        <v>Os resultados da análise química apresentaram uma retenção do produto inferior ao padrão mínimo exigido pela norma ABNT NBR 16143</v>
      </c>
    </row>
    <row r="813" spans="25:70" x14ac:dyDescent="0.25">
      <c r="Y813" s="34" t="str">
        <f>IF(X813='Listas suspensas'!$A$21,'Listas suspensas'!$B$23,IF(X813='Listas suspensas'!$A$22,'Listas suspensas'!$B$23,IF(X813='Listas suspensas'!$A$23,'Listas suspensas'!$B$22,IF(X813='Listas suspensas'!$A$26,'Listas suspensas'!$B$22,IF(X813='Listas suspensas'!$A$32,'Listas suspensas'!$B$22,IF(X813='Listas suspensas'!$A$33,'Listas suspensas'!$B$21,IF(X813='Listas suspensas'!$A$24,'Listas suspensas'!$B$22,IF(X813='Listas suspensas'!$A$25,'Listas suspensas'!$B$21,IF(X813='Listas suspensas'!$A$30,'Listas suspensas'!$B$21,"")))))))))</f>
        <v/>
      </c>
      <c r="AB813" s="8" t="str">
        <f>IF(AA813='Listas suspensas'!$A$2,'Listas suspensas'!$B$2,IF(AA813='Listas suspensas'!$A$3,'Listas suspensas'!$B$3,IF(AA813='Listas suspensas'!$A$4,'Listas suspensas'!$B$4,IF(AA813='Listas suspensas'!$A$5,'Listas suspensas'!$B$5,IF(AA813='Listas suspensas'!$A$6,'Listas suspensas'!$B$6,"")))))</f>
        <v/>
      </c>
      <c r="AC813" s="8" t="str">
        <f>IF(AA813='Listas suspensas'!$A$2,'Listas suspensas'!$C$2,IF(AA813='Listas suspensas'!$A$3,'Listas suspensas'!$C$3,IF(AA813='Listas suspensas'!$A$4,'Listas suspensas'!$C$4,IF(AA813='Listas suspensas'!$A$5,'Listas suspensas'!$C$5,IF(AA813='Listas suspensas'!$A$6,'Listas suspensas'!$C$6,"")))))</f>
        <v/>
      </c>
      <c r="BE813" s="18">
        <f t="shared" si="120"/>
        <v>0</v>
      </c>
      <c r="BI813" s="13">
        <f t="shared" si="121"/>
        <v>0</v>
      </c>
      <c r="BM813" s="16">
        <f t="shared" si="122"/>
        <v>0</v>
      </c>
      <c r="BN813" s="21">
        <f t="shared" si="123"/>
        <v>0</v>
      </c>
      <c r="BO813" s="21">
        <f t="shared" si="124"/>
        <v>0</v>
      </c>
      <c r="BP813" s="21">
        <f t="shared" si="125"/>
        <v>0</v>
      </c>
      <c r="BQ813" s="14">
        <f t="shared" si="126"/>
        <v>0</v>
      </c>
      <c r="BR813" s="22" t="str">
        <f>IF(OR(AND(X813="Mourões", BQ813&gt;=6.5),AND(X813="Postes", BQ813&gt;=9.6),AND(X813="Dormentes", BQ813&gt;=9.6),AND(X813="Estacas - Solo", BQ813&gt;=6.5),AND(X813="Estacas - Suspenso", BQ813&gt;=4),AND(X813="Cruzetas", BQ813&gt;=6.5),AND(X813="Outros - Solo", BQ813&gt;=6.5),AND(X813="Outros - Suspenso",BQ813&gt;=4),AND(X813="Deck",BQ813&gt;=4)),'Listas suspensas'!$C$21,'Listas suspensas'!$C$22)</f>
        <v>Os resultados da análise química apresentaram uma retenção do produto inferior ao padrão mínimo exigido pela norma ABNT NBR 16143</v>
      </c>
    </row>
    <row r="814" spans="25:70" x14ac:dyDescent="0.25">
      <c r="Y814" s="34" t="str">
        <f>IF(X814='Listas suspensas'!$A$21,'Listas suspensas'!$B$23,IF(X814='Listas suspensas'!$A$22,'Listas suspensas'!$B$23,IF(X814='Listas suspensas'!$A$23,'Listas suspensas'!$B$22,IF(X814='Listas suspensas'!$A$26,'Listas suspensas'!$B$22,IF(X814='Listas suspensas'!$A$32,'Listas suspensas'!$B$22,IF(X814='Listas suspensas'!$A$33,'Listas suspensas'!$B$21,IF(X814='Listas suspensas'!$A$24,'Listas suspensas'!$B$22,IF(X814='Listas suspensas'!$A$25,'Listas suspensas'!$B$21,IF(X814='Listas suspensas'!$A$30,'Listas suspensas'!$B$21,"")))))))))</f>
        <v/>
      </c>
      <c r="AB814" s="8" t="str">
        <f>IF(AA814='Listas suspensas'!$A$2,'Listas suspensas'!$B$2,IF(AA814='Listas suspensas'!$A$3,'Listas suspensas'!$B$3,IF(AA814='Listas suspensas'!$A$4,'Listas suspensas'!$B$4,IF(AA814='Listas suspensas'!$A$5,'Listas suspensas'!$B$5,IF(AA814='Listas suspensas'!$A$6,'Listas suspensas'!$B$6,"")))))</f>
        <v/>
      </c>
      <c r="AC814" s="8" t="str">
        <f>IF(AA814='Listas suspensas'!$A$2,'Listas suspensas'!$C$2,IF(AA814='Listas suspensas'!$A$3,'Listas suspensas'!$C$3,IF(AA814='Listas suspensas'!$A$4,'Listas suspensas'!$C$4,IF(AA814='Listas suspensas'!$A$5,'Listas suspensas'!$C$5,IF(AA814='Listas suspensas'!$A$6,'Listas suspensas'!$C$6,"")))))</f>
        <v/>
      </c>
      <c r="BE814" s="18">
        <f t="shared" si="120"/>
        <v>0</v>
      </c>
      <c r="BI814" s="13">
        <f t="shared" si="121"/>
        <v>0</v>
      </c>
      <c r="BM814" s="16">
        <f t="shared" si="122"/>
        <v>0</v>
      </c>
      <c r="BN814" s="21">
        <f t="shared" si="123"/>
        <v>0</v>
      </c>
      <c r="BO814" s="21">
        <f t="shared" si="124"/>
        <v>0</v>
      </c>
      <c r="BP814" s="21">
        <f t="shared" si="125"/>
        <v>0</v>
      </c>
      <c r="BQ814" s="14">
        <f t="shared" si="126"/>
        <v>0</v>
      </c>
      <c r="BR814" s="22" t="str">
        <f>IF(OR(AND(X814="Mourões", BQ814&gt;=6.5),AND(X814="Postes", BQ814&gt;=9.6),AND(X814="Dormentes", BQ814&gt;=9.6),AND(X814="Estacas - Solo", BQ814&gt;=6.5),AND(X814="Estacas - Suspenso", BQ814&gt;=4),AND(X814="Cruzetas", BQ814&gt;=6.5),AND(X814="Outros - Solo", BQ814&gt;=6.5),AND(X814="Outros - Suspenso",BQ814&gt;=4),AND(X814="Deck",BQ814&gt;=4)),'Listas suspensas'!$C$21,'Listas suspensas'!$C$22)</f>
        <v>Os resultados da análise química apresentaram uma retenção do produto inferior ao padrão mínimo exigido pela norma ABNT NBR 16143</v>
      </c>
    </row>
    <row r="815" spans="25:70" x14ac:dyDescent="0.25">
      <c r="Y815" s="34" t="str">
        <f>IF(X815='Listas suspensas'!$A$21,'Listas suspensas'!$B$23,IF(X815='Listas suspensas'!$A$22,'Listas suspensas'!$B$23,IF(X815='Listas suspensas'!$A$23,'Listas suspensas'!$B$22,IF(X815='Listas suspensas'!$A$26,'Listas suspensas'!$B$22,IF(X815='Listas suspensas'!$A$32,'Listas suspensas'!$B$22,IF(X815='Listas suspensas'!$A$33,'Listas suspensas'!$B$21,IF(X815='Listas suspensas'!$A$24,'Listas suspensas'!$B$22,IF(X815='Listas suspensas'!$A$25,'Listas suspensas'!$B$21,IF(X815='Listas suspensas'!$A$30,'Listas suspensas'!$B$21,"")))))))))</f>
        <v/>
      </c>
      <c r="AB815" s="8" t="str">
        <f>IF(AA815='Listas suspensas'!$A$2,'Listas suspensas'!$B$2,IF(AA815='Listas suspensas'!$A$3,'Listas suspensas'!$B$3,IF(AA815='Listas suspensas'!$A$4,'Listas suspensas'!$B$4,IF(AA815='Listas suspensas'!$A$5,'Listas suspensas'!$B$5,IF(AA815='Listas suspensas'!$A$6,'Listas suspensas'!$B$6,"")))))</f>
        <v/>
      </c>
      <c r="AC815" s="8" t="str">
        <f>IF(AA815='Listas suspensas'!$A$2,'Listas suspensas'!$C$2,IF(AA815='Listas suspensas'!$A$3,'Listas suspensas'!$C$3,IF(AA815='Listas suspensas'!$A$4,'Listas suspensas'!$C$4,IF(AA815='Listas suspensas'!$A$5,'Listas suspensas'!$C$5,IF(AA815='Listas suspensas'!$A$6,'Listas suspensas'!$C$6,"")))))</f>
        <v/>
      </c>
      <c r="BE815" s="18">
        <f t="shared" si="120"/>
        <v>0</v>
      </c>
      <c r="BI815" s="13">
        <f t="shared" si="121"/>
        <v>0</v>
      </c>
      <c r="BM815" s="16">
        <f t="shared" si="122"/>
        <v>0</v>
      </c>
      <c r="BN815" s="21">
        <f t="shared" si="123"/>
        <v>0</v>
      </c>
      <c r="BO815" s="21">
        <f t="shared" si="124"/>
        <v>0</v>
      </c>
      <c r="BP815" s="21">
        <f t="shared" si="125"/>
        <v>0</v>
      </c>
      <c r="BQ815" s="14">
        <f t="shared" si="126"/>
        <v>0</v>
      </c>
      <c r="BR815" s="22" t="str">
        <f>IF(OR(AND(X815="Mourões", BQ815&gt;=6.5),AND(X815="Postes", BQ815&gt;=9.6),AND(X815="Dormentes", BQ815&gt;=9.6),AND(X815="Estacas - Solo", BQ815&gt;=6.5),AND(X815="Estacas - Suspenso", BQ815&gt;=4),AND(X815="Cruzetas", BQ815&gt;=6.5),AND(X815="Outros - Solo", BQ815&gt;=6.5),AND(X815="Outros - Suspenso",BQ815&gt;=4),AND(X815="Deck",BQ815&gt;=4)),'Listas suspensas'!$C$21,'Listas suspensas'!$C$22)</f>
        <v>Os resultados da análise química apresentaram uma retenção do produto inferior ao padrão mínimo exigido pela norma ABNT NBR 16143</v>
      </c>
    </row>
    <row r="816" spans="25:70" x14ac:dyDescent="0.25">
      <c r="Y816" s="34" t="str">
        <f>IF(X816='Listas suspensas'!$A$21,'Listas suspensas'!$B$23,IF(X816='Listas suspensas'!$A$22,'Listas suspensas'!$B$23,IF(X816='Listas suspensas'!$A$23,'Listas suspensas'!$B$22,IF(X816='Listas suspensas'!$A$26,'Listas suspensas'!$B$22,IF(X816='Listas suspensas'!$A$32,'Listas suspensas'!$B$22,IF(X816='Listas suspensas'!$A$33,'Listas suspensas'!$B$21,IF(X816='Listas suspensas'!$A$24,'Listas suspensas'!$B$22,IF(X816='Listas suspensas'!$A$25,'Listas suspensas'!$B$21,IF(X816='Listas suspensas'!$A$30,'Listas suspensas'!$B$21,"")))))))))</f>
        <v/>
      </c>
      <c r="AB816" s="8" t="str">
        <f>IF(AA816='Listas suspensas'!$A$2,'Listas suspensas'!$B$2,IF(AA816='Listas suspensas'!$A$3,'Listas suspensas'!$B$3,IF(AA816='Listas suspensas'!$A$4,'Listas suspensas'!$B$4,IF(AA816='Listas suspensas'!$A$5,'Listas suspensas'!$B$5,IF(AA816='Listas suspensas'!$A$6,'Listas suspensas'!$B$6,"")))))</f>
        <v/>
      </c>
      <c r="AC816" s="8" t="str">
        <f>IF(AA816='Listas suspensas'!$A$2,'Listas suspensas'!$C$2,IF(AA816='Listas suspensas'!$A$3,'Listas suspensas'!$C$3,IF(AA816='Listas suspensas'!$A$4,'Listas suspensas'!$C$4,IF(AA816='Listas suspensas'!$A$5,'Listas suspensas'!$C$5,IF(AA816='Listas suspensas'!$A$6,'Listas suspensas'!$C$6,"")))))</f>
        <v/>
      </c>
      <c r="BE816" s="18">
        <f t="shared" si="120"/>
        <v>0</v>
      </c>
      <c r="BI816" s="13">
        <f t="shared" si="121"/>
        <v>0</v>
      </c>
      <c r="BM816" s="16">
        <f t="shared" si="122"/>
        <v>0</v>
      </c>
      <c r="BN816" s="21">
        <f t="shared" si="123"/>
        <v>0</v>
      </c>
      <c r="BO816" s="21">
        <f t="shared" si="124"/>
        <v>0</v>
      </c>
      <c r="BP816" s="21">
        <f t="shared" si="125"/>
        <v>0</v>
      </c>
      <c r="BQ816" s="14">
        <f t="shared" si="126"/>
        <v>0</v>
      </c>
      <c r="BR816" s="22" t="str">
        <f>IF(OR(AND(X816="Mourões", BQ816&gt;=6.5),AND(X816="Postes", BQ816&gt;=9.6),AND(X816="Dormentes", BQ816&gt;=9.6),AND(X816="Estacas - Solo", BQ816&gt;=6.5),AND(X816="Estacas - Suspenso", BQ816&gt;=4),AND(X816="Cruzetas", BQ816&gt;=6.5),AND(X816="Outros - Solo", BQ816&gt;=6.5),AND(X816="Outros - Suspenso",BQ816&gt;=4),AND(X816="Deck",BQ816&gt;=4)),'Listas suspensas'!$C$21,'Listas suspensas'!$C$22)</f>
        <v>Os resultados da análise química apresentaram uma retenção do produto inferior ao padrão mínimo exigido pela norma ABNT NBR 16143</v>
      </c>
    </row>
    <row r="817" spans="25:70" x14ac:dyDescent="0.25">
      <c r="Y817" s="34" t="str">
        <f>IF(X817='Listas suspensas'!$A$21,'Listas suspensas'!$B$23,IF(X817='Listas suspensas'!$A$22,'Listas suspensas'!$B$23,IF(X817='Listas suspensas'!$A$23,'Listas suspensas'!$B$22,IF(X817='Listas suspensas'!$A$26,'Listas suspensas'!$B$22,IF(X817='Listas suspensas'!$A$32,'Listas suspensas'!$B$22,IF(X817='Listas suspensas'!$A$33,'Listas suspensas'!$B$21,IF(X817='Listas suspensas'!$A$24,'Listas suspensas'!$B$22,IF(X817='Listas suspensas'!$A$25,'Listas suspensas'!$B$21,IF(X817='Listas suspensas'!$A$30,'Listas suspensas'!$B$21,"")))))))))</f>
        <v/>
      </c>
      <c r="AB817" s="8" t="str">
        <f>IF(AA817='Listas suspensas'!$A$2,'Listas suspensas'!$B$2,IF(AA817='Listas suspensas'!$A$3,'Listas suspensas'!$B$3,IF(AA817='Listas suspensas'!$A$4,'Listas suspensas'!$B$4,IF(AA817='Listas suspensas'!$A$5,'Listas suspensas'!$B$5,IF(AA817='Listas suspensas'!$A$6,'Listas suspensas'!$B$6,"")))))</f>
        <v/>
      </c>
      <c r="AC817" s="8" t="str">
        <f>IF(AA817='Listas suspensas'!$A$2,'Listas suspensas'!$C$2,IF(AA817='Listas suspensas'!$A$3,'Listas suspensas'!$C$3,IF(AA817='Listas suspensas'!$A$4,'Listas suspensas'!$C$4,IF(AA817='Listas suspensas'!$A$5,'Listas suspensas'!$C$5,IF(AA817='Listas suspensas'!$A$6,'Listas suspensas'!$C$6,"")))))</f>
        <v/>
      </c>
      <c r="BE817" s="18">
        <f t="shared" si="120"/>
        <v>0</v>
      </c>
      <c r="BI817" s="13">
        <f t="shared" si="121"/>
        <v>0</v>
      </c>
      <c r="BM817" s="16">
        <f t="shared" si="122"/>
        <v>0</v>
      </c>
      <c r="BN817" s="21">
        <f t="shared" si="123"/>
        <v>0</v>
      </c>
      <c r="BO817" s="21">
        <f t="shared" si="124"/>
        <v>0</v>
      </c>
      <c r="BP817" s="21">
        <f t="shared" si="125"/>
        <v>0</v>
      </c>
      <c r="BQ817" s="14">
        <f t="shared" si="126"/>
        <v>0</v>
      </c>
      <c r="BR817" s="22" t="str">
        <f>IF(OR(AND(X817="Mourões", BQ817&gt;=6.5),AND(X817="Postes", BQ817&gt;=9.6),AND(X817="Dormentes", BQ817&gt;=9.6),AND(X817="Estacas - Solo", BQ817&gt;=6.5),AND(X817="Estacas - Suspenso", BQ817&gt;=4),AND(X817="Cruzetas", BQ817&gt;=6.5),AND(X817="Outros - Solo", BQ817&gt;=6.5),AND(X817="Outros - Suspenso",BQ817&gt;=4),AND(X817="Deck",BQ817&gt;=4)),'Listas suspensas'!$C$21,'Listas suspensas'!$C$22)</f>
        <v>Os resultados da análise química apresentaram uma retenção do produto inferior ao padrão mínimo exigido pela norma ABNT NBR 16143</v>
      </c>
    </row>
    <row r="818" spans="25:70" x14ac:dyDescent="0.25">
      <c r="Y818" s="34" t="str">
        <f>IF(X818='Listas suspensas'!$A$21,'Listas suspensas'!$B$23,IF(X818='Listas suspensas'!$A$22,'Listas suspensas'!$B$23,IF(X818='Listas suspensas'!$A$23,'Listas suspensas'!$B$22,IF(X818='Listas suspensas'!$A$26,'Listas suspensas'!$B$22,IF(X818='Listas suspensas'!$A$32,'Listas suspensas'!$B$22,IF(X818='Listas suspensas'!$A$33,'Listas suspensas'!$B$21,IF(X818='Listas suspensas'!$A$24,'Listas suspensas'!$B$22,IF(X818='Listas suspensas'!$A$25,'Listas suspensas'!$B$21,IF(X818='Listas suspensas'!$A$30,'Listas suspensas'!$B$21,"")))))))))</f>
        <v/>
      </c>
      <c r="AB818" s="8" t="str">
        <f>IF(AA818='Listas suspensas'!$A$2,'Listas suspensas'!$B$2,IF(AA818='Listas suspensas'!$A$3,'Listas suspensas'!$B$3,IF(AA818='Listas suspensas'!$A$4,'Listas suspensas'!$B$4,IF(AA818='Listas suspensas'!$A$5,'Listas suspensas'!$B$5,IF(AA818='Listas suspensas'!$A$6,'Listas suspensas'!$B$6,"")))))</f>
        <v/>
      </c>
      <c r="AC818" s="8" t="str">
        <f>IF(AA818='Listas suspensas'!$A$2,'Listas suspensas'!$C$2,IF(AA818='Listas suspensas'!$A$3,'Listas suspensas'!$C$3,IF(AA818='Listas suspensas'!$A$4,'Listas suspensas'!$C$4,IF(AA818='Listas suspensas'!$A$5,'Listas suspensas'!$C$5,IF(AA818='Listas suspensas'!$A$6,'Listas suspensas'!$C$6,"")))))</f>
        <v/>
      </c>
      <c r="BE818" s="18">
        <f t="shared" si="120"/>
        <v>0</v>
      </c>
      <c r="BI818" s="13">
        <f t="shared" si="121"/>
        <v>0</v>
      </c>
      <c r="BM818" s="16">
        <f t="shared" si="122"/>
        <v>0</v>
      </c>
      <c r="BN818" s="21">
        <f t="shared" si="123"/>
        <v>0</v>
      </c>
      <c r="BO818" s="21">
        <f t="shared" si="124"/>
        <v>0</v>
      </c>
      <c r="BP818" s="21">
        <f t="shared" si="125"/>
        <v>0</v>
      </c>
      <c r="BQ818" s="14">
        <f t="shared" si="126"/>
        <v>0</v>
      </c>
      <c r="BR818" s="22" t="str">
        <f>IF(OR(AND(X818="Mourões", BQ818&gt;=6.5),AND(X818="Postes", BQ818&gt;=9.6),AND(X818="Dormentes", BQ818&gt;=9.6),AND(X818="Estacas - Solo", BQ818&gt;=6.5),AND(X818="Estacas - Suspenso", BQ818&gt;=4),AND(X818="Cruzetas", BQ818&gt;=6.5),AND(X818="Outros - Solo", BQ818&gt;=6.5),AND(X818="Outros - Suspenso",BQ818&gt;=4),AND(X818="Deck",BQ818&gt;=4)),'Listas suspensas'!$C$21,'Listas suspensas'!$C$22)</f>
        <v>Os resultados da análise química apresentaram uma retenção do produto inferior ao padrão mínimo exigido pela norma ABNT NBR 16143</v>
      </c>
    </row>
    <row r="819" spans="25:70" x14ac:dyDescent="0.25">
      <c r="Y819" s="34" t="str">
        <f>IF(X819='Listas suspensas'!$A$21,'Listas suspensas'!$B$23,IF(X819='Listas suspensas'!$A$22,'Listas suspensas'!$B$23,IF(X819='Listas suspensas'!$A$23,'Listas suspensas'!$B$22,IF(X819='Listas suspensas'!$A$26,'Listas suspensas'!$B$22,IF(X819='Listas suspensas'!$A$32,'Listas suspensas'!$B$22,IF(X819='Listas suspensas'!$A$33,'Listas suspensas'!$B$21,IF(X819='Listas suspensas'!$A$24,'Listas suspensas'!$B$22,IF(X819='Listas suspensas'!$A$25,'Listas suspensas'!$B$21,IF(X819='Listas suspensas'!$A$30,'Listas suspensas'!$B$21,"")))))))))</f>
        <v/>
      </c>
      <c r="AB819" s="8" t="str">
        <f>IF(AA819='Listas suspensas'!$A$2,'Listas suspensas'!$B$2,IF(AA819='Listas suspensas'!$A$3,'Listas suspensas'!$B$3,IF(AA819='Listas suspensas'!$A$4,'Listas suspensas'!$B$4,IF(AA819='Listas suspensas'!$A$5,'Listas suspensas'!$B$5,IF(AA819='Listas suspensas'!$A$6,'Listas suspensas'!$B$6,"")))))</f>
        <v/>
      </c>
      <c r="AC819" s="8" t="str">
        <f>IF(AA819='Listas suspensas'!$A$2,'Listas suspensas'!$C$2,IF(AA819='Listas suspensas'!$A$3,'Listas suspensas'!$C$3,IF(AA819='Listas suspensas'!$A$4,'Listas suspensas'!$C$4,IF(AA819='Listas suspensas'!$A$5,'Listas suspensas'!$C$5,IF(AA819='Listas suspensas'!$A$6,'Listas suspensas'!$C$6,"")))))</f>
        <v/>
      </c>
      <c r="BE819" s="18">
        <f t="shared" si="120"/>
        <v>0</v>
      </c>
      <c r="BI819" s="13">
        <f t="shared" si="121"/>
        <v>0</v>
      </c>
      <c r="BM819" s="16">
        <f t="shared" si="122"/>
        <v>0</v>
      </c>
      <c r="BN819" s="21">
        <f t="shared" si="123"/>
        <v>0</v>
      </c>
      <c r="BO819" s="21">
        <f t="shared" si="124"/>
        <v>0</v>
      </c>
      <c r="BP819" s="21">
        <f t="shared" si="125"/>
        <v>0</v>
      </c>
      <c r="BQ819" s="14">
        <f t="shared" si="126"/>
        <v>0</v>
      </c>
      <c r="BR819" s="22" t="str">
        <f>IF(OR(AND(X819="Mourões", BQ819&gt;=6.5),AND(X819="Postes", BQ819&gt;=9.6),AND(X819="Dormentes", BQ819&gt;=9.6),AND(X819="Estacas - Solo", BQ819&gt;=6.5),AND(X819="Estacas - Suspenso", BQ819&gt;=4),AND(X819="Cruzetas", BQ819&gt;=6.5),AND(X819="Outros - Solo", BQ819&gt;=6.5),AND(X819="Outros - Suspenso",BQ819&gt;=4),AND(X819="Deck",BQ819&gt;=4)),'Listas suspensas'!$C$21,'Listas suspensas'!$C$22)</f>
        <v>Os resultados da análise química apresentaram uma retenção do produto inferior ao padrão mínimo exigido pela norma ABNT NBR 16143</v>
      </c>
    </row>
    <row r="820" spans="25:70" x14ac:dyDescent="0.25">
      <c r="Y820" s="34" t="str">
        <f>IF(X820='Listas suspensas'!$A$21,'Listas suspensas'!$B$23,IF(X820='Listas suspensas'!$A$22,'Listas suspensas'!$B$23,IF(X820='Listas suspensas'!$A$23,'Listas suspensas'!$B$22,IF(X820='Listas suspensas'!$A$26,'Listas suspensas'!$B$22,IF(X820='Listas suspensas'!$A$32,'Listas suspensas'!$B$22,IF(X820='Listas suspensas'!$A$33,'Listas suspensas'!$B$21,IF(X820='Listas suspensas'!$A$24,'Listas suspensas'!$B$22,IF(X820='Listas suspensas'!$A$25,'Listas suspensas'!$B$21,IF(X820='Listas suspensas'!$A$30,'Listas suspensas'!$B$21,"")))))))))</f>
        <v/>
      </c>
      <c r="AB820" s="8" t="str">
        <f>IF(AA820='Listas suspensas'!$A$2,'Listas suspensas'!$B$2,IF(AA820='Listas suspensas'!$A$3,'Listas suspensas'!$B$3,IF(AA820='Listas suspensas'!$A$4,'Listas suspensas'!$B$4,IF(AA820='Listas suspensas'!$A$5,'Listas suspensas'!$B$5,IF(AA820='Listas suspensas'!$A$6,'Listas suspensas'!$B$6,"")))))</f>
        <v/>
      </c>
      <c r="AC820" s="8" t="str">
        <f>IF(AA820='Listas suspensas'!$A$2,'Listas suspensas'!$C$2,IF(AA820='Listas suspensas'!$A$3,'Listas suspensas'!$C$3,IF(AA820='Listas suspensas'!$A$4,'Listas suspensas'!$C$4,IF(AA820='Listas suspensas'!$A$5,'Listas suspensas'!$C$5,IF(AA820='Listas suspensas'!$A$6,'Listas suspensas'!$C$6,"")))))</f>
        <v/>
      </c>
      <c r="BE820" s="18">
        <f t="shared" si="120"/>
        <v>0</v>
      </c>
      <c r="BI820" s="13">
        <f t="shared" si="121"/>
        <v>0</v>
      </c>
      <c r="BM820" s="16">
        <f t="shared" si="122"/>
        <v>0</v>
      </c>
      <c r="BN820" s="21">
        <f t="shared" si="123"/>
        <v>0</v>
      </c>
      <c r="BO820" s="21">
        <f t="shared" si="124"/>
        <v>0</v>
      </c>
      <c r="BP820" s="21">
        <f t="shared" si="125"/>
        <v>0</v>
      </c>
      <c r="BQ820" s="14">
        <f t="shared" si="126"/>
        <v>0</v>
      </c>
      <c r="BR820" s="22" t="str">
        <f>IF(OR(AND(X820="Mourões", BQ820&gt;=6.5),AND(X820="Postes", BQ820&gt;=9.6),AND(X820="Dormentes", BQ820&gt;=9.6),AND(X820="Estacas - Solo", BQ820&gt;=6.5),AND(X820="Estacas - Suspenso", BQ820&gt;=4),AND(X820="Cruzetas", BQ820&gt;=6.5),AND(X820="Outros - Solo", BQ820&gt;=6.5),AND(X820="Outros - Suspenso",BQ820&gt;=4),AND(X820="Deck",BQ820&gt;=4)),'Listas suspensas'!$C$21,'Listas suspensas'!$C$22)</f>
        <v>Os resultados da análise química apresentaram uma retenção do produto inferior ao padrão mínimo exigido pela norma ABNT NBR 16143</v>
      </c>
    </row>
    <row r="821" spans="25:70" x14ac:dyDescent="0.25">
      <c r="Y821" s="34" t="str">
        <f>IF(X821='Listas suspensas'!$A$21,'Listas suspensas'!$B$23,IF(X821='Listas suspensas'!$A$22,'Listas suspensas'!$B$23,IF(X821='Listas suspensas'!$A$23,'Listas suspensas'!$B$22,IF(X821='Listas suspensas'!$A$26,'Listas suspensas'!$B$22,IF(X821='Listas suspensas'!$A$32,'Listas suspensas'!$B$22,IF(X821='Listas suspensas'!$A$33,'Listas suspensas'!$B$21,IF(X821='Listas suspensas'!$A$24,'Listas suspensas'!$B$22,IF(X821='Listas suspensas'!$A$25,'Listas suspensas'!$B$21,IF(X821='Listas suspensas'!$A$30,'Listas suspensas'!$B$21,"")))))))))</f>
        <v/>
      </c>
      <c r="AB821" s="8" t="str">
        <f>IF(AA821='Listas suspensas'!$A$2,'Listas suspensas'!$B$2,IF(AA821='Listas suspensas'!$A$3,'Listas suspensas'!$B$3,IF(AA821='Listas suspensas'!$A$4,'Listas suspensas'!$B$4,IF(AA821='Listas suspensas'!$A$5,'Listas suspensas'!$B$5,IF(AA821='Listas suspensas'!$A$6,'Listas suspensas'!$B$6,"")))))</f>
        <v/>
      </c>
      <c r="AC821" s="8" t="str">
        <f>IF(AA821='Listas suspensas'!$A$2,'Listas suspensas'!$C$2,IF(AA821='Listas suspensas'!$A$3,'Listas suspensas'!$C$3,IF(AA821='Listas suspensas'!$A$4,'Listas suspensas'!$C$4,IF(AA821='Listas suspensas'!$A$5,'Listas suspensas'!$C$5,IF(AA821='Listas suspensas'!$A$6,'Listas suspensas'!$C$6,"")))))</f>
        <v/>
      </c>
      <c r="BE821" s="18">
        <f t="shared" si="120"/>
        <v>0</v>
      </c>
      <c r="BI821" s="13">
        <f t="shared" si="121"/>
        <v>0</v>
      </c>
      <c r="BM821" s="16">
        <f t="shared" si="122"/>
        <v>0</v>
      </c>
      <c r="BN821" s="21">
        <f t="shared" si="123"/>
        <v>0</v>
      </c>
      <c r="BO821" s="21">
        <f t="shared" si="124"/>
        <v>0</v>
      </c>
      <c r="BP821" s="21">
        <f t="shared" si="125"/>
        <v>0</v>
      </c>
      <c r="BQ821" s="14">
        <f t="shared" si="126"/>
        <v>0</v>
      </c>
      <c r="BR821" s="22" t="str">
        <f>IF(OR(AND(X821="Mourões", BQ821&gt;=6.5),AND(X821="Postes", BQ821&gt;=9.6),AND(X821="Dormentes", BQ821&gt;=9.6),AND(X821="Estacas - Solo", BQ821&gt;=6.5),AND(X821="Estacas - Suspenso", BQ821&gt;=4),AND(X821="Cruzetas", BQ821&gt;=6.5),AND(X821="Outros - Solo", BQ821&gt;=6.5),AND(X821="Outros - Suspenso",BQ821&gt;=4),AND(X821="Deck",BQ821&gt;=4)),'Listas suspensas'!$C$21,'Listas suspensas'!$C$22)</f>
        <v>Os resultados da análise química apresentaram uma retenção do produto inferior ao padrão mínimo exigido pela norma ABNT NBR 16143</v>
      </c>
    </row>
    <row r="822" spans="25:70" x14ac:dyDescent="0.25">
      <c r="Y822" s="34" t="str">
        <f>IF(X822='Listas suspensas'!$A$21,'Listas suspensas'!$B$23,IF(X822='Listas suspensas'!$A$22,'Listas suspensas'!$B$23,IF(X822='Listas suspensas'!$A$23,'Listas suspensas'!$B$22,IF(X822='Listas suspensas'!$A$26,'Listas suspensas'!$B$22,IF(X822='Listas suspensas'!$A$32,'Listas suspensas'!$B$22,IF(X822='Listas suspensas'!$A$33,'Listas suspensas'!$B$21,IF(X822='Listas suspensas'!$A$24,'Listas suspensas'!$B$22,IF(X822='Listas suspensas'!$A$25,'Listas suspensas'!$B$21,IF(X822='Listas suspensas'!$A$30,'Listas suspensas'!$B$21,"")))))))))</f>
        <v/>
      </c>
      <c r="AB822" s="8" t="str">
        <f>IF(AA822='Listas suspensas'!$A$2,'Listas suspensas'!$B$2,IF(AA822='Listas suspensas'!$A$3,'Listas suspensas'!$B$3,IF(AA822='Listas suspensas'!$A$4,'Listas suspensas'!$B$4,IF(AA822='Listas suspensas'!$A$5,'Listas suspensas'!$B$5,IF(AA822='Listas suspensas'!$A$6,'Listas suspensas'!$B$6,"")))))</f>
        <v/>
      </c>
      <c r="AC822" s="8" t="str">
        <f>IF(AA822='Listas suspensas'!$A$2,'Listas suspensas'!$C$2,IF(AA822='Listas suspensas'!$A$3,'Listas suspensas'!$C$3,IF(AA822='Listas suspensas'!$A$4,'Listas suspensas'!$C$4,IF(AA822='Listas suspensas'!$A$5,'Listas suspensas'!$C$5,IF(AA822='Listas suspensas'!$A$6,'Listas suspensas'!$C$6,"")))))</f>
        <v/>
      </c>
      <c r="BE822" s="18">
        <f t="shared" si="120"/>
        <v>0</v>
      </c>
      <c r="BI822" s="13">
        <f t="shared" si="121"/>
        <v>0</v>
      </c>
      <c r="BM822" s="16">
        <f t="shared" si="122"/>
        <v>0</v>
      </c>
      <c r="BN822" s="21">
        <f t="shared" si="123"/>
        <v>0</v>
      </c>
      <c r="BO822" s="21">
        <f t="shared" si="124"/>
        <v>0</v>
      </c>
      <c r="BP822" s="21">
        <f t="shared" si="125"/>
        <v>0</v>
      </c>
      <c r="BQ822" s="14">
        <f t="shared" si="126"/>
        <v>0</v>
      </c>
      <c r="BR822" s="22" t="str">
        <f>IF(OR(AND(X822="Mourões", BQ822&gt;=6.5),AND(X822="Postes", BQ822&gt;=9.6),AND(X822="Dormentes", BQ822&gt;=9.6),AND(X822="Estacas - Solo", BQ822&gt;=6.5),AND(X822="Estacas - Suspenso", BQ822&gt;=4),AND(X822="Cruzetas", BQ822&gt;=6.5),AND(X822="Outros - Solo", BQ822&gt;=6.5),AND(X822="Outros - Suspenso",BQ822&gt;=4),AND(X822="Deck",BQ822&gt;=4)),'Listas suspensas'!$C$21,'Listas suspensas'!$C$22)</f>
        <v>Os resultados da análise química apresentaram uma retenção do produto inferior ao padrão mínimo exigido pela norma ABNT NBR 16143</v>
      </c>
    </row>
    <row r="823" spans="25:70" x14ac:dyDescent="0.25">
      <c r="Y823" s="34" t="str">
        <f>IF(X823='Listas suspensas'!$A$21,'Listas suspensas'!$B$23,IF(X823='Listas suspensas'!$A$22,'Listas suspensas'!$B$23,IF(X823='Listas suspensas'!$A$23,'Listas suspensas'!$B$22,IF(X823='Listas suspensas'!$A$26,'Listas suspensas'!$B$22,IF(X823='Listas suspensas'!$A$32,'Listas suspensas'!$B$22,IF(X823='Listas suspensas'!$A$33,'Listas suspensas'!$B$21,IF(X823='Listas suspensas'!$A$24,'Listas suspensas'!$B$22,IF(X823='Listas suspensas'!$A$25,'Listas suspensas'!$B$21,IF(X823='Listas suspensas'!$A$30,'Listas suspensas'!$B$21,"")))))))))</f>
        <v/>
      </c>
      <c r="AB823" s="8" t="str">
        <f>IF(AA823='Listas suspensas'!$A$2,'Listas suspensas'!$B$2,IF(AA823='Listas suspensas'!$A$3,'Listas suspensas'!$B$3,IF(AA823='Listas suspensas'!$A$4,'Listas suspensas'!$B$4,IF(AA823='Listas suspensas'!$A$5,'Listas suspensas'!$B$5,IF(AA823='Listas suspensas'!$A$6,'Listas suspensas'!$B$6,"")))))</f>
        <v/>
      </c>
      <c r="AC823" s="8" t="str">
        <f>IF(AA823='Listas suspensas'!$A$2,'Listas suspensas'!$C$2,IF(AA823='Listas suspensas'!$A$3,'Listas suspensas'!$C$3,IF(AA823='Listas suspensas'!$A$4,'Listas suspensas'!$C$4,IF(AA823='Listas suspensas'!$A$5,'Listas suspensas'!$C$5,IF(AA823='Listas suspensas'!$A$6,'Listas suspensas'!$C$6,"")))))</f>
        <v/>
      </c>
      <c r="BE823" s="18">
        <f t="shared" si="120"/>
        <v>0</v>
      </c>
      <c r="BI823" s="13">
        <f t="shared" si="121"/>
        <v>0</v>
      </c>
      <c r="BM823" s="16">
        <f t="shared" si="122"/>
        <v>0</v>
      </c>
      <c r="BN823" s="21">
        <f t="shared" si="123"/>
        <v>0</v>
      </c>
      <c r="BO823" s="21">
        <f t="shared" si="124"/>
        <v>0</v>
      </c>
      <c r="BP823" s="21">
        <f t="shared" si="125"/>
        <v>0</v>
      </c>
      <c r="BQ823" s="14">
        <f t="shared" si="126"/>
        <v>0</v>
      </c>
      <c r="BR823" s="22" t="str">
        <f>IF(OR(AND(X823="Mourões", BQ823&gt;=6.5),AND(X823="Postes", BQ823&gt;=9.6),AND(X823="Dormentes", BQ823&gt;=9.6),AND(X823="Estacas - Solo", BQ823&gt;=6.5),AND(X823="Estacas - Suspenso", BQ823&gt;=4),AND(X823="Cruzetas", BQ823&gt;=6.5),AND(X823="Outros - Solo", BQ823&gt;=6.5),AND(X823="Outros - Suspenso",BQ823&gt;=4),AND(X823="Deck",BQ823&gt;=4)),'Listas suspensas'!$C$21,'Listas suspensas'!$C$22)</f>
        <v>Os resultados da análise química apresentaram uma retenção do produto inferior ao padrão mínimo exigido pela norma ABNT NBR 16143</v>
      </c>
    </row>
    <row r="824" spans="25:70" x14ac:dyDescent="0.25">
      <c r="Y824" s="34" t="str">
        <f>IF(X824='Listas suspensas'!$A$21,'Listas suspensas'!$B$23,IF(X824='Listas suspensas'!$A$22,'Listas suspensas'!$B$23,IF(X824='Listas suspensas'!$A$23,'Listas suspensas'!$B$22,IF(X824='Listas suspensas'!$A$26,'Listas suspensas'!$B$22,IF(X824='Listas suspensas'!$A$32,'Listas suspensas'!$B$22,IF(X824='Listas suspensas'!$A$33,'Listas suspensas'!$B$21,IF(X824='Listas suspensas'!$A$24,'Listas suspensas'!$B$22,IF(X824='Listas suspensas'!$A$25,'Listas suspensas'!$B$21,IF(X824='Listas suspensas'!$A$30,'Listas suspensas'!$B$21,"")))))))))</f>
        <v/>
      </c>
      <c r="AB824" s="8" t="str">
        <f>IF(AA824='Listas suspensas'!$A$2,'Listas suspensas'!$B$2,IF(AA824='Listas suspensas'!$A$3,'Listas suspensas'!$B$3,IF(AA824='Listas suspensas'!$A$4,'Listas suspensas'!$B$4,IF(AA824='Listas suspensas'!$A$5,'Listas suspensas'!$B$5,IF(AA824='Listas suspensas'!$A$6,'Listas suspensas'!$B$6,"")))))</f>
        <v/>
      </c>
      <c r="AC824" s="8" t="str">
        <f>IF(AA824='Listas suspensas'!$A$2,'Listas suspensas'!$C$2,IF(AA824='Listas suspensas'!$A$3,'Listas suspensas'!$C$3,IF(AA824='Listas suspensas'!$A$4,'Listas suspensas'!$C$4,IF(AA824='Listas suspensas'!$A$5,'Listas suspensas'!$C$5,IF(AA824='Listas suspensas'!$A$6,'Listas suspensas'!$C$6,"")))))</f>
        <v/>
      </c>
      <c r="BE824" s="18">
        <f t="shared" si="120"/>
        <v>0</v>
      </c>
      <c r="BI824" s="13">
        <f t="shared" si="121"/>
        <v>0</v>
      </c>
      <c r="BM824" s="16">
        <f t="shared" si="122"/>
        <v>0</v>
      </c>
      <c r="BN824" s="21">
        <f t="shared" si="123"/>
        <v>0</v>
      </c>
      <c r="BO824" s="21">
        <f t="shared" si="124"/>
        <v>0</v>
      </c>
      <c r="BP824" s="21">
        <f t="shared" si="125"/>
        <v>0</v>
      </c>
      <c r="BQ824" s="14">
        <f t="shared" si="126"/>
        <v>0</v>
      </c>
      <c r="BR824" s="22" t="str">
        <f>IF(OR(AND(X824="Mourões", BQ824&gt;=6.5),AND(X824="Postes", BQ824&gt;=9.6),AND(X824="Dormentes", BQ824&gt;=9.6),AND(X824="Estacas - Solo", BQ824&gt;=6.5),AND(X824="Estacas - Suspenso", BQ824&gt;=4),AND(X824="Cruzetas", BQ824&gt;=6.5),AND(X824="Outros - Solo", BQ824&gt;=6.5),AND(X824="Outros - Suspenso",BQ824&gt;=4),AND(X824="Deck",BQ824&gt;=4)),'Listas suspensas'!$C$21,'Listas suspensas'!$C$22)</f>
        <v>Os resultados da análise química apresentaram uma retenção do produto inferior ao padrão mínimo exigido pela norma ABNT NBR 16143</v>
      </c>
    </row>
    <row r="825" spans="25:70" x14ac:dyDescent="0.25">
      <c r="Y825" s="34" t="str">
        <f>IF(X825='Listas suspensas'!$A$21,'Listas suspensas'!$B$23,IF(X825='Listas suspensas'!$A$22,'Listas suspensas'!$B$23,IF(X825='Listas suspensas'!$A$23,'Listas suspensas'!$B$22,IF(X825='Listas suspensas'!$A$26,'Listas suspensas'!$B$22,IF(X825='Listas suspensas'!$A$32,'Listas suspensas'!$B$22,IF(X825='Listas suspensas'!$A$33,'Listas suspensas'!$B$21,IF(X825='Listas suspensas'!$A$24,'Listas suspensas'!$B$22,IF(X825='Listas suspensas'!$A$25,'Listas suspensas'!$B$21,IF(X825='Listas suspensas'!$A$30,'Listas suspensas'!$B$21,"")))))))))</f>
        <v/>
      </c>
      <c r="AB825" s="8" t="str">
        <f>IF(AA825='Listas suspensas'!$A$2,'Listas suspensas'!$B$2,IF(AA825='Listas suspensas'!$A$3,'Listas suspensas'!$B$3,IF(AA825='Listas suspensas'!$A$4,'Listas suspensas'!$B$4,IF(AA825='Listas suspensas'!$A$5,'Listas suspensas'!$B$5,IF(AA825='Listas suspensas'!$A$6,'Listas suspensas'!$B$6,"")))))</f>
        <v/>
      </c>
      <c r="AC825" s="8" t="str">
        <f>IF(AA825='Listas suspensas'!$A$2,'Listas suspensas'!$C$2,IF(AA825='Listas suspensas'!$A$3,'Listas suspensas'!$C$3,IF(AA825='Listas suspensas'!$A$4,'Listas suspensas'!$C$4,IF(AA825='Listas suspensas'!$A$5,'Listas suspensas'!$C$5,IF(AA825='Listas suspensas'!$A$6,'Listas suspensas'!$C$6,"")))))</f>
        <v/>
      </c>
      <c r="BE825" s="18">
        <f t="shared" ref="BE825:BE841" si="127">BD825*1000</f>
        <v>0</v>
      </c>
      <c r="BI825" s="13">
        <f t="shared" si="121"/>
        <v>0</v>
      </c>
      <c r="BM825" s="16">
        <f t="shared" si="122"/>
        <v>0</v>
      </c>
      <c r="BN825" s="21">
        <f t="shared" si="123"/>
        <v>0</v>
      </c>
      <c r="BO825" s="21">
        <f t="shared" si="124"/>
        <v>0</v>
      </c>
      <c r="BP825" s="21">
        <f t="shared" si="125"/>
        <v>0</v>
      </c>
      <c r="BQ825" s="14">
        <f t="shared" si="126"/>
        <v>0</v>
      </c>
      <c r="BR825" s="22" t="str">
        <f>IF(OR(AND(X825="Mourões", BQ825&gt;=6.5),AND(X825="Postes", BQ825&gt;=9.6),AND(X825="Dormentes", BQ825&gt;=9.6),AND(X825="Estacas - Solo", BQ825&gt;=6.5),AND(X825="Estacas - Suspenso", BQ825&gt;=4),AND(X825="Cruzetas", BQ825&gt;=6.5),AND(X825="Outros - Solo", BQ825&gt;=6.5),AND(X825="Outros - Suspenso",BQ825&gt;=4),AND(X825="Deck",BQ825&gt;=4)),'Listas suspensas'!$C$21,'Listas suspensas'!$C$22)</f>
        <v>Os resultados da análise química apresentaram uma retenção do produto inferior ao padrão mínimo exigido pela norma ABNT NBR 16143</v>
      </c>
    </row>
    <row r="826" spans="25:70" x14ac:dyDescent="0.25">
      <c r="Y826" s="34" t="str">
        <f>IF(X826='Listas suspensas'!$A$21,'Listas suspensas'!$B$23,IF(X826='Listas suspensas'!$A$22,'Listas suspensas'!$B$23,IF(X826='Listas suspensas'!$A$23,'Listas suspensas'!$B$22,IF(X826='Listas suspensas'!$A$26,'Listas suspensas'!$B$22,IF(X826='Listas suspensas'!$A$32,'Listas suspensas'!$B$22,IF(X826='Listas suspensas'!$A$33,'Listas suspensas'!$B$21,IF(X826='Listas suspensas'!$A$24,'Listas suspensas'!$B$22,IF(X826='Listas suspensas'!$A$25,'Listas suspensas'!$B$21,IF(X826='Listas suspensas'!$A$30,'Listas suspensas'!$B$21,"")))))))))</f>
        <v/>
      </c>
      <c r="AB826" s="8" t="str">
        <f>IF(AA826='Listas suspensas'!$A$2,'Listas suspensas'!$B$2,IF(AA826='Listas suspensas'!$A$3,'Listas suspensas'!$B$3,IF(AA826='Listas suspensas'!$A$4,'Listas suspensas'!$B$4,IF(AA826='Listas suspensas'!$A$5,'Listas suspensas'!$B$5,IF(AA826='Listas suspensas'!$A$6,'Listas suspensas'!$B$6,"")))))</f>
        <v/>
      </c>
      <c r="AC826" s="8" t="str">
        <f>IF(AA826='Listas suspensas'!$A$2,'Listas suspensas'!$C$2,IF(AA826='Listas suspensas'!$A$3,'Listas suspensas'!$C$3,IF(AA826='Listas suspensas'!$A$4,'Listas suspensas'!$C$4,IF(AA826='Listas suspensas'!$A$5,'Listas suspensas'!$C$5,IF(AA826='Listas suspensas'!$A$6,'Listas suspensas'!$C$6,"")))))</f>
        <v/>
      </c>
      <c r="BE826" s="18">
        <f t="shared" si="127"/>
        <v>0</v>
      </c>
      <c r="BI826" s="13">
        <f t="shared" si="121"/>
        <v>0</v>
      </c>
      <c r="BM826" s="16">
        <f t="shared" si="122"/>
        <v>0</v>
      </c>
      <c r="BN826" s="21">
        <f t="shared" si="123"/>
        <v>0</v>
      </c>
      <c r="BO826" s="21">
        <f t="shared" si="124"/>
        <v>0</v>
      </c>
      <c r="BP826" s="21">
        <f t="shared" si="125"/>
        <v>0</v>
      </c>
      <c r="BQ826" s="14">
        <f t="shared" si="126"/>
        <v>0</v>
      </c>
      <c r="BR826" s="22" t="str">
        <f>IF(OR(AND(X826="Mourões", BQ826&gt;=6.5),AND(X826="Postes", BQ826&gt;=9.6),AND(X826="Dormentes", BQ826&gt;=9.6),AND(X826="Estacas - Solo", BQ826&gt;=6.5),AND(X826="Estacas - Suspenso", BQ826&gt;=4),AND(X826="Cruzetas", BQ826&gt;=6.5),AND(X826="Outros - Solo", BQ826&gt;=6.5),AND(X826="Outros - Suspenso",BQ826&gt;=4),AND(X826="Deck",BQ826&gt;=4)),'Listas suspensas'!$C$21,'Listas suspensas'!$C$22)</f>
        <v>Os resultados da análise química apresentaram uma retenção do produto inferior ao padrão mínimo exigido pela norma ABNT NBR 16143</v>
      </c>
    </row>
    <row r="827" spans="25:70" x14ac:dyDescent="0.25">
      <c r="Y827" s="34" t="str">
        <f>IF(X827='Listas suspensas'!$A$21,'Listas suspensas'!$B$23,IF(X827='Listas suspensas'!$A$22,'Listas suspensas'!$B$23,IF(X827='Listas suspensas'!$A$23,'Listas suspensas'!$B$22,IF(X827='Listas suspensas'!$A$26,'Listas suspensas'!$B$22,IF(X827='Listas suspensas'!$A$32,'Listas suspensas'!$B$22,IF(X827='Listas suspensas'!$A$33,'Listas suspensas'!$B$21,IF(X827='Listas suspensas'!$A$24,'Listas suspensas'!$B$22,IF(X827='Listas suspensas'!$A$25,'Listas suspensas'!$B$21,IF(X827='Listas suspensas'!$A$30,'Listas suspensas'!$B$21,"")))))))))</f>
        <v/>
      </c>
      <c r="AB827" s="8" t="str">
        <f>IF(AA827='Listas suspensas'!$A$2,'Listas suspensas'!$B$2,IF(AA827='Listas suspensas'!$A$3,'Listas suspensas'!$B$3,IF(AA827='Listas suspensas'!$A$4,'Listas suspensas'!$B$4,IF(AA827='Listas suspensas'!$A$5,'Listas suspensas'!$B$5,IF(AA827='Listas suspensas'!$A$6,'Listas suspensas'!$B$6,"")))))</f>
        <v/>
      </c>
      <c r="AC827" s="8" t="str">
        <f>IF(AA827='Listas suspensas'!$A$2,'Listas suspensas'!$C$2,IF(AA827='Listas suspensas'!$A$3,'Listas suspensas'!$C$3,IF(AA827='Listas suspensas'!$A$4,'Listas suspensas'!$C$4,IF(AA827='Listas suspensas'!$A$5,'Listas suspensas'!$C$5,IF(AA827='Listas suspensas'!$A$6,'Listas suspensas'!$C$6,"")))))</f>
        <v/>
      </c>
      <c r="BE827" s="18">
        <f t="shared" si="127"/>
        <v>0</v>
      </c>
      <c r="BI827" s="13">
        <f t="shared" si="121"/>
        <v>0</v>
      </c>
      <c r="BM827" s="16">
        <f t="shared" si="122"/>
        <v>0</v>
      </c>
      <c r="BN827" s="21">
        <f t="shared" si="123"/>
        <v>0</v>
      </c>
      <c r="BO827" s="21">
        <f t="shared" si="124"/>
        <v>0</v>
      </c>
      <c r="BP827" s="21">
        <f t="shared" si="125"/>
        <v>0</v>
      </c>
      <c r="BQ827" s="14">
        <f t="shared" si="126"/>
        <v>0</v>
      </c>
      <c r="BR827" s="22" t="str">
        <f>IF(OR(AND(X827="Mourões", BQ827&gt;=6.5),AND(X827="Postes", BQ827&gt;=9.6),AND(X827="Dormentes", BQ827&gt;=9.6),AND(X827="Estacas - Solo", BQ827&gt;=6.5),AND(X827="Estacas - Suspenso", BQ827&gt;=4),AND(X827="Cruzetas", BQ827&gt;=6.5),AND(X827="Outros - Solo", BQ827&gt;=6.5),AND(X827="Outros - Suspenso",BQ827&gt;=4),AND(X827="Deck",BQ827&gt;=4)),'Listas suspensas'!$C$21,'Listas suspensas'!$C$22)</f>
        <v>Os resultados da análise química apresentaram uma retenção do produto inferior ao padrão mínimo exigido pela norma ABNT NBR 16143</v>
      </c>
    </row>
    <row r="828" spans="25:70" x14ac:dyDescent="0.25">
      <c r="Y828" s="34" t="str">
        <f>IF(X828='Listas suspensas'!$A$21,'Listas suspensas'!$B$23,IF(X828='Listas suspensas'!$A$22,'Listas suspensas'!$B$23,IF(X828='Listas suspensas'!$A$23,'Listas suspensas'!$B$22,IF(X828='Listas suspensas'!$A$26,'Listas suspensas'!$B$22,IF(X828='Listas suspensas'!$A$32,'Listas suspensas'!$B$22,IF(X828='Listas suspensas'!$A$33,'Listas suspensas'!$B$21,IF(X828='Listas suspensas'!$A$24,'Listas suspensas'!$B$22,IF(X828='Listas suspensas'!$A$25,'Listas suspensas'!$B$21,IF(X828='Listas suspensas'!$A$30,'Listas suspensas'!$B$21,"")))))))))</f>
        <v/>
      </c>
      <c r="AB828" s="8" t="str">
        <f>IF(AA828='Listas suspensas'!$A$2,'Listas suspensas'!$B$2,IF(AA828='Listas suspensas'!$A$3,'Listas suspensas'!$B$3,IF(AA828='Listas suspensas'!$A$4,'Listas suspensas'!$B$4,IF(AA828='Listas suspensas'!$A$5,'Listas suspensas'!$B$5,IF(AA828='Listas suspensas'!$A$6,'Listas suspensas'!$B$6,"")))))</f>
        <v/>
      </c>
      <c r="AC828" s="8" t="str">
        <f>IF(AA828='Listas suspensas'!$A$2,'Listas suspensas'!$C$2,IF(AA828='Listas suspensas'!$A$3,'Listas suspensas'!$C$3,IF(AA828='Listas suspensas'!$A$4,'Listas suspensas'!$C$4,IF(AA828='Listas suspensas'!$A$5,'Listas suspensas'!$C$5,IF(AA828='Listas suspensas'!$A$6,'Listas suspensas'!$C$6,"")))))</f>
        <v/>
      </c>
      <c r="BE828" s="18">
        <f t="shared" si="127"/>
        <v>0</v>
      </c>
      <c r="BI828" s="13">
        <f t="shared" si="121"/>
        <v>0</v>
      </c>
      <c r="BM828" s="16">
        <f t="shared" si="122"/>
        <v>0</v>
      </c>
      <c r="BN828" s="21">
        <f t="shared" si="123"/>
        <v>0</v>
      </c>
      <c r="BO828" s="21">
        <f t="shared" si="124"/>
        <v>0</v>
      </c>
      <c r="BP828" s="21">
        <f t="shared" si="125"/>
        <v>0</v>
      </c>
      <c r="BQ828" s="14">
        <f t="shared" si="126"/>
        <v>0</v>
      </c>
      <c r="BR828" s="22" t="str">
        <f>IF(OR(AND(X828="Mourões", BQ828&gt;=6.5),AND(X828="Postes", BQ828&gt;=9.6),AND(X828="Dormentes", BQ828&gt;=9.6),AND(X828="Estacas - Solo", BQ828&gt;=6.5),AND(X828="Estacas - Suspenso", BQ828&gt;=4),AND(X828="Cruzetas", BQ828&gt;=6.5),AND(X828="Outros - Solo", BQ828&gt;=6.5),AND(X828="Outros - Suspenso",BQ828&gt;=4),AND(X828="Deck",BQ828&gt;=4)),'Listas suspensas'!$C$21,'Listas suspensas'!$C$22)</f>
        <v>Os resultados da análise química apresentaram uma retenção do produto inferior ao padrão mínimo exigido pela norma ABNT NBR 16143</v>
      </c>
    </row>
    <row r="829" spans="25:70" x14ac:dyDescent="0.25">
      <c r="Y829" s="34" t="str">
        <f>IF(X829='Listas suspensas'!$A$21,'Listas suspensas'!$B$23,IF(X829='Listas suspensas'!$A$22,'Listas suspensas'!$B$23,IF(X829='Listas suspensas'!$A$23,'Listas suspensas'!$B$22,IF(X829='Listas suspensas'!$A$26,'Listas suspensas'!$B$22,IF(X829='Listas suspensas'!$A$32,'Listas suspensas'!$B$22,IF(X829='Listas suspensas'!$A$33,'Listas suspensas'!$B$21,IF(X829='Listas suspensas'!$A$24,'Listas suspensas'!$B$22,IF(X829='Listas suspensas'!$A$25,'Listas suspensas'!$B$21,IF(X829='Listas suspensas'!$A$30,'Listas suspensas'!$B$21,"")))))))))</f>
        <v/>
      </c>
      <c r="AB829" s="8" t="str">
        <f>IF(AA829='Listas suspensas'!$A$2,'Listas suspensas'!$B$2,IF(AA829='Listas suspensas'!$A$3,'Listas suspensas'!$B$3,IF(AA829='Listas suspensas'!$A$4,'Listas suspensas'!$B$4,IF(AA829='Listas suspensas'!$A$5,'Listas suspensas'!$B$5,IF(AA829='Listas suspensas'!$A$6,'Listas suspensas'!$B$6,"")))))</f>
        <v/>
      </c>
      <c r="AC829" s="8" t="str">
        <f>IF(AA829='Listas suspensas'!$A$2,'Listas suspensas'!$C$2,IF(AA829='Listas suspensas'!$A$3,'Listas suspensas'!$C$3,IF(AA829='Listas suspensas'!$A$4,'Listas suspensas'!$C$4,IF(AA829='Listas suspensas'!$A$5,'Listas suspensas'!$C$5,IF(AA829='Listas suspensas'!$A$6,'Listas suspensas'!$C$6,"")))))</f>
        <v/>
      </c>
      <c r="BE829" s="18">
        <f t="shared" si="127"/>
        <v>0</v>
      </c>
      <c r="BI829" s="13">
        <f t="shared" si="121"/>
        <v>0</v>
      </c>
      <c r="BM829" s="16">
        <f t="shared" si="122"/>
        <v>0</v>
      </c>
      <c r="BN829" s="21">
        <f t="shared" si="123"/>
        <v>0</v>
      </c>
      <c r="BO829" s="21">
        <f t="shared" si="124"/>
        <v>0</v>
      </c>
      <c r="BP829" s="21">
        <f t="shared" si="125"/>
        <v>0</v>
      </c>
      <c r="BQ829" s="14">
        <f t="shared" si="126"/>
        <v>0</v>
      </c>
      <c r="BR829" s="22" t="str">
        <f>IF(OR(AND(X829="Mourões", BQ829&gt;=6.5),AND(X829="Postes", BQ829&gt;=9.6),AND(X829="Dormentes", BQ829&gt;=9.6),AND(X829="Estacas - Solo", BQ829&gt;=6.5),AND(X829="Estacas - Suspenso", BQ829&gt;=4),AND(X829="Cruzetas", BQ829&gt;=6.5),AND(X829="Outros - Solo", BQ829&gt;=6.5),AND(X829="Outros - Suspenso",BQ829&gt;=4),AND(X829="Deck",BQ829&gt;=4)),'Listas suspensas'!$C$21,'Listas suspensas'!$C$22)</f>
        <v>Os resultados da análise química apresentaram uma retenção do produto inferior ao padrão mínimo exigido pela norma ABNT NBR 16143</v>
      </c>
    </row>
    <row r="830" spans="25:70" x14ac:dyDescent="0.25">
      <c r="Y830" s="34" t="str">
        <f>IF(X830='Listas suspensas'!$A$21,'Listas suspensas'!$B$23,IF(X830='Listas suspensas'!$A$22,'Listas suspensas'!$B$23,IF(X830='Listas suspensas'!$A$23,'Listas suspensas'!$B$22,IF(X830='Listas suspensas'!$A$26,'Listas suspensas'!$B$22,IF(X830='Listas suspensas'!$A$32,'Listas suspensas'!$B$22,IF(X830='Listas suspensas'!$A$33,'Listas suspensas'!$B$21,IF(X830='Listas suspensas'!$A$24,'Listas suspensas'!$B$22,IF(X830='Listas suspensas'!$A$25,'Listas suspensas'!$B$21,IF(X830='Listas suspensas'!$A$30,'Listas suspensas'!$B$21,"")))))))))</f>
        <v/>
      </c>
      <c r="AB830" s="8" t="str">
        <f>IF(AA830='Listas suspensas'!$A$2,'Listas suspensas'!$B$2,IF(AA830='Listas suspensas'!$A$3,'Listas suspensas'!$B$3,IF(AA830='Listas suspensas'!$A$4,'Listas suspensas'!$B$4,IF(AA830='Listas suspensas'!$A$5,'Listas suspensas'!$B$5,IF(AA830='Listas suspensas'!$A$6,'Listas suspensas'!$B$6,"")))))</f>
        <v/>
      </c>
      <c r="AC830" s="8" t="str">
        <f>IF(AA830='Listas suspensas'!$A$2,'Listas suspensas'!$C$2,IF(AA830='Listas suspensas'!$A$3,'Listas suspensas'!$C$3,IF(AA830='Listas suspensas'!$A$4,'Listas suspensas'!$C$4,IF(AA830='Listas suspensas'!$A$5,'Listas suspensas'!$C$5,IF(AA830='Listas suspensas'!$A$6,'Listas suspensas'!$C$6,"")))))</f>
        <v/>
      </c>
      <c r="BE830" s="18">
        <f t="shared" si="127"/>
        <v>0</v>
      </c>
      <c r="BI830" s="13">
        <f t="shared" si="121"/>
        <v>0</v>
      </c>
      <c r="BM830" s="16">
        <f t="shared" si="122"/>
        <v>0</v>
      </c>
      <c r="BN830" s="21">
        <f t="shared" si="123"/>
        <v>0</v>
      </c>
      <c r="BO830" s="21">
        <f t="shared" si="124"/>
        <v>0</v>
      </c>
      <c r="BP830" s="21">
        <f t="shared" si="125"/>
        <v>0</v>
      </c>
      <c r="BQ830" s="14">
        <f t="shared" si="126"/>
        <v>0</v>
      </c>
      <c r="BR830" s="22" t="str">
        <f>IF(OR(AND(X830="Mourões", BQ830&gt;=6.5),AND(X830="Postes", BQ830&gt;=9.6),AND(X830="Dormentes", BQ830&gt;=9.6),AND(X830="Estacas - Solo", BQ830&gt;=6.5),AND(X830="Estacas - Suspenso", BQ830&gt;=4),AND(X830="Cruzetas", BQ830&gt;=6.5),AND(X830="Outros - Solo", BQ830&gt;=6.5),AND(X830="Outros - Suspenso",BQ830&gt;=4),AND(X830="Deck",BQ830&gt;=4)),'Listas suspensas'!$C$21,'Listas suspensas'!$C$22)</f>
        <v>Os resultados da análise química apresentaram uma retenção do produto inferior ao padrão mínimo exigido pela norma ABNT NBR 16143</v>
      </c>
    </row>
    <row r="831" spans="25:70" x14ac:dyDescent="0.25">
      <c r="Y831" s="34" t="str">
        <f>IF(X831='Listas suspensas'!$A$21,'Listas suspensas'!$B$23,IF(X831='Listas suspensas'!$A$22,'Listas suspensas'!$B$23,IF(X831='Listas suspensas'!$A$23,'Listas suspensas'!$B$22,IF(X831='Listas suspensas'!$A$26,'Listas suspensas'!$B$22,IF(X831='Listas suspensas'!$A$32,'Listas suspensas'!$B$22,IF(X831='Listas suspensas'!$A$33,'Listas suspensas'!$B$21,IF(X831='Listas suspensas'!$A$24,'Listas suspensas'!$B$22,IF(X831='Listas suspensas'!$A$25,'Listas suspensas'!$B$21,IF(X831='Listas suspensas'!$A$30,'Listas suspensas'!$B$21,"")))))))))</f>
        <v/>
      </c>
      <c r="AB831" s="8" t="str">
        <f>IF(AA831='Listas suspensas'!$A$2,'Listas suspensas'!$B$2,IF(AA831='Listas suspensas'!$A$3,'Listas suspensas'!$B$3,IF(AA831='Listas suspensas'!$A$4,'Listas suspensas'!$B$4,IF(AA831='Listas suspensas'!$A$5,'Listas suspensas'!$B$5,IF(AA831='Listas suspensas'!$A$6,'Listas suspensas'!$B$6,"")))))</f>
        <v/>
      </c>
      <c r="AC831" s="8" t="str">
        <f>IF(AA831='Listas suspensas'!$A$2,'Listas suspensas'!$C$2,IF(AA831='Listas suspensas'!$A$3,'Listas suspensas'!$C$3,IF(AA831='Listas suspensas'!$A$4,'Listas suspensas'!$C$4,IF(AA831='Listas suspensas'!$A$5,'Listas suspensas'!$C$5,IF(AA831='Listas suspensas'!$A$6,'Listas suspensas'!$C$6,"")))))</f>
        <v/>
      </c>
      <c r="BE831" s="18">
        <f t="shared" si="127"/>
        <v>0</v>
      </c>
      <c r="BI831" s="13">
        <f t="shared" si="121"/>
        <v>0</v>
      </c>
      <c r="BM831" s="16">
        <f t="shared" si="122"/>
        <v>0</v>
      </c>
      <c r="BN831" s="21">
        <f t="shared" si="123"/>
        <v>0</v>
      </c>
      <c r="BO831" s="21">
        <f t="shared" si="124"/>
        <v>0</v>
      </c>
      <c r="BP831" s="21">
        <f t="shared" si="125"/>
        <v>0</v>
      </c>
      <c r="BQ831" s="14">
        <f t="shared" si="126"/>
        <v>0</v>
      </c>
      <c r="BR831" s="22" t="str">
        <f>IF(OR(AND(X831="Mourões", BQ831&gt;=6.5),AND(X831="Postes", BQ831&gt;=9.6),AND(X831="Dormentes", BQ831&gt;=9.6),AND(X831="Estacas - Solo", BQ831&gt;=6.5),AND(X831="Estacas - Suspenso", BQ831&gt;=4),AND(X831="Cruzetas", BQ831&gt;=6.5),AND(X831="Outros - Solo", BQ831&gt;=6.5),AND(X831="Outros - Suspenso",BQ831&gt;=4),AND(X831="Deck",BQ831&gt;=4)),'Listas suspensas'!$C$21,'Listas suspensas'!$C$22)</f>
        <v>Os resultados da análise química apresentaram uma retenção do produto inferior ao padrão mínimo exigido pela norma ABNT NBR 16143</v>
      </c>
    </row>
    <row r="832" spans="25:70" x14ac:dyDescent="0.25">
      <c r="Y832" s="34" t="str">
        <f>IF(X832='Listas suspensas'!$A$21,'Listas suspensas'!$B$23,IF(X832='Listas suspensas'!$A$22,'Listas suspensas'!$B$23,IF(X832='Listas suspensas'!$A$23,'Listas suspensas'!$B$22,IF(X832='Listas suspensas'!$A$26,'Listas suspensas'!$B$22,IF(X832='Listas suspensas'!$A$32,'Listas suspensas'!$B$22,IF(X832='Listas suspensas'!$A$33,'Listas suspensas'!$B$21,IF(X832='Listas suspensas'!$A$24,'Listas suspensas'!$B$22,IF(X832='Listas suspensas'!$A$25,'Listas suspensas'!$B$21,IF(X832='Listas suspensas'!$A$30,'Listas suspensas'!$B$21,"")))))))))</f>
        <v/>
      </c>
      <c r="AB832" s="8" t="str">
        <f>IF(AA832='Listas suspensas'!$A$2,'Listas suspensas'!$B$2,IF(AA832='Listas suspensas'!$A$3,'Listas suspensas'!$B$3,IF(AA832='Listas suspensas'!$A$4,'Listas suspensas'!$B$4,IF(AA832='Listas suspensas'!$A$5,'Listas suspensas'!$B$5,IF(AA832='Listas suspensas'!$A$6,'Listas suspensas'!$B$6,"")))))</f>
        <v/>
      </c>
      <c r="AC832" s="8" t="str">
        <f>IF(AA832='Listas suspensas'!$A$2,'Listas suspensas'!$C$2,IF(AA832='Listas suspensas'!$A$3,'Listas suspensas'!$C$3,IF(AA832='Listas suspensas'!$A$4,'Listas suspensas'!$C$4,IF(AA832='Listas suspensas'!$A$5,'Listas suspensas'!$C$5,IF(AA832='Listas suspensas'!$A$6,'Listas suspensas'!$C$6,"")))))</f>
        <v/>
      </c>
      <c r="BE832" s="18">
        <f t="shared" si="127"/>
        <v>0</v>
      </c>
      <c r="BI832" s="13">
        <f t="shared" si="121"/>
        <v>0</v>
      </c>
      <c r="BM832" s="16">
        <f t="shared" si="122"/>
        <v>0</v>
      </c>
      <c r="BN832" s="21">
        <f t="shared" si="123"/>
        <v>0</v>
      </c>
      <c r="BO832" s="21">
        <f t="shared" si="124"/>
        <v>0</v>
      </c>
      <c r="BP832" s="21">
        <f t="shared" si="125"/>
        <v>0</v>
      </c>
      <c r="BQ832" s="14">
        <f t="shared" si="126"/>
        <v>0</v>
      </c>
      <c r="BR832" s="22" t="str">
        <f>IF(OR(AND(X832="Mourões", BQ832&gt;=6.5),AND(X832="Postes", BQ832&gt;=9.6),AND(X832="Dormentes", BQ832&gt;=9.6),AND(X832="Estacas - Solo", BQ832&gt;=6.5),AND(X832="Estacas - Suspenso", BQ832&gt;=4),AND(X832="Cruzetas", BQ832&gt;=6.5),AND(X832="Outros - Solo", BQ832&gt;=6.5),AND(X832="Outros - Suspenso",BQ832&gt;=4),AND(X832="Deck",BQ832&gt;=4)),'Listas suspensas'!$C$21,'Listas suspensas'!$C$22)</f>
        <v>Os resultados da análise química apresentaram uma retenção do produto inferior ao padrão mínimo exigido pela norma ABNT NBR 16143</v>
      </c>
    </row>
    <row r="833" spans="25:70" x14ac:dyDescent="0.25">
      <c r="Y833" s="34" t="str">
        <f>IF(X833='Listas suspensas'!$A$21,'Listas suspensas'!$B$23,IF(X833='Listas suspensas'!$A$22,'Listas suspensas'!$B$23,IF(X833='Listas suspensas'!$A$23,'Listas suspensas'!$B$22,IF(X833='Listas suspensas'!$A$26,'Listas suspensas'!$B$22,IF(X833='Listas suspensas'!$A$32,'Listas suspensas'!$B$22,IF(X833='Listas suspensas'!$A$33,'Listas suspensas'!$B$21,IF(X833='Listas suspensas'!$A$24,'Listas suspensas'!$B$22,IF(X833='Listas suspensas'!$A$25,'Listas suspensas'!$B$21,IF(X833='Listas suspensas'!$A$30,'Listas suspensas'!$B$21,"")))))))))</f>
        <v/>
      </c>
      <c r="AB833" s="8" t="str">
        <f>IF(AA833='Listas suspensas'!$A$2,'Listas suspensas'!$B$2,IF(AA833='Listas suspensas'!$A$3,'Listas suspensas'!$B$3,IF(AA833='Listas suspensas'!$A$4,'Listas suspensas'!$B$4,IF(AA833='Listas suspensas'!$A$5,'Listas suspensas'!$B$5,IF(AA833='Listas suspensas'!$A$6,'Listas suspensas'!$B$6,"")))))</f>
        <v/>
      </c>
      <c r="AC833" s="8" t="str">
        <f>IF(AA833='Listas suspensas'!$A$2,'Listas suspensas'!$C$2,IF(AA833='Listas suspensas'!$A$3,'Listas suspensas'!$C$3,IF(AA833='Listas suspensas'!$A$4,'Listas suspensas'!$C$4,IF(AA833='Listas suspensas'!$A$5,'Listas suspensas'!$C$5,IF(AA833='Listas suspensas'!$A$6,'Listas suspensas'!$C$6,"")))))</f>
        <v/>
      </c>
      <c r="BE833" s="18">
        <f t="shared" si="127"/>
        <v>0</v>
      </c>
      <c r="BI833" s="13">
        <f t="shared" si="121"/>
        <v>0</v>
      </c>
      <c r="BM833" s="16">
        <f t="shared" si="122"/>
        <v>0</v>
      </c>
      <c r="BN833" s="21">
        <f t="shared" si="123"/>
        <v>0</v>
      </c>
      <c r="BO833" s="21">
        <f t="shared" si="124"/>
        <v>0</v>
      </c>
      <c r="BP833" s="21">
        <f t="shared" si="125"/>
        <v>0</v>
      </c>
      <c r="BQ833" s="14">
        <f t="shared" si="126"/>
        <v>0</v>
      </c>
      <c r="BR833" s="22" t="str">
        <f>IF(OR(AND(X833="Mourões", BQ833&gt;=6.5),AND(X833="Postes", BQ833&gt;=9.6),AND(X833="Dormentes", BQ833&gt;=9.6),AND(X833="Estacas - Solo", BQ833&gt;=6.5),AND(X833="Estacas - Suspenso", BQ833&gt;=4),AND(X833="Cruzetas", BQ833&gt;=6.5),AND(X833="Outros - Solo", BQ833&gt;=6.5),AND(X833="Outros - Suspenso",BQ833&gt;=4),AND(X833="Deck",BQ833&gt;=4)),'Listas suspensas'!$C$21,'Listas suspensas'!$C$22)</f>
        <v>Os resultados da análise química apresentaram uma retenção do produto inferior ao padrão mínimo exigido pela norma ABNT NBR 16143</v>
      </c>
    </row>
    <row r="834" spans="25:70" x14ac:dyDescent="0.25">
      <c r="Y834" s="34" t="str">
        <f>IF(X834='Listas suspensas'!$A$21,'Listas suspensas'!$B$23,IF(X834='Listas suspensas'!$A$22,'Listas suspensas'!$B$23,IF(X834='Listas suspensas'!$A$23,'Listas suspensas'!$B$22,IF(X834='Listas suspensas'!$A$26,'Listas suspensas'!$B$22,IF(X834='Listas suspensas'!$A$32,'Listas suspensas'!$B$22,IF(X834='Listas suspensas'!$A$33,'Listas suspensas'!$B$21,IF(X834='Listas suspensas'!$A$24,'Listas suspensas'!$B$22,IF(X834='Listas suspensas'!$A$25,'Listas suspensas'!$B$21,IF(X834='Listas suspensas'!$A$30,'Listas suspensas'!$B$21,"")))))))))</f>
        <v/>
      </c>
      <c r="AB834" s="8" t="str">
        <f>IF(AA834='Listas suspensas'!$A$2,'Listas suspensas'!$B$2,IF(AA834='Listas suspensas'!$A$3,'Listas suspensas'!$B$3,IF(AA834='Listas suspensas'!$A$4,'Listas suspensas'!$B$4,IF(AA834='Listas suspensas'!$A$5,'Listas suspensas'!$B$5,IF(AA834='Listas suspensas'!$A$6,'Listas suspensas'!$B$6,"")))))</f>
        <v/>
      </c>
      <c r="AC834" s="8" t="str">
        <f>IF(AA834='Listas suspensas'!$A$2,'Listas suspensas'!$C$2,IF(AA834='Listas suspensas'!$A$3,'Listas suspensas'!$C$3,IF(AA834='Listas suspensas'!$A$4,'Listas suspensas'!$C$4,IF(AA834='Listas suspensas'!$A$5,'Listas suspensas'!$C$5,IF(AA834='Listas suspensas'!$A$6,'Listas suspensas'!$C$6,"")))))</f>
        <v/>
      </c>
      <c r="BE834" s="18">
        <f t="shared" si="127"/>
        <v>0</v>
      </c>
      <c r="BI834" s="13">
        <f t="shared" si="121"/>
        <v>0</v>
      </c>
      <c r="BM834" s="16">
        <f t="shared" si="122"/>
        <v>0</v>
      </c>
      <c r="BN834" s="21">
        <f t="shared" si="123"/>
        <v>0</v>
      </c>
      <c r="BO834" s="21">
        <f t="shared" si="124"/>
        <v>0</v>
      </c>
      <c r="BP834" s="21">
        <f t="shared" si="125"/>
        <v>0</v>
      </c>
      <c r="BQ834" s="14">
        <f t="shared" si="126"/>
        <v>0</v>
      </c>
      <c r="BR834" s="22" t="str">
        <f>IF(OR(AND(X834="Mourões", BQ834&gt;=6.5),AND(X834="Postes", BQ834&gt;=9.6),AND(X834="Dormentes", BQ834&gt;=9.6),AND(X834="Estacas - Solo", BQ834&gt;=6.5),AND(X834="Estacas - Suspenso", BQ834&gt;=4),AND(X834="Cruzetas", BQ834&gt;=6.5),AND(X834="Outros - Solo", BQ834&gt;=6.5),AND(X834="Outros - Suspenso",BQ834&gt;=4),AND(X834="Deck",BQ834&gt;=4)),'Listas suspensas'!$C$21,'Listas suspensas'!$C$22)</f>
        <v>Os resultados da análise química apresentaram uma retenção do produto inferior ao padrão mínimo exigido pela norma ABNT NBR 16143</v>
      </c>
    </row>
    <row r="835" spans="25:70" x14ac:dyDescent="0.25">
      <c r="Y835" s="34" t="str">
        <f>IF(X835='Listas suspensas'!$A$21,'Listas suspensas'!$B$23,IF(X835='Listas suspensas'!$A$22,'Listas suspensas'!$B$23,IF(X835='Listas suspensas'!$A$23,'Listas suspensas'!$B$22,IF(X835='Listas suspensas'!$A$26,'Listas suspensas'!$B$22,IF(X835='Listas suspensas'!$A$32,'Listas suspensas'!$B$22,IF(X835='Listas suspensas'!$A$33,'Listas suspensas'!$B$21,IF(X835='Listas suspensas'!$A$24,'Listas suspensas'!$B$22,IF(X835='Listas suspensas'!$A$25,'Listas suspensas'!$B$21,IF(X835='Listas suspensas'!$A$30,'Listas suspensas'!$B$21,"")))))))))</f>
        <v/>
      </c>
      <c r="AB835" s="8" t="str">
        <f>IF(AA835='Listas suspensas'!$A$2,'Listas suspensas'!$B$2,IF(AA835='Listas suspensas'!$A$3,'Listas suspensas'!$B$3,IF(AA835='Listas suspensas'!$A$4,'Listas suspensas'!$B$4,IF(AA835='Listas suspensas'!$A$5,'Listas suspensas'!$B$5,IF(AA835='Listas suspensas'!$A$6,'Listas suspensas'!$B$6,"")))))</f>
        <v/>
      </c>
      <c r="AC835" s="8" t="str">
        <f>IF(AA835='Listas suspensas'!$A$2,'Listas suspensas'!$C$2,IF(AA835='Listas suspensas'!$A$3,'Listas suspensas'!$C$3,IF(AA835='Listas suspensas'!$A$4,'Listas suspensas'!$C$4,IF(AA835='Listas suspensas'!$A$5,'Listas suspensas'!$C$5,IF(AA835='Listas suspensas'!$A$6,'Listas suspensas'!$C$6,"")))))</f>
        <v/>
      </c>
      <c r="BE835" s="18">
        <f t="shared" si="127"/>
        <v>0</v>
      </c>
      <c r="BI835" s="13">
        <f t="shared" ref="BI835:BI841" si="128">SUM(BF835:BH835)</f>
        <v>0</v>
      </c>
      <c r="BM835" s="16">
        <f t="shared" si="122"/>
        <v>0</v>
      </c>
      <c r="BN835" s="21">
        <f t="shared" si="123"/>
        <v>0</v>
      </c>
      <c r="BO835" s="21">
        <f t="shared" si="124"/>
        <v>0</v>
      </c>
      <c r="BP835" s="21">
        <f t="shared" si="125"/>
        <v>0</v>
      </c>
      <c r="BQ835" s="14">
        <f t="shared" si="126"/>
        <v>0</v>
      </c>
      <c r="BR835" s="22" t="str">
        <f>IF(OR(AND(X835="Mourões", BQ835&gt;=6.5),AND(X835="Postes", BQ835&gt;=9.6),AND(X835="Dormentes", BQ835&gt;=9.6),AND(X835="Estacas - Solo", BQ835&gt;=6.5),AND(X835="Estacas - Suspenso", BQ835&gt;=4),AND(X835="Cruzetas", BQ835&gt;=6.5),AND(X835="Outros - Solo", BQ835&gt;=6.5),AND(X835="Outros - Suspenso",BQ835&gt;=4),AND(X835="Deck",BQ835&gt;=4)),'Listas suspensas'!$C$21,'Listas suspensas'!$C$22)</f>
        <v>Os resultados da análise química apresentaram uma retenção do produto inferior ao padrão mínimo exigido pela norma ABNT NBR 16143</v>
      </c>
    </row>
    <row r="836" spans="25:70" x14ac:dyDescent="0.25">
      <c r="Y836" s="34" t="str">
        <f>IF(X836='Listas suspensas'!$A$21,'Listas suspensas'!$B$23,IF(X836='Listas suspensas'!$A$22,'Listas suspensas'!$B$23,IF(X836='Listas suspensas'!$A$23,'Listas suspensas'!$B$22,IF(X836='Listas suspensas'!$A$26,'Listas suspensas'!$B$22,IF(X836='Listas suspensas'!$A$32,'Listas suspensas'!$B$22,IF(X836='Listas suspensas'!$A$33,'Listas suspensas'!$B$21,IF(X836='Listas suspensas'!$A$24,'Listas suspensas'!$B$22,IF(X836='Listas suspensas'!$A$25,'Listas suspensas'!$B$21,IF(X836='Listas suspensas'!$A$30,'Listas suspensas'!$B$21,"")))))))))</f>
        <v/>
      </c>
      <c r="AB836" s="8" t="str">
        <f>IF(AA836='Listas suspensas'!$A$2,'Listas suspensas'!$B$2,IF(AA836='Listas suspensas'!$A$3,'Listas suspensas'!$B$3,IF(AA836='Listas suspensas'!$A$4,'Listas suspensas'!$B$4,IF(AA836='Listas suspensas'!$A$5,'Listas suspensas'!$B$5,IF(AA836='Listas suspensas'!$A$6,'Listas suspensas'!$B$6,"")))))</f>
        <v/>
      </c>
      <c r="AC836" s="8" t="str">
        <f>IF(AA836='Listas suspensas'!$A$2,'Listas suspensas'!$C$2,IF(AA836='Listas suspensas'!$A$3,'Listas suspensas'!$C$3,IF(AA836='Listas suspensas'!$A$4,'Listas suspensas'!$C$4,IF(AA836='Listas suspensas'!$A$5,'Listas suspensas'!$C$5,IF(AA836='Listas suspensas'!$A$6,'Listas suspensas'!$C$6,"")))))</f>
        <v/>
      </c>
      <c r="BE836" s="18">
        <f t="shared" si="127"/>
        <v>0</v>
      </c>
      <c r="BI836" s="13">
        <f t="shared" si="128"/>
        <v>0</v>
      </c>
      <c r="BM836" s="16">
        <f t="shared" si="122"/>
        <v>0</v>
      </c>
      <c r="BN836" s="21">
        <f t="shared" si="123"/>
        <v>0</v>
      </c>
      <c r="BO836" s="21">
        <f t="shared" si="124"/>
        <v>0</v>
      </c>
      <c r="BP836" s="21">
        <f t="shared" si="125"/>
        <v>0</v>
      </c>
      <c r="BQ836" s="14">
        <f t="shared" si="126"/>
        <v>0</v>
      </c>
      <c r="BR836" s="22" t="str">
        <f>IF(OR(AND(X836="Mourões", BQ836&gt;=6.5),AND(X836="Postes", BQ836&gt;=9.6),AND(X836="Dormentes", BQ836&gt;=9.6),AND(X836="Estacas - Solo", BQ836&gt;=6.5),AND(X836="Estacas - Suspenso", BQ836&gt;=4),AND(X836="Cruzetas", BQ836&gt;=6.5),AND(X836="Outros - Solo", BQ836&gt;=6.5),AND(X836="Outros - Suspenso",BQ836&gt;=4),AND(X836="Deck",BQ836&gt;=4)),'Listas suspensas'!$C$21,'Listas suspensas'!$C$22)</f>
        <v>Os resultados da análise química apresentaram uma retenção do produto inferior ao padrão mínimo exigido pela norma ABNT NBR 16143</v>
      </c>
    </row>
    <row r="837" spans="25:70" x14ac:dyDescent="0.25">
      <c r="Y837" s="34" t="str">
        <f>IF(X837='Listas suspensas'!$A$21,'Listas suspensas'!$B$23,IF(X837='Listas suspensas'!$A$22,'Listas suspensas'!$B$23,IF(X837='Listas suspensas'!$A$23,'Listas suspensas'!$B$22,IF(X837='Listas suspensas'!$A$26,'Listas suspensas'!$B$22,IF(X837='Listas suspensas'!$A$32,'Listas suspensas'!$B$22,IF(X837='Listas suspensas'!$A$33,'Listas suspensas'!$B$21,IF(X837='Listas suspensas'!$A$24,'Listas suspensas'!$B$22,IF(X837='Listas suspensas'!$A$25,'Listas suspensas'!$B$21,IF(X837='Listas suspensas'!$A$30,'Listas suspensas'!$B$21,"")))))))))</f>
        <v/>
      </c>
      <c r="AB837" s="8" t="str">
        <f>IF(AA837='Listas suspensas'!$A$2,'Listas suspensas'!$B$2,IF(AA837='Listas suspensas'!$A$3,'Listas suspensas'!$B$3,IF(AA837='Listas suspensas'!$A$4,'Listas suspensas'!$B$4,IF(AA837='Listas suspensas'!$A$5,'Listas suspensas'!$B$5,IF(AA837='Listas suspensas'!$A$6,'Listas suspensas'!$B$6,"")))))</f>
        <v/>
      </c>
      <c r="AC837" s="8" t="str">
        <f>IF(AA837='Listas suspensas'!$A$2,'Listas suspensas'!$C$2,IF(AA837='Listas suspensas'!$A$3,'Listas suspensas'!$C$3,IF(AA837='Listas suspensas'!$A$4,'Listas suspensas'!$C$4,IF(AA837='Listas suspensas'!$A$5,'Listas suspensas'!$C$5,IF(AA837='Listas suspensas'!$A$6,'Listas suspensas'!$C$6,"")))))</f>
        <v/>
      </c>
      <c r="BE837" s="18">
        <f t="shared" si="127"/>
        <v>0</v>
      </c>
      <c r="BI837" s="13">
        <f t="shared" si="128"/>
        <v>0</v>
      </c>
      <c r="BM837" s="16">
        <f t="shared" si="122"/>
        <v>0</v>
      </c>
      <c r="BN837" s="21">
        <f t="shared" si="123"/>
        <v>0</v>
      </c>
      <c r="BO837" s="21">
        <f t="shared" si="124"/>
        <v>0</v>
      </c>
      <c r="BP837" s="21">
        <f t="shared" si="125"/>
        <v>0</v>
      </c>
      <c r="BQ837" s="14">
        <f t="shared" si="126"/>
        <v>0</v>
      </c>
      <c r="BR837" s="22" t="str">
        <f>IF(OR(AND(X837="Mourões", BQ837&gt;=6.5),AND(X837="Postes", BQ837&gt;=9.6),AND(X837="Dormentes", BQ837&gt;=9.6),AND(X837="Estacas - Solo", BQ837&gt;=6.5),AND(X837="Estacas - Suspenso", BQ837&gt;=4),AND(X837="Cruzetas", BQ837&gt;=6.5),AND(X837="Outros - Solo", BQ837&gt;=6.5),AND(X837="Outros - Suspenso",BQ837&gt;=4),AND(X837="Deck",BQ837&gt;=4)),'Listas suspensas'!$C$21,'Listas suspensas'!$C$22)</f>
        <v>Os resultados da análise química apresentaram uma retenção do produto inferior ao padrão mínimo exigido pela norma ABNT NBR 16143</v>
      </c>
    </row>
    <row r="838" spans="25:70" x14ac:dyDescent="0.25">
      <c r="Y838" s="34" t="str">
        <f>IF(X838='Listas suspensas'!$A$21,'Listas suspensas'!$B$23,IF(X838='Listas suspensas'!$A$22,'Listas suspensas'!$B$23,IF(X838='Listas suspensas'!$A$23,'Listas suspensas'!$B$22,IF(X838='Listas suspensas'!$A$26,'Listas suspensas'!$B$22,IF(X838='Listas suspensas'!$A$32,'Listas suspensas'!$B$22,IF(X838='Listas suspensas'!$A$33,'Listas suspensas'!$B$21,IF(X838='Listas suspensas'!$A$24,'Listas suspensas'!$B$22,IF(X838='Listas suspensas'!$A$25,'Listas suspensas'!$B$21,IF(X838='Listas suspensas'!$A$30,'Listas suspensas'!$B$21,"")))))))))</f>
        <v/>
      </c>
      <c r="AB838" s="8" t="str">
        <f>IF(AA838='Listas suspensas'!$A$2,'Listas suspensas'!$B$2,IF(AA838='Listas suspensas'!$A$3,'Listas suspensas'!$B$3,IF(AA838='Listas suspensas'!$A$4,'Listas suspensas'!$B$4,IF(AA838='Listas suspensas'!$A$5,'Listas suspensas'!$B$5,IF(AA838='Listas suspensas'!$A$6,'Listas suspensas'!$B$6,"")))))</f>
        <v/>
      </c>
      <c r="AC838" s="8" t="str">
        <f>IF(AA838='Listas suspensas'!$A$2,'Listas suspensas'!$C$2,IF(AA838='Listas suspensas'!$A$3,'Listas suspensas'!$C$3,IF(AA838='Listas suspensas'!$A$4,'Listas suspensas'!$C$4,IF(AA838='Listas suspensas'!$A$5,'Listas suspensas'!$C$5,IF(AA838='Listas suspensas'!$A$6,'Listas suspensas'!$C$6,"")))))</f>
        <v/>
      </c>
      <c r="BE838" s="18">
        <f t="shared" si="127"/>
        <v>0</v>
      </c>
      <c r="BI838" s="13">
        <f t="shared" si="128"/>
        <v>0</v>
      </c>
      <c r="BM838" s="16">
        <f t="shared" si="122"/>
        <v>0</v>
      </c>
      <c r="BN838" s="21">
        <f t="shared" si="123"/>
        <v>0</v>
      </c>
      <c r="BO838" s="21">
        <f t="shared" si="124"/>
        <v>0</v>
      </c>
      <c r="BP838" s="21">
        <f t="shared" si="125"/>
        <v>0</v>
      </c>
      <c r="BQ838" s="14">
        <f t="shared" si="126"/>
        <v>0</v>
      </c>
      <c r="BR838" s="22" t="str">
        <f>IF(OR(AND(X838="Mourões", BQ838&gt;=6.5),AND(X838="Postes", BQ838&gt;=9.6),AND(X838="Dormentes", BQ838&gt;=9.6),AND(X838="Estacas - Solo", BQ838&gt;=6.5),AND(X838="Estacas - Suspenso", BQ838&gt;=4),AND(X838="Cruzetas", BQ838&gt;=6.5),AND(X838="Outros - Solo", BQ838&gt;=6.5),AND(X838="Outros - Suspenso",BQ838&gt;=4),AND(X838="Deck",BQ838&gt;=4)),'Listas suspensas'!$C$21,'Listas suspensas'!$C$22)</f>
        <v>Os resultados da análise química apresentaram uma retenção do produto inferior ao padrão mínimo exigido pela norma ABNT NBR 16143</v>
      </c>
    </row>
    <row r="839" spans="25:70" x14ac:dyDescent="0.25">
      <c r="Y839" s="34" t="str">
        <f>IF(X839='Listas suspensas'!$A$21,'Listas suspensas'!$B$23,IF(X839='Listas suspensas'!$A$22,'Listas suspensas'!$B$23,IF(X839='Listas suspensas'!$A$23,'Listas suspensas'!$B$22,IF(X839='Listas suspensas'!$A$26,'Listas suspensas'!$B$22,IF(X839='Listas suspensas'!$A$32,'Listas suspensas'!$B$22,IF(X839='Listas suspensas'!$A$33,'Listas suspensas'!$B$21,IF(X839='Listas suspensas'!$A$24,'Listas suspensas'!$B$22,IF(X839='Listas suspensas'!$A$25,'Listas suspensas'!$B$21,IF(X839='Listas suspensas'!$A$30,'Listas suspensas'!$B$21,"")))))))))</f>
        <v/>
      </c>
      <c r="AB839" s="8" t="str">
        <f>IF(AA839='Listas suspensas'!$A$2,'Listas suspensas'!$B$2,IF(AA839='Listas suspensas'!$A$3,'Listas suspensas'!$B$3,IF(AA839='Listas suspensas'!$A$4,'Listas suspensas'!$B$4,IF(AA839='Listas suspensas'!$A$5,'Listas suspensas'!$B$5,IF(AA839='Listas suspensas'!$A$6,'Listas suspensas'!$B$6,"")))))</f>
        <v/>
      </c>
      <c r="AC839" s="8" t="str">
        <f>IF(AA839='Listas suspensas'!$A$2,'Listas suspensas'!$C$2,IF(AA839='Listas suspensas'!$A$3,'Listas suspensas'!$C$3,IF(AA839='Listas suspensas'!$A$4,'Listas suspensas'!$C$4,IF(AA839='Listas suspensas'!$A$5,'Listas suspensas'!$C$5,IF(AA839='Listas suspensas'!$A$6,'Listas suspensas'!$C$6,"")))))</f>
        <v/>
      </c>
      <c r="BE839" s="18">
        <f t="shared" si="127"/>
        <v>0</v>
      </c>
      <c r="BI839" s="13">
        <f t="shared" si="128"/>
        <v>0</v>
      </c>
      <c r="BM839" s="16">
        <f t="shared" si="122"/>
        <v>0</v>
      </c>
      <c r="BN839" s="21">
        <f t="shared" si="123"/>
        <v>0</v>
      </c>
      <c r="BO839" s="21">
        <f t="shared" si="124"/>
        <v>0</v>
      </c>
      <c r="BP839" s="21">
        <f t="shared" si="125"/>
        <v>0</v>
      </c>
      <c r="BQ839" s="14">
        <f t="shared" si="126"/>
        <v>0</v>
      </c>
      <c r="BR839" s="22" t="str">
        <f>IF(OR(AND(X839="Mourões", BQ839&gt;=6.5),AND(X839="Postes", BQ839&gt;=9.6),AND(X839="Dormentes", BQ839&gt;=9.6),AND(X839="Estacas - Solo", BQ839&gt;=6.5),AND(X839="Estacas - Suspenso", BQ839&gt;=4),AND(X839="Cruzetas", BQ839&gt;=6.5),AND(X839="Outros - Solo", BQ839&gt;=6.5),AND(X839="Outros - Suspenso",BQ839&gt;=4),AND(X839="Deck",BQ839&gt;=4)),'Listas suspensas'!$C$21,'Listas suspensas'!$C$22)</f>
        <v>Os resultados da análise química apresentaram uma retenção do produto inferior ao padrão mínimo exigido pela norma ABNT NBR 16143</v>
      </c>
    </row>
    <row r="840" spans="25:70" x14ac:dyDescent="0.25">
      <c r="Y840" s="34" t="str">
        <f>IF(X840='Listas suspensas'!$A$21,'Listas suspensas'!$B$23,IF(X840='Listas suspensas'!$A$22,'Listas suspensas'!$B$23,IF(X840='Listas suspensas'!$A$23,'Listas suspensas'!$B$22,IF(X840='Listas suspensas'!$A$26,'Listas suspensas'!$B$22,IF(X840='Listas suspensas'!$A$32,'Listas suspensas'!$B$22,IF(X840='Listas suspensas'!$A$33,'Listas suspensas'!$B$21,IF(X840='Listas suspensas'!$A$24,'Listas suspensas'!$B$22,IF(X840='Listas suspensas'!$A$25,'Listas suspensas'!$B$21,IF(X840='Listas suspensas'!$A$30,'Listas suspensas'!$B$21,"")))))))))</f>
        <v/>
      </c>
      <c r="AB840" s="8" t="str">
        <f>IF(AA840='Listas suspensas'!$A$2,'Listas suspensas'!$B$2,IF(AA840='Listas suspensas'!$A$3,'Listas suspensas'!$B$3,IF(AA840='Listas suspensas'!$A$4,'Listas suspensas'!$B$4,IF(AA840='Listas suspensas'!$A$5,'Listas suspensas'!$B$5,IF(AA840='Listas suspensas'!$A$6,'Listas suspensas'!$B$6,"")))))</f>
        <v/>
      </c>
      <c r="AC840" s="8" t="str">
        <f>IF(AA840='Listas suspensas'!$A$2,'Listas suspensas'!$C$2,IF(AA840='Listas suspensas'!$A$3,'Listas suspensas'!$C$3,IF(AA840='Listas suspensas'!$A$4,'Listas suspensas'!$C$4,IF(AA840='Listas suspensas'!$A$5,'Listas suspensas'!$C$5,IF(AA840='Listas suspensas'!$A$6,'Listas suspensas'!$C$6,"")))))</f>
        <v/>
      </c>
      <c r="BE840" s="18">
        <f t="shared" si="127"/>
        <v>0</v>
      </c>
      <c r="BI840" s="13">
        <f t="shared" si="128"/>
        <v>0</v>
      </c>
      <c r="BM840" s="16">
        <f t="shared" si="122"/>
        <v>0</v>
      </c>
      <c r="BN840" s="21">
        <f t="shared" si="123"/>
        <v>0</v>
      </c>
      <c r="BO840" s="21">
        <f t="shared" si="124"/>
        <v>0</v>
      </c>
      <c r="BP840" s="21">
        <f t="shared" si="125"/>
        <v>0</v>
      </c>
      <c r="BQ840" s="14">
        <f t="shared" si="126"/>
        <v>0</v>
      </c>
      <c r="BR840" s="22" t="str">
        <f>IF(OR(AND(X840="Mourões", BQ840&gt;=6.5),AND(X840="Postes", BQ840&gt;=9.6),AND(X840="Dormentes", BQ840&gt;=9.6),AND(X840="Estacas - Solo", BQ840&gt;=6.5),AND(X840="Estacas - Suspenso", BQ840&gt;=4),AND(X840="Cruzetas", BQ840&gt;=6.5),AND(X840="Outros - Solo", BQ840&gt;=6.5),AND(X840="Outros - Suspenso",BQ840&gt;=4),AND(X840="Deck",BQ840&gt;=4)),'Listas suspensas'!$C$21,'Listas suspensas'!$C$22)</f>
        <v>Os resultados da análise química apresentaram uma retenção do produto inferior ao padrão mínimo exigido pela norma ABNT NBR 16143</v>
      </c>
    </row>
    <row r="841" spans="25:70" x14ac:dyDescent="0.25">
      <c r="Y841" s="34" t="str">
        <f>IF(X841='Listas suspensas'!$A$21,'Listas suspensas'!$B$23,IF(X841='Listas suspensas'!$A$22,'Listas suspensas'!$B$23,IF(X841='Listas suspensas'!$A$23,'Listas suspensas'!$B$22,IF(X841='Listas suspensas'!$A$26,'Listas suspensas'!$B$22,IF(X841='Listas suspensas'!$A$32,'Listas suspensas'!$B$22,IF(X841='Listas suspensas'!$A$33,'Listas suspensas'!$B$21,IF(X841='Listas suspensas'!$A$24,'Listas suspensas'!$B$22,IF(X841='Listas suspensas'!$A$25,'Listas suspensas'!$B$21,IF(X841='Listas suspensas'!$A$30,'Listas suspensas'!$B$21,"")))))))))</f>
        <v/>
      </c>
      <c r="AB841" s="8" t="str">
        <f>IF(AA841='Listas suspensas'!$A$2,'Listas suspensas'!$B$2,IF(AA841='Listas suspensas'!$A$3,'Listas suspensas'!$B$3,IF(AA841='Listas suspensas'!$A$4,'Listas suspensas'!$B$4,IF(AA841='Listas suspensas'!$A$5,'Listas suspensas'!$B$5,IF(AA841='Listas suspensas'!$A$6,'Listas suspensas'!$B$6,"")))))</f>
        <v/>
      </c>
      <c r="AC841" s="8" t="str">
        <f>IF(AA841='Listas suspensas'!$A$2,'Listas suspensas'!$C$2,IF(AA841='Listas suspensas'!$A$3,'Listas suspensas'!$C$3,IF(AA841='Listas suspensas'!$A$4,'Listas suspensas'!$C$4,IF(AA841='Listas suspensas'!$A$5,'Listas suspensas'!$C$5,IF(AA841='Listas suspensas'!$A$6,'Listas suspensas'!$C$6,"")))))</f>
        <v/>
      </c>
      <c r="BE841" s="18">
        <f t="shared" si="127"/>
        <v>0</v>
      </c>
      <c r="BI841" s="13">
        <f t="shared" si="128"/>
        <v>0</v>
      </c>
      <c r="BM841" s="16">
        <f t="shared" si="122"/>
        <v>0</v>
      </c>
      <c r="BN841" s="21">
        <f t="shared" si="123"/>
        <v>0</v>
      </c>
      <c r="BO841" s="21">
        <f t="shared" si="124"/>
        <v>0</v>
      </c>
      <c r="BP841" s="21">
        <f t="shared" si="125"/>
        <v>0</v>
      </c>
      <c r="BQ841" s="14">
        <f t="shared" si="126"/>
        <v>0</v>
      </c>
      <c r="BR841" s="22" t="str">
        <f>IF(OR(AND(X841="Mourões", BQ841&gt;=6.5),AND(X841="Postes", BQ841&gt;=9.6),AND(X841="Dormentes", BQ841&gt;=9.6),AND(X841="Estacas - Solo", BQ841&gt;=6.5),AND(X841="Estacas - Suspenso", BQ841&gt;=4),AND(X841="Cruzetas", BQ841&gt;=6.5),AND(X841="Outros - Solo", BQ841&gt;=6.5),AND(X841="Outros - Suspenso",BQ841&gt;=4),AND(X841="Deck",BQ841&gt;=4)),'Listas suspensas'!$C$21,'Listas suspensas'!$C$22)</f>
        <v>Os resultados da análise química apresentaram uma retenção do produto inferior ao padrão mínimo exigido pela norma ABNT NBR 16143</v>
      </c>
    </row>
  </sheetData>
  <autoFilter ref="A1:BR841" xr:uid="{00000000-0009-0000-0000-000000000000}"/>
  <phoneticPr fontId="3" type="noConversion"/>
  <hyperlinks>
    <hyperlink ref="M23" r:id="rId1" xr:uid="{00000000-0004-0000-0000-000000000000}"/>
    <hyperlink ref="M24" r:id="rId2" xr:uid="{00000000-0004-0000-0000-000001000000}"/>
    <hyperlink ref="M25" r:id="rId3" xr:uid="{00000000-0004-0000-0000-000002000000}"/>
    <hyperlink ref="M26" r:id="rId4" xr:uid="{00000000-0004-0000-0000-000003000000}"/>
    <hyperlink ref="M27" r:id="rId5" xr:uid="{00000000-0004-0000-0000-000004000000}"/>
    <hyperlink ref="M28" r:id="rId6" xr:uid="{00000000-0004-0000-0000-000005000000}"/>
    <hyperlink ref="M29" r:id="rId7" xr:uid="{00000000-0004-0000-0000-000006000000}"/>
    <hyperlink ref="M30" r:id="rId8" xr:uid="{00000000-0004-0000-0000-000007000000}"/>
    <hyperlink ref="M31" r:id="rId9" xr:uid="{00000000-0004-0000-0000-000008000000}"/>
    <hyperlink ref="M32" r:id="rId10" xr:uid="{00000000-0004-0000-0000-000009000000}"/>
    <hyperlink ref="M33" r:id="rId11" xr:uid="{00000000-0004-0000-0000-00000A000000}"/>
    <hyperlink ref="M34" r:id="rId12" xr:uid="{00000000-0004-0000-0000-00000B000000}"/>
    <hyperlink ref="M35" r:id="rId13" xr:uid="{00000000-0004-0000-0000-00000C000000}"/>
    <hyperlink ref="M36" r:id="rId14" xr:uid="{00000000-0004-0000-0000-00000D000000}"/>
    <hyperlink ref="M37" r:id="rId15" xr:uid="{00000000-0004-0000-0000-00000E000000}"/>
    <hyperlink ref="M38" r:id="rId16" xr:uid="{00000000-0004-0000-0000-00000F000000}"/>
    <hyperlink ref="M39" r:id="rId17" xr:uid="{00000000-0004-0000-0000-000010000000}"/>
    <hyperlink ref="M40" r:id="rId18" xr:uid="{00000000-0004-0000-0000-000011000000}"/>
    <hyperlink ref="M41" r:id="rId19" xr:uid="{00000000-0004-0000-0000-000012000000}"/>
    <hyperlink ref="M42" r:id="rId20" xr:uid="{00000000-0004-0000-0000-000013000000}"/>
    <hyperlink ref="M43" r:id="rId21" xr:uid="{00000000-0004-0000-0000-000014000000}"/>
    <hyperlink ref="M44" r:id="rId22" xr:uid="{00000000-0004-0000-0000-000015000000}"/>
    <hyperlink ref="M45" r:id="rId23" xr:uid="{00000000-0004-0000-0000-000016000000}"/>
    <hyperlink ref="M46" r:id="rId24" xr:uid="{00000000-0004-0000-0000-000017000000}"/>
    <hyperlink ref="M47" r:id="rId25" xr:uid="{00000000-0004-0000-0000-000018000000}"/>
    <hyperlink ref="M48:M50" r:id="rId26" display="secretaria@utramadmg.com" xr:uid="{00000000-0004-0000-0000-000019000000}"/>
    <hyperlink ref="M51" r:id="rId27" xr:uid="{00000000-0004-0000-0000-00001A000000}"/>
    <hyperlink ref="M52" r:id="rId28" xr:uid="{00000000-0004-0000-0000-00001B000000}"/>
    <hyperlink ref="M53" r:id="rId29" xr:uid="{00000000-0004-0000-0000-00001C000000}"/>
    <hyperlink ref="M54" r:id="rId30" xr:uid="{00000000-0004-0000-0000-00001D000000}"/>
    <hyperlink ref="M55" r:id="rId31" xr:uid="{00000000-0004-0000-0000-00001E000000}"/>
    <hyperlink ref="M56" r:id="rId32" xr:uid="{00000000-0004-0000-0000-00001F000000}"/>
    <hyperlink ref="M57" r:id="rId33" xr:uid="{00000000-0004-0000-0000-000020000000}"/>
    <hyperlink ref="M58" r:id="rId34" xr:uid="{00000000-0004-0000-0000-000021000000}"/>
    <hyperlink ref="M70" r:id="rId35" xr:uid="{00000000-0004-0000-0000-000022000000}"/>
    <hyperlink ref="M71" r:id="rId36" xr:uid="{00000000-0004-0000-0000-000023000000}"/>
    <hyperlink ref="M72" r:id="rId37" xr:uid="{00000000-0004-0000-0000-000024000000}"/>
    <hyperlink ref="M77" r:id="rId38" xr:uid="{00000000-0004-0000-0000-000025000000}"/>
    <hyperlink ref="M83" r:id="rId39" xr:uid="{00000000-0004-0000-0000-000026000000}"/>
    <hyperlink ref="M84" r:id="rId40" xr:uid="{00000000-0004-0000-0000-000027000000}"/>
    <hyperlink ref="M85" r:id="rId41" xr:uid="{00000000-0004-0000-0000-000028000000}"/>
    <hyperlink ref="M86" r:id="rId42" xr:uid="{00000000-0004-0000-0000-000029000000}"/>
    <hyperlink ref="M87" r:id="rId43" xr:uid="{00000000-0004-0000-0000-00002A000000}"/>
    <hyperlink ref="M88:M91" r:id="rId44" display="luamadeira@luamadeira.com.br" xr:uid="{00000000-0004-0000-0000-00002B000000}"/>
    <hyperlink ref="M98" r:id="rId45" xr:uid="{00000000-0004-0000-0000-00002C000000}"/>
    <hyperlink ref="M99" r:id="rId46" xr:uid="{00000000-0004-0000-0000-00002D000000}"/>
    <hyperlink ref="M100" r:id="rId47" xr:uid="{00000000-0004-0000-0000-00002E000000}"/>
    <hyperlink ref="M117" r:id="rId48" xr:uid="{00000000-0004-0000-0000-00002F000000}"/>
    <hyperlink ref="M118:M119" r:id="rId49" display="adm@bitalagro.com.br" xr:uid="{00000000-0004-0000-0000-000030000000}"/>
    <hyperlink ref="M120" r:id="rId50" xr:uid="{00000000-0004-0000-0000-000031000000}"/>
    <hyperlink ref="M121" r:id="rId51" xr:uid="{00000000-0004-0000-0000-000032000000}"/>
    <hyperlink ref="M122" r:id="rId52" xr:uid="{00000000-0004-0000-0000-000033000000}"/>
    <hyperlink ref="M123" r:id="rId53" xr:uid="{00000000-0004-0000-0000-000034000000}"/>
    <hyperlink ref="M124" r:id="rId54" xr:uid="{00000000-0004-0000-0000-000035000000}"/>
    <hyperlink ref="M125" r:id="rId55" xr:uid="{00000000-0004-0000-0000-000036000000}"/>
    <hyperlink ref="M126" r:id="rId56" xr:uid="{00000000-0004-0000-0000-000037000000}"/>
    <hyperlink ref="M127" r:id="rId57" xr:uid="{00000000-0004-0000-0000-000038000000}"/>
    <hyperlink ref="M128" r:id="rId58" xr:uid="{00000000-0004-0000-0000-000039000000}"/>
    <hyperlink ref="M129" r:id="rId59" xr:uid="{00000000-0004-0000-0000-00003A000000}"/>
    <hyperlink ref="M130" r:id="rId60" xr:uid="{00000000-0004-0000-0000-00003B000000}"/>
    <hyperlink ref="M131" r:id="rId61" xr:uid="{00000000-0004-0000-0000-00003C000000}"/>
    <hyperlink ref="M132" r:id="rId62" xr:uid="{00000000-0004-0000-0000-00003D000000}"/>
    <hyperlink ref="M133" r:id="rId63" xr:uid="{00000000-0004-0000-0000-00003E000000}"/>
    <hyperlink ref="M134" r:id="rId64" xr:uid="{00000000-0004-0000-0000-00003F000000}"/>
    <hyperlink ref="M135" r:id="rId65" xr:uid="{00000000-0004-0000-0000-000040000000}"/>
    <hyperlink ref="M136" r:id="rId66" xr:uid="{00000000-0004-0000-0000-000041000000}"/>
    <hyperlink ref="M137" r:id="rId67" xr:uid="{00000000-0004-0000-0000-000042000000}"/>
    <hyperlink ref="M138" r:id="rId68" xr:uid="{00000000-0004-0000-0000-000043000000}"/>
    <hyperlink ref="M139" r:id="rId69" xr:uid="{00000000-0004-0000-0000-000044000000}"/>
    <hyperlink ref="M140" r:id="rId70" xr:uid="{00000000-0004-0000-0000-000045000000}"/>
    <hyperlink ref="M141" r:id="rId71" xr:uid="{00000000-0004-0000-0000-000046000000}"/>
    <hyperlink ref="M142" r:id="rId72" xr:uid="{00000000-0004-0000-0000-000047000000}"/>
    <hyperlink ref="M143" r:id="rId73" xr:uid="{00000000-0004-0000-0000-000048000000}"/>
    <hyperlink ref="M144" r:id="rId74" xr:uid="{00000000-0004-0000-0000-000049000000}"/>
    <hyperlink ref="M145" r:id="rId75" xr:uid="{00000000-0004-0000-0000-00004A000000}"/>
    <hyperlink ref="M146" r:id="rId76" xr:uid="{00000000-0004-0000-0000-00004B000000}"/>
    <hyperlink ref="M147" r:id="rId77" xr:uid="{00000000-0004-0000-0000-00004C000000}"/>
    <hyperlink ref="M148" r:id="rId78" xr:uid="{00000000-0004-0000-0000-00004D000000}"/>
    <hyperlink ref="M149" r:id="rId79" xr:uid="{00000000-0004-0000-0000-00004E000000}"/>
    <hyperlink ref="M150:M154" r:id="rId80" display="adm@bitalagro.com.br" xr:uid="{00000000-0004-0000-0000-00004F000000}"/>
    <hyperlink ref="M155:M159" r:id="rId81" display="adm@bitalagro.com.br" xr:uid="{00000000-0004-0000-0000-000050000000}"/>
    <hyperlink ref="M160" r:id="rId82" xr:uid="{00000000-0004-0000-0000-000051000000}"/>
    <hyperlink ref="M161" r:id="rId83" xr:uid="{00000000-0004-0000-0000-000052000000}"/>
    <hyperlink ref="M162" r:id="rId84" xr:uid="{00000000-0004-0000-0000-000053000000}"/>
    <hyperlink ref="M163" r:id="rId85" xr:uid="{00000000-0004-0000-0000-000054000000}"/>
    <hyperlink ref="M164" r:id="rId86" xr:uid="{00000000-0004-0000-0000-000055000000}"/>
    <hyperlink ref="M165" r:id="rId87" xr:uid="{00000000-0004-0000-0000-000056000000}"/>
    <hyperlink ref="M166" r:id="rId88" xr:uid="{00000000-0004-0000-0000-000057000000}"/>
    <hyperlink ref="M167" r:id="rId89" xr:uid="{00000000-0004-0000-0000-000058000000}"/>
    <hyperlink ref="M168" r:id="rId90" xr:uid="{00000000-0004-0000-0000-000059000000}"/>
    <hyperlink ref="M169" r:id="rId91" xr:uid="{00000000-0004-0000-0000-00005A000000}"/>
    <hyperlink ref="M170" r:id="rId92" xr:uid="{00000000-0004-0000-0000-00005B000000}"/>
    <hyperlink ref="M171" r:id="rId93" xr:uid="{00000000-0004-0000-0000-00005C000000}"/>
    <hyperlink ref="M172" r:id="rId94" xr:uid="{00000000-0004-0000-0000-00005D000000}"/>
    <hyperlink ref="M173" r:id="rId95" xr:uid="{00000000-0004-0000-0000-00005E000000}"/>
    <hyperlink ref="M174" r:id="rId96" xr:uid="{00000000-0004-0000-0000-00005F000000}"/>
    <hyperlink ref="M175" r:id="rId97" xr:uid="{00000000-0004-0000-0000-000060000000}"/>
    <hyperlink ref="M176" r:id="rId98" xr:uid="{00000000-0004-0000-0000-000061000000}"/>
    <hyperlink ref="M177" r:id="rId99" xr:uid="{00000000-0004-0000-0000-000062000000}"/>
    <hyperlink ref="M178" r:id="rId100" xr:uid="{00000000-0004-0000-0000-000063000000}"/>
    <hyperlink ref="M179" r:id="rId101" xr:uid="{00000000-0004-0000-0000-000064000000}"/>
    <hyperlink ref="M180" r:id="rId102" xr:uid="{00000000-0004-0000-0000-000065000000}"/>
    <hyperlink ref="M181" r:id="rId103" xr:uid="{00000000-0004-0000-0000-000066000000}"/>
    <hyperlink ref="M182" r:id="rId104" xr:uid="{00000000-0004-0000-0000-000067000000}"/>
    <hyperlink ref="M183" r:id="rId105" xr:uid="{00000000-0004-0000-0000-000068000000}"/>
    <hyperlink ref="M192" r:id="rId106" xr:uid="{00000000-0004-0000-0000-000069000000}"/>
    <hyperlink ref="M193" r:id="rId107" xr:uid="{00000000-0004-0000-0000-00006A000000}"/>
    <hyperlink ref="M194" r:id="rId108" xr:uid="{00000000-0004-0000-0000-00006B000000}"/>
    <hyperlink ref="M195" r:id="rId109" xr:uid="{00000000-0004-0000-0000-00006C000000}"/>
    <hyperlink ref="M196" r:id="rId110" xr:uid="{00000000-0004-0000-0000-00006D000000}"/>
    <hyperlink ref="M197" r:id="rId111" xr:uid="{00000000-0004-0000-0000-00006E000000}"/>
    <hyperlink ref="M198" r:id="rId112" xr:uid="{00000000-0004-0000-0000-00006F000000}"/>
    <hyperlink ref="M199" r:id="rId113" xr:uid="{00000000-0004-0000-0000-000070000000}"/>
    <hyperlink ref="M200" r:id="rId114" xr:uid="{00000000-0004-0000-0000-000071000000}"/>
    <hyperlink ref="M201" r:id="rId115" xr:uid="{00000000-0004-0000-0000-000072000000}"/>
    <hyperlink ref="M203" r:id="rId116" xr:uid="{00000000-0004-0000-0000-000073000000}"/>
    <hyperlink ref="M204" r:id="rId117" xr:uid="{00000000-0004-0000-0000-000074000000}"/>
    <hyperlink ref="M205" r:id="rId118" xr:uid="{00000000-0004-0000-0000-000075000000}"/>
    <hyperlink ref="M206" r:id="rId119" xr:uid="{00000000-0004-0000-0000-000076000000}"/>
    <hyperlink ref="M208" r:id="rId120" xr:uid="{00000000-0004-0000-0000-000077000000}"/>
    <hyperlink ref="M212" r:id="rId121" xr:uid="{00000000-0004-0000-0000-000078000000}"/>
    <hyperlink ref="M213" r:id="rId122" xr:uid="{00000000-0004-0000-0000-000079000000}"/>
    <hyperlink ref="M214" r:id="rId123" xr:uid="{00000000-0004-0000-0000-00007A000000}"/>
    <hyperlink ref="M215" r:id="rId124" xr:uid="{00000000-0004-0000-0000-00007B000000}"/>
    <hyperlink ref="M216" r:id="rId125" xr:uid="{00000000-0004-0000-0000-00007C000000}"/>
    <hyperlink ref="M217" r:id="rId126" xr:uid="{00000000-0004-0000-0000-00007D000000}"/>
    <hyperlink ref="M218" r:id="rId127" xr:uid="{00000000-0004-0000-0000-00007E000000}"/>
    <hyperlink ref="M219" r:id="rId128" xr:uid="{00000000-0004-0000-0000-00007F000000}"/>
    <hyperlink ref="M220" r:id="rId129" xr:uid="{00000000-0004-0000-0000-000080000000}"/>
    <hyperlink ref="M221" r:id="rId130" xr:uid="{00000000-0004-0000-0000-000081000000}"/>
    <hyperlink ref="M222" r:id="rId131" xr:uid="{00000000-0004-0000-0000-000082000000}"/>
    <hyperlink ref="M223" r:id="rId132" xr:uid="{00000000-0004-0000-0000-000083000000}"/>
    <hyperlink ref="M224" r:id="rId133" xr:uid="{00000000-0004-0000-0000-000084000000}"/>
    <hyperlink ref="M225" r:id="rId134" xr:uid="{00000000-0004-0000-0000-000085000000}"/>
    <hyperlink ref="M233" r:id="rId135" xr:uid="{00000000-0004-0000-0000-000086000000}"/>
    <hyperlink ref="M234" r:id="rId136" xr:uid="{00000000-0004-0000-0000-000087000000}"/>
    <hyperlink ref="M235" r:id="rId137" xr:uid="{00000000-0004-0000-0000-000088000000}"/>
    <hyperlink ref="M244" r:id="rId138" xr:uid="{00000000-0004-0000-0000-000089000000}"/>
    <hyperlink ref="M245" r:id="rId139" xr:uid="{00000000-0004-0000-0000-00008A000000}"/>
    <hyperlink ref="M246" r:id="rId140" xr:uid="{00000000-0004-0000-0000-00008B000000}"/>
    <hyperlink ref="M247" r:id="rId141" xr:uid="{00000000-0004-0000-0000-00008C000000}"/>
    <hyperlink ref="M248" r:id="rId142" xr:uid="{00000000-0004-0000-0000-00008D000000}"/>
    <hyperlink ref="M249" r:id="rId143" xr:uid="{00000000-0004-0000-0000-00008E000000}"/>
    <hyperlink ref="M250" r:id="rId144" xr:uid="{00000000-0004-0000-0000-00008F000000}"/>
    <hyperlink ref="M251" r:id="rId145" xr:uid="{00000000-0004-0000-0000-000090000000}"/>
    <hyperlink ref="M252" r:id="rId146" xr:uid="{00000000-0004-0000-0000-000091000000}"/>
    <hyperlink ref="M253" r:id="rId147" xr:uid="{00000000-0004-0000-0000-000092000000}"/>
    <hyperlink ref="M254" r:id="rId148" xr:uid="{00000000-0004-0000-0000-000093000000}"/>
    <hyperlink ref="M255" r:id="rId149" xr:uid="{00000000-0004-0000-0000-000094000000}"/>
    <hyperlink ref="M256" r:id="rId150" xr:uid="{00000000-0004-0000-0000-000095000000}"/>
    <hyperlink ref="M257" r:id="rId151" xr:uid="{00000000-0004-0000-0000-000096000000}"/>
    <hyperlink ref="M258" r:id="rId152" xr:uid="{00000000-0004-0000-0000-000097000000}"/>
    <hyperlink ref="M259" r:id="rId153" xr:uid="{00000000-0004-0000-0000-000098000000}"/>
    <hyperlink ref="M236" r:id="rId154" xr:uid="{00000000-0004-0000-0000-000099000000}"/>
    <hyperlink ref="M237" r:id="rId155" xr:uid="{00000000-0004-0000-0000-00009A000000}"/>
    <hyperlink ref="M238" r:id="rId156" xr:uid="{00000000-0004-0000-0000-00009B000000}"/>
    <hyperlink ref="M282" r:id="rId157" xr:uid="{00000000-0004-0000-0000-00009C000000}"/>
    <hyperlink ref="M283:M286" r:id="rId158" display="adm@bitalagro.com.br" xr:uid="{00000000-0004-0000-0000-00009D000000}"/>
    <hyperlink ref="M287" r:id="rId159" xr:uid="{00000000-0004-0000-0000-00009E000000}"/>
    <hyperlink ref="M288" r:id="rId160" xr:uid="{00000000-0004-0000-0000-00009F000000}"/>
    <hyperlink ref="M289" r:id="rId161" xr:uid="{00000000-0004-0000-0000-0000A0000000}"/>
    <hyperlink ref="M290" r:id="rId162" xr:uid="{00000000-0004-0000-0000-0000A1000000}"/>
    <hyperlink ref="M291" r:id="rId163" xr:uid="{00000000-0004-0000-0000-0000A2000000}"/>
    <hyperlink ref="M292" r:id="rId164" xr:uid="{00000000-0004-0000-0000-0000A3000000}"/>
    <hyperlink ref="M299" r:id="rId165" xr:uid="{00000000-0004-0000-0000-0000A4000000}"/>
    <hyperlink ref="M314" r:id="rId166" xr:uid="{00000000-0004-0000-0000-0000A5000000}"/>
    <hyperlink ref="M315" r:id="rId167" xr:uid="{00000000-0004-0000-0000-0000A6000000}"/>
    <hyperlink ref="M316" r:id="rId168" xr:uid="{00000000-0004-0000-0000-0000A7000000}"/>
    <hyperlink ref="M317" r:id="rId169" xr:uid="{00000000-0004-0000-0000-0000A8000000}"/>
    <hyperlink ref="M318" r:id="rId170" xr:uid="{00000000-0004-0000-0000-0000A9000000}"/>
    <hyperlink ref="M319" r:id="rId171" xr:uid="{00000000-0004-0000-0000-0000AA000000}"/>
    <hyperlink ref="M320" r:id="rId172" xr:uid="{00000000-0004-0000-0000-0000AB000000}"/>
    <hyperlink ref="M321" r:id="rId173" xr:uid="{00000000-0004-0000-0000-0000AC000000}"/>
    <hyperlink ref="M322" r:id="rId174" xr:uid="{00000000-0004-0000-0000-0000AD000000}"/>
    <hyperlink ref="M323" r:id="rId175" xr:uid="{00000000-0004-0000-0000-0000AE000000}"/>
    <hyperlink ref="M324" r:id="rId176" xr:uid="{00000000-0004-0000-0000-0000AF000000}"/>
    <hyperlink ref="M325" r:id="rId177" xr:uid="{00000000-0004-0000-0000-0000B0000000}"/>
    <hyperlink ref="M326" r:id="rId178" xr:uid="{00000000-0004-0000-0000-0000B1000000}"/>
    <hyperlink ref="M327" r:id="rId179" xr:uid="{00000000-0004-0000-0000-0000B2000000}"/>
    <hyperlink ref="M328" r:id="rId180" xr:uid="{00000000-0004-0000-0000-0000B3000000}"/>
    <hyperlink ref="M329" r:id="rId181" xr:uid="{00000000-0004-0000-0000-0000B4000000}"/>
    <hyperlink ref="M330" r:id="rId182" xr:uid="{00000000-0004-0000-0000-0000B5000000}"/>
    <hyperlink ref="M331" r:id="rId183" xr:uid="{00000000-0004-0000-0000-0000B6000000}"/>
    <hyperlink ref="M332" r:id="rId184" xr:uid="{00000000-0004-0000-0000-0000B7000000}"/>
    <hyperlink ref="M333" r:id="rId185" xr:uid="{00000000-0004-0000-0000-0000B8000000}"/>
    <hyperlink ref="M334" r:id="rId186" xr:uid="{00000000-0004-0000-0000-0000B9000000}"/>
    <hyperlink ref="M335" r:id="rId187" xr:uid="{00000000-0004-0000-0000-0000BA000000}"/>
    <hyperlink ref="M336" r:id="rId188" xr:uid="{00000000-0004-0000-0000-0000BB000000}"/>
    <hyperlink ref="M337" r:id="rId189" xr:uid="{00000000-0004-0000-0000-0000BC000000}"/>
    <hyperlink ref="M339" r:id="rId190" xr:uid="{00000000-0004-0000-0000-0000BD000000}"/>
    <hyperlink ref="M340" r:id="rId191" xr:uid="{00000000-0004-0000-0000-0000BE000000}"/>
    <hyperlink ref="M341" r:id="rId192" xr:uid="{00000000-0004-0000-0000-0000BF000000}"/>
    <hyperlink ref="M342" r:id="rId193" xr:uid="{00000000-0004-0000-0000-0000C0000000}"/>
    <hyperlink ref="M343" r:id="rId194" xr:uid="{00000000-0004-0000-0000-0000C1000000}"/>
    <hyperlink ref="M373" r:id="rId195" xr:uid="{00000000-0004-0000-0000-0000C2000000}"/>
    <hyperlink ref="M374" r:id="rId196" xr:uid="{00000000-0004-0000-0000-0000C3000000}"/>
    <hyperlink ref="M378" r:id="rId197" xr:uid="{00000000-0004-0000-0000-0000C4000000}"/>
    <hyperlink ref="M398" r:id="rId198" xr:uid="{00000000-0004-0000-0000-0000C5000000}"/>
    <hyperlink ref="M414" r:id="rId199" xr:uid="{97313F1C-9223-4718-BD9F-9F0FA1AB035A}"/>
    <hyperlink ref="M520" r:id="rId200" xr:uid="{7BDF9AC5-248B-4238-B268-0E6F3A50018F}"/>
    <hyperlink ref="M521" r:id="rId201" xr:uid="{428D9C15-4697-4B37-915B-F4D19EDE0A1E}"/>
    <hyperlink ref="M523" r:id="rId202" xr:uid="{0B672965-7FF2-4BA2-948E-644E77E5993D}"/>
    <hyperlink ref="M534" r:id="rId203" xr:uid="{F7FB9580-32B9-42E0-BDF2-EF1A65C805CF}"/>
    <hyperlink ref="M535" r:id="rId204" xr:uid="{DA302900-D053-4989-B9AC-A6D8FA963882}"/>
    <hyperlink ref="M536" r:id="rId205" xr:uid="{2CA1A05D-061B-47C9-80A8-DF74C9748C93}"/>
    <hyperlink ref="M537" r:id="rId206" xr:uid="{FAB74B9D-3D6F-495D-B885-E8D72F8A0F84}"/>
    <hyperlink ref="M538:M539" r:id="rId207" display="vendas@vidalonga.ind.br" xr:uid="{B80CF39B-080B-48A4-9338-7EA3F228064D}"/>
    <hyperlink ref="M540" r:id="rId208" xr:uid="{CDEB79E2-E712-4C8B-8937-213325D58953}"/>
    <hyperlink ref="M541:M545" r:id="rId209" display="adm@bitalagro.com.br" xr:uid="{D4D75B03-FED5-4BA8-9BC5-20B6D69D3DD3}"/>
    <hyperlink ref="M546" r:id="rId210" xr:uid="{C5051A88-D48A-4289-9085-DD7E21F70EE0}"/>
    <hyperlink ref="M547:M550" r:id="rId211" display="aroira.horlando@gmail.com" xr:uid="{2556CF0D-F394-4567-943D-8C3E0D6EB40E}"/>
    <hyperlink ref="M552" r:id="rId212" xr:uid="{F68BEC61-575F-4D94-B08D-9235A2AD52C5}"/>
    <hyperlink ref="M553" r:id="rId213" xr:uid="{CF2C3FA5-BA8A-4A0A-807D-46B7A303AA12}"/>
    <hyperlink ref="M554" r:id="rId214" xr:uid="{C1E94B64-4267-4FD7-95CB-14E5FCDA949B}"/>
    <hyperlink ref="M555" r:id="rId215" xr:uid="{93446EEE-0469-4FBD-AF51-D6A4679DF53A}"/>
    <hyperlink ref="M556" r:id="rId216" xr:uid="{62161A74-FF22-4C1B-AEEF-859BD6C1115F}"/>
    <hyperlink ref="M557:M565" r:id="rId217" display="diego@status.combr" xr:uid="{83F6F23A-1BE2-4AFA-B8E4-D27EC1022491}"/>
    <hyperlink ref="M566" r:id="rId218" xr:uid="{24F62037-E5F0-4B30-8993-0678F0BD7F9A}"/>
    <hyperlink ref="M567" r:id="rId219" xr:uid="{42332024-D01E-488A-91FF-05E11032619B}"/>
    <hyperlink ref="M568" r:id="rId220" xr:uid="{D24EBFE0-3B14-43E8-B4CE-BCC9FA4D1E04}"/>
    <hyperlink ref="M569" r:id="rId221" xr:uid="{7A67DFCD-5A13-475D-88E2-B646E2AC69C5}"/>
    <hyperlink ref="M570" r:id="rId222" xr:uid="{71B3FC0A-2575-449B-9669-AE2C00BF4EA5}"/>
    <hyperlink ref="M571" r:id="rId223" xr:uid="{03666CE4-ECBC-46BA-92D9-DFF3AAE31FB9}"/>
    <hyperlink ref="M572" r:id="rId224" xr:uid="{658B0CED-E766-4099-8E1C-07A7E68CEC13}"/>
    <hyperlink ref="M573" r:id="rId225" xr:uid="{22D64797-E2A8-4C93-8C34-C8E93276B9F2}"/>
    <hyperlink ref="M574" r:id="rId226" xr:uid="{3E5ABE36-AC40-4CC7-9EBD-B4B1AF336E3C}"/>
    <hyperlink ref="M575" r:id="rId227" xr:uid="{B209552E-D2C3-474E-9582-537A08E74F5C}"/>
    <hyperlink ref="M576" r:id="rId228" xr:uid="{518C13AA-528F-4149-B617-29AFAD476739}"/>
    <hyperlink ref="M577" r:id="rId229" xr:uid="{073FD067-8F3C-49C5-B747-93C416AD1A6B}"/>
    <hyperlink ref="M578" r:id="rId230" xr:uid="{BADDC64F-808B-44E6-9107-9485CDE762AE}"/>
    <hyperlink ref="M579" r:id="rId231" xr:uid="{F8AA46BB-641C-4FC4-9B07-485C131A24D9}"/>
    <hyperlink ref="M580" r:id="rId232" xr:uid="{111D0A31-449E-49E1-A615-8D00EE609A89}"/>
    <hyperlink ref="M581" r:id="rId233" xr:uid="{4583B46B-97F9-45AD-A8D7-58226EA7A4F3}"/>
    <hyperlink ref="M582" r:id="rId234" xr:uid="{294736E8-7B42-47B0-B6EE-56CE56B43856}"/>
    <hyperlink ref="M583" r:id="rId235" xr:uid="{E2F543B0-2904-45CB-8915-388D0D2989A0}"/>
    <hyperlink ref="M584" r:id="rId236" xr:uid="{0E0C7736-DDE9-45AA-9A11-09085F677386}"/>
    <hyperlink ref="M585" r:id="rId237" xr:uid="{EF923990-A0DA-4CDD-8855-D7F259BC8062}"/>
    <hyperlink ref="M586" r:id="rId238" xr:uid="{01D4E4E2-7A6D-41C9-9D50-E38AC6136E22}"/>
    <hyperlink ref="M587" r:id="rId239" xr:uid="{76CFE1DB-3D94-4E26-B687-E105F87D9BFB}"/>
    <hyperlink ref="M588" r:id="rId240" xr:uid="{D6864799-25C1-4703-A853-DAD955E9ED91}"/>
    <hyperlink ref="M589" r:id="rId241" xr:uid="{F00AB074-7C69-4550-ABED-AD1403692404}"/>
    <hyperlink ref="M590" r:id="rId242" xr:uid="{93255D37-2E58-4220-9E85-1E56C2A3F18B}"/>
    <hyperlink ref="M592" r:id="rId243" xr:uid="{EAA4F3D4-D175-4628-A167-B98D6A4B3D12}"/>
    <hyperlink ref="M593" r:id="rId244" xr:uid="{E4FC4DA2-C07B-4E26-BF50-C1956123E042}"/>
    <hyperlink ref="M594" r:id="rId245" xr:uid="{1E30084A-8340-4AFE-8F90-19662DC4A978}"/>
    <hyperlink ref="M595" r:id="rId246" xr:uid="{ED78F63E-3017-4AD8-83DB-23F13C8CCA39}"/>
    <hyperlink ref="M596" r:id="rId247" xr:uid="{9EFC6D15-2C44-4364-B003-2454175F8663}"/>
    <hyperlink ref="M597" r:id="rId248" xr:uid="{7A0AA9F9-0CB1-4C74-9659-50658F493E99}"/>
    <hyperlink ref="M598" r:id="rId249" xr:uid="{B179551A-7D7A-4471-8BE5-EBD17E6B9CCB}"/>
    <hyperlink ref="M599" r:id="rId250" xr:uid="{3C27B08B-E296-422A-BF7E-FC1E55D5DAE1}"/>
    <hyperlink ref="M600" r:id="rId251" xr:uid="{73E3A516-EEF0-4877-92DA-D0F46182BD72}"/>
    <hyperlink ref="M601" r:id="rId252" xr:uid="{B82518F6-25EC-41EC-BDD7-9AC1B4A06451}"/>
    <hyperlink ref="M602" r:id="rId253" xr:uid="{261E2C87-8E33-4165-B688-29D04319D573}"/>
    <hyperlink ref="M603" r:id="rId254" xr:uid="{B7A9A752-D256-477E-B0A0-5875D412BFAD}"/>
    <hyperlink ref="M604" r:id="rId255" xr:uid="{29A859FF-5F92-46BE-A6CE-8D36D5BD7B89}"/>
    <hyperlink ref="M605" r:id="rId256" xr:uid="{3D451AA0-EF88-493E-A9D8-B32DBAB993CE}"/>
    <hyperlink ref="M606" r:id="rId257" xr:uid="{86A0EEBA-30DC-4160-AC12-D5B13089AB6B}"/>
    <hyperlink ref="M607" r:id="rId258" xr:uid="{E2B4ABB3-7653-445B-846C-F12E14353964}"/>
    <hyperlink ref="M608" r:id="rId259" xr:uid="{0D5D8533-033F-4C0F-8B43-FE7B1262623A}"/>
    <hyperlink ref="M609" r:id="rId260" xr:uid="{51F4DCC4-7E0C-496B-8575-076FBD9F5677}"/>
    <hyperlink ref="M610" r:id="rId261" xr:uid="{7C944306-5C87-42F3-A550-8E5A690692BA}"/>
    <hyperlink ref="M611" r:id="rId262" xr:uid="{EEBE495C-180D-4887-8FB3-89E13B0B398E}"/>
    <hyperlink ref="M612" r:id="rId263" xr:uid="{07A4F9B9-B44C-4ACD-A746-B013607F745F}"/>
    <hyperlink ref="M613" r:id="rId264" xr:uid="{23CC2DE2-FE4E-4B60-A4D4-711C48BF771D}"/>
    <hyperlink ref="M617" r:id="rId265" xr:uid="{671C3549-3C9D-410A-9BF2-FB5CAEDA1A9D}"/>
    <hyperlink ref="M618" r:id="rId266" xr:uid="{0FA27940-D6D3-4343-AD6F-F8E1A15710F1}"/>
    <hyperlink ref="M619" r:id="rId267" xr:uid="{8F11BDFE-238B-41A6-B809-A6A339DCF09B}"/>
    <hyperlink ref="M620" r:id="rId268" xr:uid="{376FA652-DA49-4A9F-B661-D04EAB458A13}"/>
    <hyperlink ref="M621" r:id="rId269" xr:uid="{E32DD81D-AACD-4993-8C56-BB7532D1326A}"/>
    <hyperlink ref="M622" r:id="rId270" xr:uid="{302B1188-02F7-4DF0-8E8A-80B96EAB9CDA}"/>
    <hyperlink ref="M623:M631" r:id="rId271" display="adm@bitalagro.com.br" xr:uid="{C96BFA5C-E526-4E08-AC8A-216939A5AEBF}"/>
    <hyperlink ref="M631" r:id="rId272" xr:uid="{613928FF-2B9D-4F7B-B2E7-20936245A9BA}"/>
    <hyperlink ref="M632" r:id="rId273" xr:uid="{5ACB3273-A155-4EF1-9883-37FF999F5C87}"/>
    <hyperlink ref="M633" r:id="rId274" xr:uid="{AD174692-E91A-45C2-8292-0B14169D5C5E}"/>
    <hyperlink ref="M634" r:id="rId275" xr:uid="{ED7674A8-B303-4C77-98B8-FAD017BDE5AA}"/>
    <hyperlink ref="M635" r:id="rId276" xr:uid="{882B796B-4B4E-418E-8956-79A7E0012F8B}"/>
    <hyperlink ref="M636" r:id="rId277" xr:uid="{C11F653B-C8AB-4251-84E1-59C7868BC9FA}"/>
    <hyperlink ref="M637" r:id="rId278" xr:uid="{2FE33B0A-C6FB-4D29-96FB-88BCC3964FE3}"/>
    <hyperlink ref="M638" r:id="rId279" xr:uid="{0DDD7E2F-BC4F-4664-9DDD-085A7DCDC469}"/>
    <hyperlink ref="M639" r:id="rId280" xr:uid="{0DFE18A1-19DC-4307-B9B5-FBD5B121A411}"/>
    <hyperlink ref="M640" r:id="rId281" xr:uid="{8EC639AD-9361-4A33-BC8E-E8E532829241}"/>
    <hyperlink ref="M641" r:id="rId282" xr:uid="{9D8DF354-7FD3-43DD-B825-EEFC1DBE6E83}"/>
    <hyperlink ref="M642" r:id="rId283" xr:uid="{87818961-28B9-4919-9987-F474527271C1}"/>
    <hyperlink ref="M649" r:id="rId284" xr:uid="{FE35F2CF-8EF5-434B-94D6-C8C9D145EE27}"/>
    <hyperlink ref="M643" r:id="rId285" xr:uid="{1C36506D-1FFF-4474-B084-1E91861B2591}"/>
    <hyperlink ref="M644" r:id="rId286" xr:uid="{DC454908-129B-49E5-B179-3AFDAFCF46A9}"/>
    <hyperlink ref="M645" r:id="rId287" xr:uid="{02213785-830F-49FC-8EF1-DB75E3B4F6FB}"/>
    <hyperlink ref="M646" r:id="rId288" xr:uid="{90CB87B4-EA7B-42B2-A946-60C208DE3447}"/>
    <hyperlink ref="M647" r:id="rId289" xr:uid="{AD5945DC-CFD4-455D-9D90-AB0443758C8A}"/>
    <hyperlink ref="M648" r:id="rId290" xr:uid="{13DC57C3-FEBC-4833-A017-2575012597D2}"/>
    <hyperlink ref="M650" r:id="rId291" xr:uid="{1AF1ED11-E26D-4CDF-8A9D-A7021FAB0BD9}"/>
    <hyperlink ref="M652" r:id="rId292" xr:uid="{BFDDF4A3-B915-47CA-BF24-CA2FBE52EE85}"/>
    <hyperlink ref="M651" r:id="rId293" xr:uid="{89A576AD-69D6-4558-8637-941B90E3C4DC}"/>
    <hyperlink ref="M653" r:id="rId294" xr:uid="{5537CB57-94F5-4B16-AE79-DACABF738849}"/>
    <hyperlink ref="M654" r:id="rId295" xr:uid="{CC838D8B-8ADB-4D37-8202-577A5333974F}"/>
    <hyperlink ref="M655" r:id="rId296" xr:uid="{178671B1-8BE5-40F3-891C-85CBDCFFC0A3}"/>
    <hyperlink ref="M656" r:id="rId297" xr:uid="{4632BDF9-53A2-48EA-AA35-4C476A15619B}"/>
    <hyperlink ref="M658" r:id="rId298" xr:uid="{4718D3A2-ADE5-4F6C-BB06-ADEF163AC7C6}"/>
    <hyperlink ref="M659" r:id="rId299" xr:uid="{C105FD0E-BF3A-426D-B47D-06D494DFF8A8}"/>
    <hyperlink ref="M660" r:id="rId300" xr:uid="{342572DB-C3A4-4D9F-AF94-88A1B8202028}"/>
    <hyperlink ref="M661" r:id="rId301" xr:uid="{B8F35EBA-FB66-439E-BAAC-2A7474AF539E}"/>
    <hyperlink ref="M657" r:id="rId302" xr:uid="{8BF21D6F-8BFC-43FF-856F-795C1BC3DBD0}"/>
    <hyperlink ref="M662" r:id="rId303" xr:uid="{774E93BB-3ACE-4280-B4E5-0ADB7139BBD3}"/>
    <hyperlink ref="M663" r:id="rId304" xr:uid="{2057BD4D-C283-46E0-A2D5-01B2F79FA5EF}"/>
    <hyperlink ref="M664" r:id="rId305" xr:uid="{CC6CFFD1-6F18-419F-BF3E-AC73C4DDEC69}"/>
    <hyperlink ref="M665" r:id="rId306" xr:uid="{525A66CE-073D-497B-88F0-983756269F4E}"/>
    <hyperlink ref="M666" r:id="rId307" xr:uid="{0B0DCEC7-453A-4053-922E-B8E5302FEA5D}"/>
    <hyperlink ref="M667" r:id="rId308" xr:uid="{C47C9C31-3DC1-4A2A-B75F-1B8BF5448C00}"/>
    <hyperlink ref="M668" r:id="rId309" xr:uid="{34F34EF3-3961-49B6-AE50-1E4452836DC6}"/>
    <hyperlink ref="M669" r:id="rId310" xr:uid="{21F0AD69-85F0-4629-910C-4EA713BFBC51}"/>
    <hyperlink ref="M670" r:id="rId311" xr:uid="{17CA264F-F7CE-4F63-A240-2B68EE4010F4}"/>
    <hyperlink ref="M674" r:id="rId312" xr:uid="{E4667CEE-87A4-4CFC-B517-4D4E82F98EB8}"/>
    <hyperlink ref="M675" r:id="rId313" xr:uid="{1964BAA2-E8A8-42E5-8053-E656D1B22061}"/>
    <hyperlink ref="M676" r:id="rId314" xr:uid="{728CEF1E-EACA-4C2A-964D-F669C986B2A5}"/>
    <hyperlink ref="M677" r:id="rId315" xr:uid="{3E3C5217-46A5-4C03-9156-454BC3270FCE}"/>
    <hyperlink ref="M678" r:id="rId316" xr:uid="{1F2A998D-408D-4B95-9AA2-B1723C76AB33}"/>
    <hyperlink ref="M679" r:id="rId317" xr:uid="{45E6FCBA-8AB0-41B4-AC7D-98F618135AC0}"/>
    <hyperlink ref="M671:M673" r:id="rId318" display="curupiraeucaliptostratados@gmail.com" xr:uid="{1E6CA780-7521-455C-8550-67B9D6E68908}"/>
    <hyperlink ref="M680" r:id="rId319" xr:uid="{FBF9A626-94EA-4A49-A8AB-B4A792B4C9F2}"/>
    <hyperlink ref="M681" r:id="rId320" xr:uid="{2C31B195-1CAA-4708-A626-0DAEBD8ECF0B}"/>
    <hyperlink ref="M682" r:id="rId321" xr:uid="{E13C0AE7-5BE4-4486-9839-ABD9B0B07C28}"/>
    <hyperlink ref="M683" r:id="rId322" xr:uid="{160463E5-68AE-4538-A264-01BE2C3461EF}"/>
    <hyperlink ref="M684" r:id="rId323" xr:uid="{2431C7AC-6B5D-4076-A42D-73DFF3C5A5DA}"/>
    <hyperlink ref="M685" r:id="rId324" xr:uid="{FB5A60EE-34C1-4C3B-865F-9557E3012F7E}"/>
    <hyperlink ref="M686" r:id="rId325" xr:uid="{34D70A4F-9AE5-44C8-9776-49B18FDF15A8}"/>
    <hyperlink ref="M687" r:id="rId326" xr:uid="{118C563D-7F56-4046-BE02-7C33B11D3C3B}"/>
    <hyperlink ref="M688" r:id="rId327" xr:uid="{6CD9AB17-7FA4-4528-A779-F55CEAE1881D}"/>
    <hyperlink ref="M689" r:id="rId328" xr:uid="{1BF232BF-00C0-4208-9BC6-EF5E375B0687}"/>
    <hyperlink ref="M690" r:id="rId329" xr:uid="{60159BE6-3200-40BA-84B0-B0130F868008}"/>
  </hyperlinks>
  <pageMargins left="0.511811024" right="0.511811024" top="0.78740157499999996" bottom="0.78740157499999996" header="0.31496062000000002" footer="0.31496062000000002"/>
  <pageSetup paperSize="9" orientation="portrait" r:id="rId33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3000000}">
          <x14:formula1>
            <xm:f>'Listas suspensas'!$C$9:$C$13</xm:f>
          </x14:formula1>
          <xm:sqref>O1:O426 O436:O661 O667:O1048576</xm:sqref>
        </x14:dataValidation>
        <x14:dataValidation type="list" allowBlank="1" showInputMessage="1" showErrorMessage="1" xr:uid="{00000000-0002-0000-0000-000004000000}">
          <x14:formula1>
            <xm:f>'Listas suspensas'!$A$35:$A$37</xm:f>
          </x14:formula1>
          <xm:sqref>C1:C426 C436:C1048576</xm:sqref>
        </x14:dataValidation>
        <x14:dataValidation type="list" showInputMessage="1" showErrorMessage="1" xr:uid="{00000000-0002-0000-0000-000005000000}">
          <x14:formula1>
            <xm:f>'Listas suspensas'!$A$2:$A$6</xm:f>
          </x14:formula1>
          <xm:sqref>AA2:AA426 AA436:AA545</xm:sqref>
        </x14:dataValidation>
        <x14:dataValidation type="list" showInputMessage="1" showErrorMessage="1" xr:uid="{00000000-0002-0000-0000-000000000000}">
          <x14:formula1>
            <xm:f>'Listas suspensas'!$A$9:$A$13</xm:f>
          </x14:formula1>
          <xm:sqref>Z1:Z1048576</xm:sqref>
        </x14:dataValidation>
        <x14:dataValidation type="list" allowBlank="1" showInputMessage="1" showErrorMessage="1" xr:uid="{00000000-0002-0000-0000-000002000000}">
          <x14:formula1>
            <xm:f>'Listas suspensas'!$A$21:$A$33</xm:f>
          </x14:formula1>
          <xm:sqref>X1:X1048576</xm:sqref>
        </x14:dataValidation>
        <x14:dataValidation type="list" allowBlank="1" showInputMessage="1" showErrorMessage="1" xr:uid="{00000000-0002-0000-0000-000001000000}">
          <x14:formula1>
            <xm:f>'Listas suspensas'!$B$9:$B$10</xm:f>
          </x14:formula1>
          <xm:sqref>L1:L661 L667:L1048576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16"/>
  <sheetViews>
    <sheetView tabSelected="1" zoomScale="80" zoomScaleNormal="80" workbookViewId="0">
      <pane xSplit="2" ySplit="1" topLeftCell="R64" activePane="bottomRight" state="frozen"/>
      <selection pane="topRight" activeCell="C1" sqref="C1"/>
      <selection pane="bottomLeft" activeCell="A2" sqref="A2"/>
      <selection pane="bottomRight" activeCell="BG96" sqref="BG96"/>
    </sheetView>
  </sheetViews>
  <sheetFormatPr defaultRowHeight="15" x14ac:dyDescent="0.25"/>
  <cols>
    <col min="1" max="1" width="10" style="8" bestFit="1" customWidth="1"/>
    <col min="2" max="2" width="11.7109375" style="8" bestFit="1" customWidth="1"/>
    <col min="3" max="3" width="17.42578125" style="8" bestFit="1" customWidth="1"/>
    <col min="4" max="4" width="19.28515625" style="8" bestFit="1" customWidth="1"/>
    <col min="5" max="5" width="16.5703125" style="8" bestFit="1" customWidth="1"/>
    <col min="6" max="9" width="11.5703125" style="8" bestFit="1" customWidth="1"/>
    <col min="10" max="10" width="57.140625" style="8" bestFit="1" customWidth="1"/>
    <col min="11" max="11" width="24.5703125" style="8" bestFit="1" customWidth="1"/>
    <col min="12" max="12" width="7.5703125" style="8" bestFit="1" customWidth="1"/>
    <col min="13" max="13" width="9.5703125" style="8" bestFit="1" customWidth="1"/>
    <col min="14" max="14" width="45" style="8" bestFit="1" customWidth="1"/>
    <col min="15" max="15" width="13.7109375" style="8" customWidth="1"/>
    <col min="16" max="16" width="12.5703125" style="8" customWidth="1"/>
    <col min="17" max="17" width="57.7109375" style="16" bestFit="1" customWidth="1"/>
    <col min="18" max="18" width="18.28515625" style="8" bestFit="1" customWidth="1"/>
    <col min="19" max="19" width="8.7109375" style="8" customWidth="1"/>
    <col min="20" max="20" width="24.28515625" style="8" bestFit="1" customWidth="1"/>
    <col min="21" max="21" width="14.85546875" style="8" customWidth="1"/>
    <col min="22" max="22" width="12.28515625" style="2" hidden="1" customWidth="1"/>
    <col min="23" max="23" width="10.85546875" style="8" hidden="1" customWidth="1"/>
    <col min="24" max="24" width="13.85546875" style="8" hidden="1" customWidth="1"/>
    <col min="25" max="25" width="12.28515625" style="8" hidden="1" customWidth="1"/>
    <col min="26" max="26" width="26.5703125" style="8" hidden="1" customWidth="1"/>
    <col min="27" max="27" width="72" style="8" hidden="1" customWidth="1"/>
    <col min="28" max="28" width="9.85546875" style="8" customWidth="1"/>
    <col min="29" max="29" width="11.5703125" style="8" customWidth="1"/>
    <col min="30" max="30" width="13.85546875" style="8" bestFit="1" customWidth="1"/>
    <col min="31" max="31" width="14.7109375" style="14" customWidth="1"/>
    <col min="32" max="32" width="9.42578125" style="8" customWidth="1"/>
    <col min="33" max="33" width="9.140625" style="8" bestFit="1" customWidth="1"/>
    <col min="34" max="34" width="60" style="8" bestFit="1" customWidth="1"/>
    <col min="35" max="36" width="10.140625" style="8" hidden="1" customWidth="1"/>
    <col min="37" max="37" width="10" style="8" hidden="1" customWidth="1"/>
    <col min="38" max="38" width="10.7109375" style="8" hidden="1" customWidth="1"/>
    <col min="39" max="39" width="10.5703125" style="8" hidden="1" customWidth="1"/>
    <col min="40" max="40" width="12.28515625" style="8" hidden="1" customWidth="1"/>
    <col min="41" max="43" width="10.85546875" style="8" hidden="1" customWidth="1"/>
    <col min="44" max="44" width="10.7109375" style="8" hidden="1" customWidth="1"/>
    <col min="45" max="45" width="11.42578125" style="8" hidden="1" customWidth="1"/>
    <col min="46" max="46" width="12.28515625" style="8" hidden="1" customWidth="1"/>
    <col min="47" max="51" width="7.140625" style="8" hidden="1" customWidth="1"/>
    <col min="52" max="52" width="10.28515625" style="8" hidden="1" customWidth="1"/>
    <col min="53" max="53" width="8.85546875" style="8" hidden="1" customWidth="1"/>
    <col min="54" max="54" width="13" style="8" hidden="1" customWidth="1"/>
    <col min="55" max="55" width="10.28515625" style="13" bestFit="1" customWidth="1"/>
    <col min="56" max="56" width="7.140625" style="13" bestFit="1" customWidth="1"/>
    <col min="57" max="57" width="9.28515625" style="13" bestFit="1" customWidth="1"/>
    <col min="58" max="58" width="24.5703125" style="14" bestFit="1" customWidth="1"/>
    <col min="59" max="59" width="11.28515625" style="14" customWidth="1"/>
    <col min="60" max="60" width="11" style="14" customWidth="1"/>
    <col min="61" max="61" width="12.28515625" style="14" bestFit="1" customWidth="1"/>
    <col min="62" max="62" width="9.5703125" style="16" bestFit="1" customWidth="1"/>
    <col min="63" max="63" width="15.5703125" style="8" hidden="1" customWidth="1"/>
    <col min="64" max="64" width="14.85546875" style="8" hidden="1" customWidth="1"/>
    <col min="65" max="65" width="16.5703125" style="8" hidden="1" customWidth="1"/>
    <col min="66" max="66" width="25.5703125" style="14" hidden="1" customWidth="1"/>
    <col min="67" max="67" width="146" style="8" bestFit="1" customWidth="1"/>
    <col min="68" max="16384" width="9.140625" style="1"/>
  </cols>
  <sheetData>
    <row r="1" spans="1:67" s="5" customFormat="1" ht="47.25" x14ac:dyDescent="0.25">
      <c r="A1" s="3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3" t="s">
        <v>6</v>
      </c>
      <c r="H1" s="6" t="s">
        <v>7</v>
      </c>
      <c r="I1" s="3" t="s">
        <v>1150</v>
      </c>
      <c r="J1" s="7" t="s">
        <v>8</v>
      </c>
      <c r="K1" s="7" t="s">
        <v>9</v>
      </c>
      <c r="L1" s="7" t="s">
        <v>10</v>
      </c>
      <c r="M1" s="6" t="s">
        <v>11</v>
      </c>
      <c r="N1" s="6" t="s">
        <v>12</v>
      </c>
      <c r="O1" s="3" t="s">
        <v>14</v>
      </c>
      <c r="P1" s="7" t="s">
        <v>1151</v>
      </c>
      <c r="Q1" s="15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4" t="s">
        <v>22</v>
      </c>
      <c r="X1" s="3" t="s">
        <v>25</v>
      </c>
      <c r="Y1" s="3" t="s">
        <v>1152</v>
      </c>
      <c r="Z1" s="3" t="s">
        <v>27</v>
      </c>
      <c r="AA1" s="3" t="s">
        <v>1153</v>
      </c>
      <c r="AB1" s="3" t="s">
        <v>29</v>
      </c>
      <c r="AC1" s="6" t="s">
        <v>30</v>
      </c>
      <c r="AD1" s="6" t="s">
        <v>1154</v>
      </c>
      <c r="AE1" s="25" t="s">
        <v>1155</v>
      </c>
      <c r="AF1" s="6" t="s">
        <v>33</v>
      </c>
      <c r="AG1" s="7" t="s">
        <v>34</v>
      </c>
      <c r="AH1" s="7" t="s">
        <v>35</v>
      </c>
      <c r="AI1" s="3" t="s">
        <v>36</v>
      </c>
      <c r="AJ1" s="3" t="s">
        <v>1156</v>
      </c>
      <c r="AK1" s="3" t="s">
        <v>1157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56</v>
      </c>
      <c r="BC1" s="27" t="s">
        <v>57</v>
      </c>
      <c r="BD1" s="27" t="s">
        <v>58</v>
      </c>
      <c r="BE1" s="27" t="s">
        <v>59</v>
      </c>
      <c r="BF1" s="10" t="s">
        <v>1158</v>
      </c>
      <c r="BG1" s="25" t="s">
        <v>1159</v>
      </c>
      <c r="BH1" s="25" t="s">
        <v>1160</v>
      </c>
      <c r="BI1" s="25" t="s">
        <v>1161</v>
      </c>
      <c r="BJ1" s="15" t="s">
        <v>1162</v>
      </c>
      <c r="BK1" s="3" t="s">
        <v>65</v>
      </c>
      <c r="BL1" s="3" t="s">
        <v>66</v>
      </c>
      <c r="BM1" s="3" t="s">
        <v>67</v>
      </c>
      <c r="BN1" s="10" t="s">
        <v>1163</v>
      </c>
      <c r="BO1" s="7" t="s">
        <v>69</v>
      </c>
    </row>
    <row r="2" spans="1:67" x14ac:dyDescent="0.25">
      <c r="B2" s="8" t="s">
        <v>1164</v>
      </c>
      <c r="C2" s="8" t="s">
        <v>71</v>
      </c>
      <c r="F2" s="11">
        <v>45328</v>
      </c>
      <c r="G2" s="11">
        <v>45331</v>
      </c>
      <c r="H2" s="11">
        <v>45331</v>
      </c>
      <c r="I2" s="11"/>
      <c r="J2" s="8" t="s">
        <v>73</v>
      </c>
      <c r="K2" s="8" t="s">
        <v>82</v>
      </c>
      <c r="L2" s="8" t="s">
        <v>74</v>
      </c>
      <c r="M2" s="8" t="s">
        <v>1151</v>
      </c>
      <c r="O2" s="8" t="s">
        <v>1151</v>
      </c>
      <c r="P2" s="8" t="s">
        <v>1165</v>
      </c>
      <c r="Q2" s="16" t="s">
        <v>1166</v>
      </c>
      <c r="AC2" s="8">
        <v>1.0075000000000001</v>
      </c>
      <c r="AD2" s="8">
        <v>24</v>
      </c>
      <c r="AE2" s="14">
        <v>1</v>
      </c>
      <c r="AF2" s="8">
        <v>2</v>
      </c>
      <c r="AG2" s="8" t="str">
        <f>IF(AF2='Listas suspensas'!$A$16,'Listas suspensas'!$B$16,IF(AF2='Listas suspensas'!$A$17,'Listas suspensas'!$B$17,IF(AF2='Listas suspensas'!$A$18,'Listas suspensas'!$B$18,"")))</f>
        <v>Instável</v>
      </c>
      <c r="AH2" s="8" t="str">
        <f>IF(AF2='Listas suspensas'!$A$16,'Listas suspensas'!$C$16,IF(AF2='Listas suspensas'!$A$17,'Listas suspensas'!$C$17,IF(AF2='Listas suspensas'!$A$18,'Listas suspensas'!$C$18,"")))</f>
        <v>Indica solução com leve formação de precipitado</v>
      </c>
      <c r="BC2" s="12">
        <v>0.65100000000000002</v>
      </c>
      <c r="BD2" s="13">
        <v>0.253</v>
      </c>
      <c r="BE2" s="13">
        <v>0.35699999999999998</v>
      </c>
      <c r="BF2" s="14">
        <f t="shared" ref="BF2:BF64" si="0">ROUND(SUM(BC2:BE2),2)</f>
        <v>1.26</v>
      </c>
      <c r="BG2" s="26">
        <v>51.6</v>
      </c>
      <c r="BH2" s="14">
        <v>20.100000000000001</v>
      </c>
      <c r="BI2" s="14">
        <v>28.3</v>
      </c>
      <c r="BJ2" s="16">
        <f t="shared" ref="BJ2:BJ64" si="1">ROUND(SUM(BG2:BI2),2)</f>
        <v>100</v>
      </c>
      <c r="BK2" s="2"/>
      <c r="BL2" s="2"/>
      <c r="BM2" s="2"/>
      <c r="BN2" s="14">
        <f t="shared" ref="BN2:BN33" si="2">ROUND(SUM(BK2:BM2),2)</f>
        <v>0</v>
      </c>
      <c r="BO2" s="22"/>
    </row>
    <row r="3" spans="1:67" x14ac:dyDescent="0.25">
      <c r="B3" s="8" t="s">
        <v>1167</v>
      </c>
      <c r="C3" s="8" t="s">
        <v>71</v>
      </c>
      <c r="D3" s="8" t="s">
        <v>89</v>
      </c>
      <c r="F3" s="11">
        <v>45328</v>
      </c>
      <c r="G3" s="11">
        <v>45331</v>
      </c>
      <c r="H3" s="11">
        <v>45331</v>
      </c>
      <c r="I3" s="11"/>
      <c r="J3" s="8" t="s">
        <v>90</v>
      </c>
      <c r="K3" s="8" t="s">
        <v>91</v>
      </c>
      <c r="L3" s="8" t="s">
        <v>92</v>
      </c>
      <c r="M3" s="8" t="s">
        <v>1151</v>
      </c>
      <c r="N3" s="29" t="s">
        <v>93</v>
      </c>
      <c r="O3" s="8" t="s">
        <v>1151</v>
      </c>
      <c r="P3" s="8" t="s">
        <v>1165</v>
      </c>
      <c r="Q3" s="16" t="s">
        <v>1168</v>
      </c>
      <c r="AC3" s="8">
        <v>1.0109999999999999</v>
      </c>
      <c r="AD3" s="8">
        <v>25.5</v>
      </c>
      <c r="AE3" s="14">
        <v>1.6</v>
      </c>
      <c r="AF3" s="8">
        <v>1</v>
      </c>
      <c r="AG3" s="8" t="str">
        <f>IF(AF3='Listas suspensas'!$A$16,'Listas suspensas'!$B$16,IF(AF3='Listas suspensas'!$A$17,'Listas suspensas'!$B$17,IF(AF3='Listas suspensas'!$A$18,'Listas suspensas'!$B$18,"")))</f>
        <v>Estável</v>
      </c>
      <c r="AH3" s="8" t="str">
        <f>IF(AF3='Listas suspensas'!$A$16,'Listas suspensas'!$C$16,IF(AF3='Listas suspensas'!$A$17,'Listas suspensas'!$C$17,IF(AF3='Listas suspensas'!$A$18,'Listas suspensas'!$C$18,"")))</f>
        <v>Indica solução límpida e isenta de materiais precipitados</v>
      </c>
      <c r="BC3" s="12">
        <v>0.66500000000000004</v>
      </c>
      <c r="BD3" s="13">
        <v>0.29799999999999999</v>
      </c>
      <c r="BE3" s="13">
        <v>0.48299999999999998</v>
      </c>
      <c r="BF3" s="14">
        <f t="shared" si="0"/>
        <v>1.45</v>
      </c>
      <c r="BG3" s="26">
        <v>46</v>
      </c>
      <c r="BH3" s="14">
        <v>20.6</v>
      </c>
      <c r="BI3" s="14">
        <v>33.4</v>
      </c>
      <c r="BJ3" s="16">
        <f t="shared" si="1"/>
        <v>100</v>
      </c>
      <c r="BK3" s="2"/>
      <c r="BL3" s="2"/>
      <c r="BM3" s="2"/>
      <c r="BN3" s="14">
        <f t="shared" si="2"/>
        <v>0</v>
      </c>
      <c r="BO3" s="22"/>
    </row>
    <row r="4" spans="1:67" x14ac:dyDescent="0.25">
      <c r="B4" s="8" t="s">
        <v>1169</v>
      </c>
      <c r="C4" s="8" t="s">
        <v>71</v>
      </c>
      <c r="D4" s="8" t="s">
        <v>89</v>
      </c>
      <c r="F4" s="11">
        <v>45328</v>
      </c>
      <c r="G4" s="11">
        <v>45331</v>
      </c>
      <c r="H4" s="11">
        <v>45331</v>
      </c>
      <c r="I4" s="11"/>
      <c r="J4" s="8" t="s">
        <v>90</v>
      </c>
      <c r="K4" s="8" t="s">
        <v>91</v>
      </c>
      <c r="L4" s="8" t="s">
        <v>92</v>
      </c>
      <c r="M4" s="8" t="s">
        <v>1151</v>
      </c>
      <c r="N4" s="29" t="s">
        <v>93</v>
      </c>
      <c r="O4" s="8" t="s">
        <v>1151</v>
      </c>
      <c r="P4" s="8" t="s">
        <v>1165</v>
      </c>
      <c r="Q4" s="16" t="s">
        <v>1170</v>
      </c>
      <c r="AC4" s="8">
        <v>1.024</v>
      </c>
      <c r="AD4" s="8">
        <v>24</v>
      </c>
      <c r="AE4" s="14">
        <v>3</v>
      </c>
      <c r="AF4" s="8">
        <v>2</v>
      </c>
      <c r="AG4" s="8" t="str">
        <f>IF(AF4='Listas suspensas'!$A$16,'Listas suspensas'!$B$16,IF(AF4='Listas suspensas'!$A$17,'Listas suspensas'!$B$17,IF(AF4='Listas suspensas'!$A$18,'Listas suspensas'!$B$18,"")))</f>
        <v>Instável</v>
      </c>
      <c r="AH4" s="8" t="str">
        <f>IF(AF4='Listas suspensas'!$A$16,'Listas suspensas'!$C$16,IF(AF4='Listas suspensas'!$A$17,'Listas suspensas'!$C$17,IF(AF4='Listas suspensas'!$A$18,'Listas suspensas'!$C$18,"")))</f>
        <v>Indica solução com leve formação de precipitado</v>
      </c>
      <c r="BC4" s="12">
        <v>1.6040000000000001</v>
      </c>
      <c r="BD4" s="13">
        <v>0.623</v>
      </c>
      <c r="BE4" s="13">
        <v>1.1120000000000001</v>
      </c>
      <c r="BF4" s="14">
        <f t="shared" si="0"/>
        <v>3.34</v>
      </c>
      <c r="BG4" s="26">
        <v>48.1</v>
      </c>
      <c r="BH4" s="14">
        <v>18.600000000000001</v>
      </c>
      <c r="BI4" s="14">
        <v>33.299999999999997</v>
      </c>
      <c r="BJ4" s="16">
        <f t="shared" si="1"/>
        <v>100</v>
      </c>
      <c r="BK4" s="2"/>
      <c r="BL4" s="2"/>
      <c r="BM4" s="2"/>
      <c r="BN4" s="14">
        <f t="shared" si="2"/>
        <v>0</v>
      </c>
      <c r="BO4" s="22"/>
    </row>
    <row r="5" spans="1:67" x14ac:dyDescent="0.25">
      <c r="B5" s="8" t="s">
        <v>1171</v>
      </c>
      <c r="C5" s="8" t="s">
        <v>71</v>
      </c>
      <c r="D5" s="8" t="s">
        <v>89</v>
      </c>
      <c r="F5" s="11">
        <v>45328</v>
      </c>
      <c r="G5" s="11">
        <v>45331</v>
      </c>
      <c r="H5" s="11">
        <v>45331</v>
      </c>
      <c r="J5" s="8" t="s">
        <v>90</v>
      </c>
      <c r="K5" s="8" t="s">
        <v>91</v>
      </c>
      <c r="L5" s="8" t="s">
        <v>92</v>
      </c>
      <c r="M5" s="8" t="s">
        <v>1151</v>
      </c>
      <c r="N5" s="29" t="s">
        <v>93</v>
      </c>
      <c r="O5" s="8" t="s">
        <v>1151</v>
      </c>
      <c r="P5" s="8" t="s">
        <v>1165</v>
      </c>
      <c r="Q5" s="16" t="s">
        <v>100</v>
      </c>
      <c r="AC5" s="8">
        <v>1.0247999999999999</v>
      </c>
      <c r="AD5" s="8">
        <v>24</v>
      </c>
      <c r="AE5" s="14">
        <v>3.1</v>
      </c>
      <c r="AF5" s="8">
        <v>2</v>
      </c>
      <c r="AG5" s="8" t="str">
        <f>IF(AF5='Listas suspensas'!$A$16,'Listas suspensas'!$B$16,IF(AF5='Listas suspensas'!$A$17,'Listas suspensas'!$B$17,IF(AF5='Listas suspensas'!$A$18,'Listas suspensas'!$B$18,"")))</f>
        <v>Instável</v>
      </c>
      <c r="AH5" s="8" t="str">
        <f>IF(AF5='Listas suspensas'!$A$16,'Listas suspensas'!$C$16,IF(AF5='Listas suspensas'!$A$17,'Listas suspensas'!$C$17,IF(AF5='Listas suspensas'!$A$18,'Listas suspensas'!$C$18,"")))</f>
        <v>Indica solução com leve formação de precipitado</v>
      </c>
      <c r="BC5" s="12">
        <v>1.585</v>
      </c>
      <c r="BD5" s="13">
        <v>0.62</v>
      </c>
      <c r="BE5" s="13">
        <v>1.0880000000000001</v>
      </c>
      <c r="BF5" s="14">
        <f t="shared" si="0"/>
        <v>3.29</v>
      </c>
      <c r="BG5" s="26">
        <v>48.1</v>
      </c>
      <c r="BH5" s="14">
        <v>18.899999999999999</v>
      </c>
      <c r="BI5" s="14">
        <v>33</v>
      </c>
      <c r="BJ5" s="16">
        <f t="shared" si="1"/>
        <v>100</v>
      </c>
      <c r="BK5" s="2"/>
      <c r="BL5" s="2"/>
      <c r="BM5" s="2"/>
      <c r="BN5" s="14">
        <f t="shared" si="2"/>
        <v>0</v>
      </c>
      <c r="BO5" s="22"/>
    </row>
    <row r="6" spans="1:67" x14ac:dyDescent="0.25">
      <c r="B6" s="8" t="s">
        <v>1172</v>
      </c>
      <c r="C6" s="8" t="s">
        <v>71</v>
      </c>
      <c r="F6" s="11">
        <v>45350</v>
      </c>
      <c r="G6" s="11">
        <v>45350</v>
      </c>
      <c r="H6" s="11">
        <v>45350</v>
      </c>
      <c r="J6" s="8" t="s">
        <v>72</v>
      </c>
      <c r="K6" s="8" t="s">
        <v>73</v>
      </c>
      <c r="L6" s="8" t="s">
        <v>74</v>
      </c>
      <c r="M6" s="8" t="s">
        <v>1151</v>
      </c>
      <c r="N6" s="8" t="s">
        <v>103</v>
      </c>
      <c r="O6" s="8" t="s">
        <v>1151</v>
      </c>
      <c r="P6" s="8" t="s">
        <v>1165</v>
      </c>
      <c r="Q6" s="16" t="s">
        <v>1173</v>
      </c>
      <c r="AC6" s="8">
        <v>1.0145</v>
      </c>
      <c r="AD6" s="8">
        <v>27.5</v>
      </c>
      <c r="AE6" s="14">
        <v>1.9</v>
      </c>
      <c r="AF6" s="8">
        <v>2</v>
      </c>
      <c r="AG6" s="8" t="str">
        <f>IF(AF6='Listas suspensas'!$A$16,'Listas suspensas'!$B$16,IF(AF6='Listas suspensas'!$A$17,'Listas suspensas'!$B$17,IF(AF6='Listas suspensas'!$A$18,'Listas suspensas'!$B$18,"")))</f>
        <v>Instável</v>
      </c>
      <c r="AH6" s="8" t="str">
        <f>IF(AF6='Listas suspensas'!$A$16,'Listas suspensas'!$C$16,IF(AF6='Listas suspensas'!$A$17,'Listas suspensas'!$C$17,IF(AF6='Listas suspensas'!$A$18,'Listas suspensas'!$C$18,"")))</f>
        <v>Indica solução com leve formação de precipitado</v>
      </c>
      <c r="BC6" s="13">
        <v>0.91300000000000003</v>
      </c>
      <c r="BD6" s="13">
        <v>0.42099999999999999</v>
      </c>
      <c r="BE6" s="13">
        <v>0.68100000000000005</v>
      </c>
      <c r="BF6" s="14">
        <f t="shared" si="0"/>
        <v>2.02</v>
      </c>
      <c r="BG6" s="26">
        <v>45.3</v>
      </c>
      <c r="BH6" s="14">
        <v>20.9</v>
      </c>
      <c r="BI6" s="14">
        <v>33.799999999999997</v>
      </c>
      <c r="BJ6" s="16">
        <f t="shared" si="1"/>
        <v>100</v>
      </c>
      <c r="BN6" s="14">
        <f t="shared" si="2"/>
        <v>0</v>
      </c>
      <c r="BO6" s="22"/>
    </row>
    <row r="7" spans="1:67" x14ac:dyDescent="0.25">
      <c r="A7" s="8">
        <v>54888</v>
      </c>
      <c r="B7" s="8" t="s">
        <v>1174</v>
      </c>
      <c r="C7" s="8" t="s">
        <v>71</v>
      </c>
      <c r="D7" s="8" t="s">
        <v>129</v>
      </c>
      <c r="F7" s="11">
        <v>45370</v>
      </c>
      <c r="G7" s="11">
        <v>45370</v>
      </c>
      <c r="H7" s="11">
        <v>45370</v>
      </c>
      <c r="J7" s="8" t="s">
        <v>1175</v>
      </c>
      <c r="K7" s="8" t="s">
        <v>131</v>
      </c>
      <c r="L7" s="8" t="s">
        <v>74</v>
      </c>
      <c r="M7" s="8" t="s">
        <v>1151</v>
      </c>
      <c r="N7" s="8" t="s">
        <v>132</v>
      </c>
      <c r="O7" s="8" t="s">
        <v>1151</v>
      </c>
      <c r="P7" s="8" t="s">
        <v>1165</v>
      </c>
      <c r="Q7" s="16" t="s">
        <v>1176</v>
      </c>
      <c r="AC7" s="8">
        <v>1.0082</v>
      </c>
      <c r="AD7" s="8">
        <v>27.5</v>
      </c>
      <c r="AE7" s="14">
        <v>1.2</v>
      </c>
      <c r="AF7" s="8">
        <v>1</v>
      </c>
      <c r="AG7" s="8" t="str">
        <f>IF(AF7='Listas suspensas'!$A$16,'Listas suspensas'!$B$16,IF(AF7='Listas suspensas'!$A$17,'Listas suspensas'!$B$17,IF(AF7='Listas suspensas'!$A$18,'Listas suspensas'!$B$18,"")))</f>
        <v>Estável</v>
      </c>
      <c r="AH7" s="8" t="str">
        <f>IF(AF7='Listas suspensas'!$A$16,'Listas suspensas'!$C$16,IF(AF7='Listas suspensas'!$A$17,'Listas suspensas'!$C$17,IF(AF7='Listas suspensas'!$A$18,'Listas suspensas'!$C$18,"")))</f>
        <v>Indica solução límpida e isenta de materiais precipitados</v>
      </c>
      <c r="BC7" s="13">
        <v>0.55100000000000005</v>
      </c>
      <c r="BD7" s="13">
        <v>0.24</v>
      </c>
      <c r="BE7" s="13">
        <v>0.39200000000000002</v>
      </c>
      <c r="BF7" s="14">
        <f t="shared" si="0"/>
        <v>1.18</v>
      </c>
      <c r="BG7" s="26">
        <v>46.5</v>
      </c>
      <c r="BH7" s="14">
        <v>20.3</v>
      </c>
      <c r="BI7" s="14">
        <v>33.200000000000003</v>
      </c>
      <c r="BJ7" s="16">
        <f t="shared" si="1"/>
        <v>100</v>
      </c>
      <c r="BN7" s="14">
        <f t="shared" si="2"/>
        <v>0</v>
      </c>
      <c r="BO7" s="22"/>
    </row>
    <row r="8" spans="1:67" x14ac:dyDescent="0.25">
      <c r="B8" s="8" t="s">
        <v>1177</v>
      </c>
      <c r="C8" s="8" t="s">
        <v>71</v>
      </c>
      <c r="D8" s="8" t="s">
        <v>89</v>
      </c>
      <c r="F8" s="11">
        <v>45371</v>
      </c>
      <c r="G8" s="11">
        <v>45373</v>
      </c>
      <c r="H8" s="11">
        <v>45373</v>
      </c>
      <c r="J8" s="8" t="s">
        <v>90</v>
      </c>
      <c r="K8" s="8" t="s">
        <v>91</v>
      </c>
      <c r="L8" s="8" t="s">
        <v>92</v>
      </c>
      <c r="M8" s="8" t="s">
        <v>1151</v>
      </c>
      <c r="N8" s="29" t="s">
        <v>93</v>
      </c>
      <c r="O8" s="8" t="s">
        <v>1151</v>
      </c>
      <c r="P8" s="8" t="s">
        <v>1165</v>
      </c>
      <c r="Q8" s="16" t="s">
        <v>140</v>
      </c>
      <c r="AC8" s="8">
        <v>1.0133000000000001</v>
      </c>
      <c r="AD8" s="8">
        <v>26</v>
      </c>
      <c r="AE8" s="14">
        <v>1.8</v>
      </c>
      <c r="AF8" s="8">
        <v>2</v>
      </c>
      <c r="AG8" s="8" t="str">
        <f>IF(AF8='Listas suspensas'!$A$16,'Listas suspensas'!$B$16,IF(AF8='Listas suspensas'!$A$17,'Listas suspensas'!$B$17,IF(AF8='Listas suspensas'!$A$18,'Listas suspensas'!$B$18,"")))</f>
        <v>Instável</v>
      </c>
      <c r="AH8" s="8" t="str">
        <f>IF(AF8='Listas suspensas'!$A$16,'Listas suspensas'!$C$16,IF(AF8='Listas suspensas'!$A$17,'Listas suspensas'!$C$17,IF(AF8='Listas suspensas'!$A$18,'Listas suspensas'!$C$18,"")))</f>
        <v>Indica solução com leve formação de precipitado</v>
      </c>
      <c r="BC8" s="13">
        <v>0.96399999999999997</v>
      </c>
      <c r="BD8" s="13">
        <v>0.36099999999999999</v>
      </c>
      <c r="BE8" s="13">
        <v>0.59</v>
      </c>
      <c r="BF8" s="14">
        <f t="shared" si="0"/>
        <v>1.92</v>
      </c>
      <c r="BG8" s="26">
        <v>50.3</v>
      </c>
      <c r="BH8" s="14">
        <v>18.899999999999999</v>
      </c>
      <c r="BI8" s="14">
        <v>30.8</v>
      </c>
      <c r="BJ8" s="16">
        <f t="shared" si="1"/>
        <v>100</v>
      </c>
      <c r="BN8" s="14">
        <f t="shared" si="2"/>
        <v>0</v>
      </c>
      <c r="BO8" s="22"/>
    </row>
    <row r="9" spans="1:67" x14ac:dyDescent="0.25">
      <c r="B9" s="8" t="s">
        <v>1178</v>
      </c>
      <c r="C9" s="8" t="s">
        <v>71</v>
      </c>
      <c r="F9" s="11">
        <v>45399</v>
      </c>
      <c r="G9" s="11">
        <v>45399</v>
      </c>
      <c r="H9" s="11">
        <v>45400</v>
      </c>
      <c r="J9" s="8" t="s">
        <v>72</v>
      </c>
      <c r="K9" s="8" t="s">
        <v>73</v>
      </c>
      <c r="L9" s="8" t="s">
        <v>74</v>
      </c>
      <c r="M9" s="8" t="s">
        <v>1151</v>
      </c>
      <c r="N9" s="29" t="s">
        <v>159</v>
      </c>
      <c r="O9" s="8" t="s">
        <v>1151</v>
      </c>
      <c r="P9" s="8" t="s">
        <v>1165</v>
      </c>
      <c r="Q9" s="16" t="s">
        <v>1179</v>
      </c>
      <c r="AC9" s="8">
        <v>1.0285</v>
      </c>
      <c r="AD9" s="8">
        <v>24</v>
      </c>
      <c r="AE9" s="14">
        <v>3.5</v>
      </c>
      <c r="AF9" s="8">
        <v>1</v>
      </c>
      <c r="AG9" s="8" t="str">
        <f>IF(AF9='Listas suspensas'!$A$16,'Listas suspensas'!$B$16,IF(AF9='Listas suspensas'!$A$17,'Listas suspensas'!$B$17,IF(AF9='Listas suspensas'!$A$18,'Listas suspensas'!$B$18,"")))</f>
        <v>Estável</v>
      </c>
      <c r="AH9" s="8" t="str">
        <f>IF(AF9='Listas suspensas'!$A$16,'Listas suspensas'!$C$16,IF(AF9='Listas suspensas'!$A$17,'Listas suspensas'!$C$17,IF(AF9='Listas suspensas'!$A$18,'Listas suspensas'!$C$18,"")))</f>
        <v>Indica solução límpida e isenta de materiais precipitados</v>
      </c>
      <c r="BC9" s="13">
        <v>1.657</v>
      </c>
      <c r="BD9" s="13">
        <v>0.73599999999999999</v>
      </c>
      <c r="BE9" s="13">
        <v>1.1930000000000001</v>
      </c>
      <c r="BF9" s="14">
        <f t="shared" si="0"/>
        <v>3.59</v>
      </c>
      <c r="BG9" s="26">
        <v>46.2</v>
      </c>
      <c r="BH9" s="14">
        <v>20.5</v>
      </c>
      <c r="BI9" s="14">
        <v>33.299999999999997</v>
      </c>
      <c r="BJ9" s="16">
        <f t="shared" si="1"/>
        <v>100</v>
      </c>
      <c r="BN9" s="14">
        <f t="shared" si="2"/>
        <v>0</v>
      </c>
      <c r="BO9" s="22"/>
    </row>
    <row r="10" spans="1:67" x14ac:dyDescent="0.25">
      <c r="B10" s="8" t="s">
        <v>1180</v>
      </c>
      <c r="C10" s="8" t="s">
        <v>71</v>
      </c>
      <c r="D10" s="8" t="s">
        <v>129</v>
      </c>
      <c r="F10" s="11">
        <v>45404</v>
      </c>
      <c r="G10" s="11">
        <v>45404</v>
      </c>
      <c r="H10" s="11">
        <v>45404</v>
      </c>
      <c r="J10" s="8" t="s">
        <v>1175</v>
      </c>
      <c r="K10" s="8" t="s">
        <v>131</v>
      </c>
      <c r="L10" s="8" t="s">
        <v>74</v>
      </c>
      <c r="M10" s="8" t="s">
        <v>1151</v>
      </c>
      <c r="N10" s="29" t="s">
        <v>132</v>
      </c>
      <c r="O10" s="8" t="s">
        <v>1151</v>
      </c>
      <c r="P10" s="8" t="s">
        <v>1165</v>
      </c>
      <c r="Q10" s="16" t="s">
        <v>1181</v>
      </c>
      <c r="AC10" s="8">
        <v>1.0088999999999999</v>
      </c>
      <c r="AD10" s="8">
        <v>22.5</v>
      </c>
      <c r="AE10" s="14">
        <v>1.1000000000000001</v>
      </c>
      <c r="AF10" s="8">
        <v>1</v>
      </c>
      <c r="AG10" s="8" t="str">
        <f>IF(AF10='Listas suspensas'!$A$16,'Listas suspensas'!$B$16,IF(AF10='Listas suspensas'!$A$17,'Listas suspensas'!$B$17,IF(AF10='Listas suspensas'!$A$18,'Listas suspensas'!$B$18,"")))</f>
        <v>Estável</v>
      </c>
      <c r="AH10" s="8" t="str">
        <f>IF(AF10='Listas suspensas'!$A$16,'Listas suspensas'!$C$16,IF(AF10='Listas suspensas'!$A$17,'Listas suspensas'!$C$17,IF(AF10='Listas suspensas'!$A$18,'Listas suspensas'!$C$18,"")))</f>
        <v>Indica solução límpida e isenta de materiais precipitados</v>
      </c>
      <c r="BC10" s="13">
        <v>0.53100000000000003</v>
      </c>
      <c r="BD10" s="13">
        <v>0.23599999999999999</v>
      </c>
      <c r="BE10" s="13">
        <v>0.39400000000000002</v>
      </c>
      <c r="BF10" s="14">
        <f t="shared" si="0"/>
        <v>1.1599999999999999</v>
      </c>
      <c r="BG10" s="26">
        <v>45.7</v>
      </c>
      <c r="BH10" s="14">
        <v>20.399999999999999</v>
      </c>
      <c r="BI10" s="14">
        <v>33.9</v>
      </c>
      <c r="BJ10" s="16">
        <f t="shared" si="1"/>
        <v>100</v>
      </c>
      <c r="BN10" s="14">
        <f t="shared" si="2"/>
        <v>0</v>
      </c>
      <c r="BO10" s="22"/>
    </row>
    <row r="11" spans="1:67" x14ac:dyDescent="0.25">
      <c r="B11" s="8" t="s">
        <v>1182</v>
      </c>
      <c r="C11" s="8" t="s">
        <v>71</v>
      </c>
      <c r="D11" s="8" t="s">
        <v>89</v>
      </c>
      <c r="F11" s="11">
        <v>45426</v>
      </c>
      <c r="G11" s="11">
        <v>45426</v>
      </c>
      <c r="H11" s="11">
        <v>45426</v>
      </c>
      <c r="J11" s="8" t="s">
        <v>90</v>
      </c>
      <c r="K11" s="8" t="s">
        <v>91</v>
      </c>
      <c r="L11" s="8" t="s">
        <v>92</v>
      </c>
      <c r="M11" s="8" t="s">
        <v>1151</v>
      </c>
      <c r="N11" s="29" t="s">
        <v>93</v>
      </c>
      <c r="O11" s="8" t="s">
        <v>1151</v>
      </c>
      <c r="P11" s="8" t="s">
        <v>1165</v>
      </c>
      <c r="Q11" s="16" t="s">
        <v>175</v>
      </c>
      <c r="AC11" s="8">
        <v>1.0145</v>
      </c>
      <c r="AD11" s="8">
        <v>24</v>
      </c>
      <c r="AE11" s="14">
        <v>1.8</v>
      </c>
      <c r="AF11" s="8">
        <v>2</v>
      </c>
      <c r="AG11" s="8" t="str">
        <f>IF(AF11='Listas suspensas'!$A$16,'Listas suspensas'!$B$16,IF(AF11='Listas suspensas'!$A$17,'Listas suspensas'!$B$17,IF(AF11='Listas suspensas'!$A$18,'Listas suspensas'!$B$18,"")))</f>
        <v>Instável</v>
      </c>
      <c r="AH11" s="8" t="str">
        <f>IF(AF11='Listas suspensas'!$A$16,'Listas suspensas'!$C$16,IF(AF11='Listas suspensas'!$A$17,'Listas suspensas'!$C$17,IF(AF11='Listas suspensas'!$A$18,'Listas suspensas'!$C$18,"")))</f>
        <v>Indica solução com leve formação de precipitado</v>
      </c>
      <c r="BC11" s="13">
        <v>0.92100000000000004</v>
      </c>
      <c r="BD11" s="13">
        <v>0.36799999999999999</v>
      </c>
      <c r="BE11" s="13">
        <v>0.56999999999999995</v>
      </c>
      <c r="BF11" s="14">
        <f t="shared" si="0"/>
        <v>1.86</v>
      </c>
      <c r="BG11" s="26">
        <v>49.6</v>
      </c>
      <c r="BH11" s="14">
        <v>19.8</v>
      </c>
      <c r="BI11" s="14">
        <v>30.6</v>
      </c>
      <c r="BJ11" s="16">
        <f t="shared" si="1"/>
        <v>100</v>
      </c>
      <c r="BN11" s="14">
        <f t="shared" si="2"/>
        <v>0</v>
      </c>
      <c r="BO11" s="22"/>
    </row>
    <row r="12" spans="1:67" x14ac:dyDescent="0.25">
      <c r="B12" s="8" t="s">
        <v>1183</v>
      </c>
      <c r="C12" s="8" t="s">
        <v>71</v>
      </c>
      <c r="D12" s="8" t="s">
        <v>89</v>
      </c>
      <c r="F12" s="11">
        <v>45470</v>
      </c>
      <c r="G12" s="11">
        <v>45471</v>
      </c>
      <c r="H12" s="11">
        <v>45471</v>
      </c>
      <c r="J12" s="8" t="s">
        <v>90</v>
      </c>
      <c r="K12" s="8" t="s">
        <v>91</v>
      </c>
      <c r="L12" s="8" t="s">
        <v>92</v>
      </c>
      <c r="M12" s="8" t="s">
        <v>1151</v>
      </c>
      <c r="N12" s="29" t="s">
        <v>93</v>
      </c>
      <c r="O12" s="8" t="s">
        <v>1151</v>
      </c>
      <c r="P12" s="8" t="s">
        <v>1165</v>
      </c>
      <c r="Q12" s="16" t="s">
        <v>184</v>
      </c>
      <c r="AC12" s="8">
        <v>1.0166999999999999</v>
      </c>
      <c r="AD12" s="8">
        <v>21.5</v>
      </c>
      <c r="AE12" s="14">
        <v>2</v>
      </c>
      <c r="AF12" s="8">
        <v>2</v>
      </c>
      <c r="AG12" s="8" t="str">
        <f>IF(AF12='Listas suspensas'!$A$16,'Listas suspensas'!$B$16,IF(AF12='Listas suspensas'!$A$17,'Listas suspensas'!$B$17,IF(AF12='Listas suspensas'!$A$18,'Listas suspensas'!$B$18,"")))</f>
        <v>Instável</v>
      </c>
      <c r="AH12" s="8" t="str">
        <f>IF(AF12='Listas suspensas'!$A$16,'Listas suspensas'!$C$16,IF(AF12='Listas suspensas'!$A$17,'Listas suspensas'!$C$17,IF(AF12='Listas suspensas'!$A$18,'Listas suspensas'!$C$18,"")))</f>
        <v>Indica solução com leve formação de precipitado</v>
      </c>
      <c r="BC12" s="13">
        <v>0.90800000000000003</v>
      </c>
      <c r="BD12" s="13">
        <v>0.39500000000000002</v>
      </c>
      <c r="BE12" s="13">
        <v>0.60899999999999999</v>
      </c>
      <c r="BF12" s="14">
        <f t="shared" si="0"/>
        <v>1.91</v>
      </c>
      <c r="BG12" s="26">
        <v>47.5</v>
      </c>
      <c r="BH12" s="14">
        <v>20.7</v>
      </c>
      <c r="BI12" s="14">
        <v>31.8</v>
      </c>
      <c r="BJ12" s="16">
        <f t="shared" si="1"/>
        <v>100</v>
      </c>
      <c r="BN12" s="14">
        <f t="shared" si="2"/>
        <v>0</v>
      </c>
      <c r="BO12" s="22"/>
    </row>
    <row r="13" spans="1:67" x14ac:dyDescent="0.25">
      <c r="B13" s="8" t="s">
        <v>1184</v>
      </c>
      <c r="C13" s="8" t="s">
        <v>71</v>
      </c>
      <c r="D13" s="8" t="s">
        <v>89</v>
      </c>
      <c r="F13" s="11">
        <v>45491</v>
      </c>
      <c r="G13" s="11">
        <v>45491</v>
      </c>
      <c r="H13" s="11">
        <v>45491</v>
      </c>
      <c r="J13" s="8" t="s">
        <v>90</v>
      </c>
      <c r="K13" s="8" t="s">
        <v>91</v>
      </c>
      <c r="L13" s="8" t="s">
        <v>92</v>
      </c>
      <c r="M13" s="8" t="s">
        <v>1151</v>
      </c>
      <c r="N13" s="29" t="s">
        <v>93</v>
      </c>
      <c r="O13" s="8" t="s">
        <v>1151</v>
      </c>
      <c r="P13" s="8" t="s">
        <v>1165</v>
      </c>
      <c r="Q13" s="16" t="s">
        <v>197</v>
      </c>
      <c r="AC13" s="8">
        <v>1.0149999999999999</v>
      </c>
      <c r="AD13" s="8">
        <v>20.5</v>
      </c>
      <c r="AE13" s="14">
        <v>1.8</v>
      </c>
      <c r="AF13" s="8">
        <v>1</v>
      </c>
      <c r="AG13" s="8" t="str">
        <f>IF(AF13='Listas suspensas'!$A$16,'Listas suspensas'!$B$16,IF(AF13='Listas suspensas'!$A$17,'Listas suspensas'!$B$17,IF(AF13='Listas suspensas'!$A$18,'Listas suspensas'!$B$18,"")))</f>
        <v>Estável</v>
      </c>
      <c r="AH13" s="8" t="str">
        <f>IF(AF13='Listas suspensas'!$A$16,'Listas suspensas'!$C$16,IF(AF13='Listas suspensas'!$A$17,'Listas suspensas'!$C$17,IF(AF13='Listas suspensas'!$A$18,'Listas suspensas'!$C$18,"")))</f>
        <v>Indica solução límpida e isenta de materiais precipitados</v>
      </c>
      <c r="BC13" s="13">
        <v>0.77400000000000002</v>
      </c>
      <c r="BD13" s="13">
        <v>0.33100000000000002</v>
      </c>
      <c r="BE13" s="13">
        <v>0.53200000000000003</v>
      </c>
      <c r="BF13" s="14">
        <f t="shared" si="0"/>
        <v>1.64</v>
      </c>
      <c r="BG13" s="26">
        <v>47.3</v>
      </c>
      <c r="BH13" s="14">
        <v>20.2</v>
      </c>
      <c r="BI13" s="14">
        <v>32.5</v>
      </c>
      <c r="BJ13" s="16">
        <f t="shared" si="1"/>
        <v>100</v>
      </c>
      <c r="BN13" s="14">
        <f t="shared" si="2"/>
        <v>0</v>
      </c>
      <c r="BO13" s="22"/>
    </row>
    <row r="14" spans="1:67" x14ac:dyDescent="0.25">
      <c r="B14" s="8" t="s">
        <v>1185</v>
      </c>
      <c r="C14" s="8" t="s">
        <v>71</v>
      </c>
      <c r="D14" s="8" t="s">
        <v>89</v>
      </c>
      <c r="F14" s="11">
        <v>45559</v>
      </c>
      <c r="G14" s="11">
        <v>45559</v>
      </c>
      <c r="H14" s="11">
        <v>45559</v>
      </c>
      <c r="J14" s="8" t="s">
        <v>90</v>
      </c>
      <c r="K14" s="8" t="s">
        <v>91</v>
      </c>
      <c r="L14" s="8" t="s">
        <v>92</v>
      </c>
      <c r="M14" s="8" t="s">
        <v>1151</v>
      </c>
      <c r="N14" s="29" t="s">
        <v>93</v>
      </c>
      <c r="O14" s="8" t="s">
        <v>1151</v>
      </c>
      <c r="P14" s="8" t="s">
        <v>1165</v>
      </c>
      <c r="Q14" s="16" t="s">
        <v>224</v>
      </c>
      <c r="AC14" s="8">
        <v>1.016</v>
      </c>
      <c r="AD14" s="8">
        <v>25</v>
      </c>
      <c r="AE14" s="14">
        <v>2</v>
      </c>
      <c r="AF14" s="8">
        <v>2</v>
      </c>
      <c r="AG14" s="8" t="str">
        <f>IF(AF14='Listas suspensas'!$A$16,'Listas suspensas'!$B$16,IF(AF14='Listas suspensas'!$A$17,'Listas suspensas'!$B$17,IF(AF14='Listas suspensas'!$A$18,'Listas suspensas'!$B$18,"")))</f>
        <v>Instável</v>
      </c>
      <c r="AH14" s="8" t="str">
        <f>IF(AF14='Listas suspensas'!$A$16,'Listas suspensas'!$C$16,IF(AF14='Listas suspensas'!$A$17,'Listas suspensas'!$C$17,IF(AF14='Listas suspensas'!$A$18,'Listas suspensas'!$C$18,"")))</f>
        <v>Indica solução com leve formação de precipitado</v>
      </c>
      <c r="BC14" s="13">
        <v>0.995</v>
      </c>
      <c r="BD14" s="13">
        <v>0.39100000000000001</v>
      </c>
      <c r="BE14" s="13">
        <v>0.65300000000000002</v>
      </c>
      <c r="BF14" s="14">
        <f t="shared" si="0"/>
        <v>2.04</v>
      </c>
      <c r="BG14" s="26">
        <v>48.8</v>
      </c>
      <c r="BH14" s="14">
        <v>19.2</v>
      </c>
      <c r="BI14" s="14">
        <v>32</v>
      </c>
      <c r="BJ14" s="16">
        <f t="shared" si="1"/>
        <v>100</v>
      </c>
      <c r="BN14" s="14">
        <f t="shared" si="2"/>
        <v>0</v>
      </c>
      <c r="BO14" s="22"/>
    </row>
    <row r="15" spans="1:67" x14ac:dyDescent="0.25">
      <c r="B15" s="8" t="s">
        <v>1186</v>
      </c>
      <c r="C15" s="8" t="s">
        <v>71</v>
      </c>
      <c r="F15" s="11">
        <v>45579</v>
      </c>
      <c r="G15" s="11">
        <v>45579</v>
      </c>
      <c r="H15" s="11">
        <v>45579</v>
      </c>
      <c r="J15" s="8" t="s">
        <v>72</v>
      </c>
      <c r="K15" s="8" t="s">
        <v>73</v>
      </c>
      <c r="L15" s="8" t="s">
        <v>74</v>
      </c>
      <c r="M15" s="8" t="s">
        <v>1151</v>
      </c>
      <c r="N15" s="29" t="s">
        <v>103</v>
      </c>
      <c r="O15" s="8" t="s">
        <v>1151</v>
      </c>
      <c r="P15" s="8" t="s">
        <v>1165</v>
      </c>
      <c r="Q15" s="16" t="s">
        <v>1187</v>
      </c>
      <c r="AC15" s="8">
        <v>1.016</v>
      </c>
      <c r="AD15" s="8">
        <v>25</v>
      </c>
      <c r="AE15" s="14">
        <v>2</v>
      </c>
      <c r="AF15" s="8">
        <v>1</v>
      </c>
      <c r="AG15" s="8" t="str">
        <f>IF(AF15='Listas suspensas'!$A$16,'Listas suspensas'!$B$16,IF(AF15='Listas suspensas'!$A$17,'Listas suspensas'!$B$17,IF(AF15='Listas suspensas'!$A$18,'Listas suspensas'!$B$18,"")))</f>
        <v>Estável</v>
      </c>
      <c r="AH15" s="8" t="str">
        <f>IF(AF15='Listas suspensas'!$A$16,'Listas suspensas'!$C$16,IF(AF15='Listas suspensas'!$A$17,'Listas suspensas'!$C$17,IF(AF15='Listas suspensas'!$A$18,'Listas suspensas'!$C$18,"")))</f>
        <v>Indica solução límpida e isenta de materiais precipitados</v>
      </c>
      <c r="BC15" s="13">
        <v>0.90500000000000003</v>
      </c>
      <c r="BD15" s="13">
        <v>0.39800000000000002</v>
      </c>
      <c r="BE15" s="13">
        <v>0.66200000000000003</v>
      </c>
      <c r="BF15" s="14">
        <f t="shared" si="0"/>
        <v>1.97</v>
      </c>
      <c r="BG15" s="26">
        <v>46</v>
      </c>
      <c r="BH15" s="14">
        <v>20.3</v>
      </c>
      <c r="BI15" s="14">
        <v>33.700000000000003</v>
      </c>
      <c r="BJ15" s="16">
        <f t="shared" si="1"/>
        <v>100</v>
      </c>
      <c r="BN15" s="14">
        <f t="shared" si="2"/>
        <v>0</v>
      </c>
      <c r="BO15" s="22"/>
    </row>
    <row r="16" spans="1:67" x14ac:dyDescent="0.25">
      <c r="B16" s="8" t="s">
        <v>1188</v>
      </c>
      <c r="C16" s="8" t="s">
        <v>71</v>
      </c>
      <c r="D16" s="8" t="s">
        <v>89</v>
      </c>
      <c r="F16" s="11">
        <v>45607</v>
      </c>
      <c r="G16" s="11">
        <v>45608</v>
      </c>
      <c r="H16" s="11">
        <v>45608</v>
      </c>
      <c r="J16" s="8" t="s">
        <v>90</v>
      </c>
      <c r="K16" s="8" t="s">
        <v>91</v>
      </c>
      <c r="L16" s="8" t="s">
        <v>92</v>
      </c>
      <c r="M16" s="8" t="s">
        <v>1151</v>
      </c>
      <c r="N16" s="29" t="s">
        <v>93</v>
      </c>
      <c r="O16" s="8" t="s">
        <v>1151</v>
      </c>
      <c r="P16" s="8" t="s">
        <v>1165</v>
      </c>
      <c r="Q16" s="16" t="s">
        <v>238</v>
      </c>
      <c r="AC16" s="8">
        <v>1.0145</v>
      </c>
      <c r="AD16" s="8">
        <v>26</v>
      </c>
      <c r="AE16" s="14">
        <v>1.9</v>
      </c>
      <c r="AF16" s="8">
        <v>2</v>
      </c>
      <c r="AG16" s="8" t="str">
        <f>IF(AF16='Listas suspensas'!$A$16,'Listas suspensas'!$B$16,IF(AF16='Listas suspensas'!$A$17,'Listas suspensas'!$B$17,IF(AF16='Listas suspensas'!$A$18,'Listas suspensas'!$B$18,"")))</f>
        <v>Instável</v>
      </c>
      <c r="AH16" s="8" t="str">
        <f>IF(AF16='Listas suspensas'!$A$16,'Listas suspensas'!$C$16,IF(AF16='Listas suspensas'!$A$17,'Listas suspensas'!$C$17,IF(AF16='Listas suspensas'!$A$18,'Listas suspensas'!$C$18,"")))</f>
        <v>Indica solução com leve formação de precipitado</v>
      </c>
      <c r="BC16" s="13">
        <v>1.131</v>
      </c>
      <c r="BD16" s="13">
        <v>0.36599999999999999</v>
      </c>
      <c r="BE16" s="13">
        <v>0.63800000000000001</v>
      </c>
      <c r="BF16" s="14">
        <f t="shared" si="0"/>
        <v>2.14</v>
      </c>
      <c r="BG16" s="26">
        <v>52.9</v>
      </c>
      <c r="BH16" s="14">
        <v>17.2</v>
      </c>
      <c r="BI16" s="14">
        <v>29.9</v>
      </c>
      <c r="BJ16" s="16">
        <f t="shared" si="1"/>
        <v>100</v>
      </c>
      <c r="BN16" s="14">
        <f t="shared" si="2"/>
        <v>0</v>
      </c>
      <c r="BO16" s="22"/>
    </row>
    <row r="17" spans="2:67" x14ac:dyDescent="0.25">
      <c r="B17" s="8" t="s">
        <v>1189</v>
      </c>
      <c r="C17" s="8" t="s">
        <v>71</v>
      </c>
      <c r="D17" s="8" t="s">
        <v>89</v>
      </c>
      <c r="F17" s="11">
        <v>45643</v>
      </c>
      <c r="G17" s="11">
        <v>45645</v>
      </c>
      <c r="H17" s="11">
        <v>45645</v>
      </c>
      <c r="J17" s="8" t="s">
        <v>90</v>
      </c>
      <c r="K17" s="8" t="s">
        <v>91</v>
      </c>
      <c r="L17" s="8" t="s">
        <v>92</v>
      </c>
      <c r="M17" s="8" t="s">
        <v>1151</v>
      </c>
      <c r="N17" s="29" t="s">
        <v>93</v>
      </c>
      <c r="O17" s="8" t="s">
        <v>1151</v>
      </c>
      <c r="P17" s="8" t="s">
        <v>1165</v>
      </c>
      <c r="Q17" s="16" t="s">
        <v>292</v>
      </c>
      <c r="AC17" s="8">
        <v>1.016</v>
      </c>
      <c r="AD17" s="8">
        <v>26</v>
      </c>
      <c r="AE17" s="14">
        <v>2</v>
      </c>
      <c r="AF17" s="8">
        <v>2</v>
      </c>
      <c r="AG17" s="8" t="str">
        <f>IF(AF17='Listas suspensas'!$A$16,'Listas suspensas'!$B$16,IF(AF17='Listas suspensas'!$A$17,'Listas suspensas'!$B$17,IF(AF17='Listas suspensas'!$A$18,'Listas suspensas'!$B$18,"")))</f>
        <v>Instável</v>
      </c>
      <c r="AH17" s="8" t="str">
        <f>IF(AF17='Listas suspensas'!$A$16,'Listas suspensas'!$C$16,IF(AF17='Listas suspensas'!$A$17,'Listas suspensas'!$C$17,IF(AF17='Listas suspensas'!$A$18,'Listas suspensas'!$C$18,"")))</f>
        <v>Indica solução com leve formação de precipitado</v>
      </c>
      <c r="BC17" s="13">
        <v>0.91900000000000004</v>
      </c>
      <c r="BD17" s="13">
        <v>0.378</v>
      </c>
      <c r="BE17" s="13">
        <v>0.65400000000000003</v>
      </c>
      <c r="BF17" s="14">
        <f t="shared" si="0"/>
        <v>1.95</v>
      </c>
      <c r="BG17" s="26">
        <v>47.1</v>
      </c>
      <c r="BH17" s="14">
        <v>19.3</v>
      </c>
      <c r="BI17" s="14">
        <v>33.6</v>
      </c>
      <c r="BJ17" s="16">
        <f t="shared" si="1"/>
        <v>100</v>
      </c>
      <c r="BN17" s="14">
        <f t="shared" si="2"/>
        <v>0</v>
      </c>
      <c r="BO17" s="22"/>
    </row>
    <row r="18" spans="2:67" x14ac:dyDescent="0.25">
      <c r="B18" s="8" t="s">
        <v>1190</v>
      </c>
      <c r="C18" s="8" t="s">
        <v>71</v>
      </c>
      <c r="D18" s="8" t="s">
        <v>89</v>
      </c>
      <c r="F18" s="11">
        <v>45645</v>
      </c>
      <c r="G18" s="11">
        <v>45645</v>
      </c>
      <c r="H18" s="11">
        <v>45645</v>
      </c>
      <c r="J18" s="8" t="s">
        <v>90</v>
      </c>
      <c r="K18" s="8" t="s">
        <v>91</v>
      </c>
      <c r="L18" s="8" t="s">
        <v>92</v>
      </c>
      <c r="M18" s="8" t="s">
        <v>1151</v>
      </c>
      <c r="N18" s="29" t="s">
        <v>93</v>
      </c>
      <c r="O18" s="8" t="s">
        <v>1151</v>
      </c>
      <c r="P18" s="8" t="s">
        <v>1165</v>
      </c>
      <c r="Q18" s="16" t="s">
        <v>1191</v>
      </c>
      <c r="AC18" s="8">
        <v>1.0155000000000001</v>
      </c>
      <c r="AD18" s="8">
        <v>25</v>
      </c>
      <c r="AE18" s="14">
        <v>1.9</v>
      </c>
      <c r="AF18" s="8">
        <v>2</v>
      </c>
      <c r="AG18" s="8" t="str">
        <f>IF(AF18='Listas suspensas'!$A$16,'Listas suspensas'!$B$16,IF(AF18='Listas suspensas'!$A$17,'Listas suspensas'!$B$17,IF(AF18='Listas suspensas'!$A$18,'Listas suspensas'!$B$18,"")))</f>
        <v>Instável</v>
      </c>
      <c r="AH18" s="8" t="str">
        <f>IF(AF18='Listas suspensas'!$A$16,'Listas suspensas'!$C$16,IF(AF18='Listas suspensas'!$A$17,'Listas suspensas'!$C$17,IF(AF18='Listas suspensas'!$A$18,'Listas suspensas'!$C$18,"")))</f>
        <v>Indica solução com leve formação de precipitado</v>
      </c>
      <c r="BC18" s="13">
        <v>0.92</v>
      </c>
      <c r="BD18" s="13">
        <v>0.378</v>
      </c>
      <c r="BE18" s="13">
        <v>0.67800000000000005</v>
      </c>
      <c r="BF18" s="14">
        <f t="shared" si="0"/>
        <v>1.98</v>
      </c>
      <c r="BG18" s="26">
        <v>46.6</v>
      </c>
      <c r="BH18" s="14">
        <v>19.100000000000001</v>
      </c>
      <c r="BI18" s="14">
        <v>34.299999999999997</v>
      </c>
      <c r="BJ18" s="16">
        <f t="shared" si="1"/>
        <v>100</v>
      </c>
      <c r="BN18" s="14">
        <f t="shared" si="2"/>
        <v>0</v>
      </c>
      <c r="BO18" s="22"/>
    </row>
    <row r="19" spans="2:67" x14ac:dyDescent="0.25">
      <c r="B19" s="8" t="s">
        <v>1192</v>
      </c>
      <c r="C19" s="8" t="s">
        <v>71</v>
      </c>
      <c r="F19" s="11">
        <v>45670</v>
      </c>
      <c r="G19" s="11">
        <v>45674</v>
      </c>
      <c r="H19" s="11">
        <v>45677</v>
      </c>
      <c r="J19" s="8" t="s">
        <v>72</v>
      </c>
      <c r="K19" s="8" t="s">
        <v>73</v>
      </c>
      <c r="L19" s="8" t="s">
        <v>74</v>
      </c>
      <c r="M19" s="8" t="s">
        <v>1151</v>
      </c>
      <c r="N19" s="29" t="s">
        <v>159</v>
      </c>
      <c r="O19" s="8" t="s">
        <v>1151</v>
      </c>
      <c r="P19" s="8" t="s">
        <v>1165</v>
      </c>
      <c r="Q19" s="16" t="s">
        <v>1193</v>
      </c>
      <c r="AC19" s="8">
        <v>1.0145</v>
      </c>
      <c r="AD19" s="8">
        <v>24</v>
      </c>
      <c r="AE19" s="14">
        <v>1.9</v>
      </c>
      <c r="AF19" s="8">
        <v>2</v>
      </c>
      <c r="AG19" s="8" t="str">
        <f>IF(AF19='Listas suspensas'!$A$16,'Listas suspensas'!$B$16,IF(AF19='Listas suspensas'!$A$17,'Listas suspensas'!$B$17,IF(AF19='Listas suspensas'!$A$18,'Listas suspensas'!$B$18,"")))</f>
        <v>Instável</v>
      </c>
      <c r="AH19" s="8" t="str">
        <f>IF(AF19='Listas suspensas'!$A$16,'Listas suspensas'!$C$16,IF(AF19='Listas suspensas'!$A$17,'Listas suspensas'!$C$17,IF(AF19='Listas suspensas'!$A$18,'Listas suspensas'!$C$18,"")))</f>
        <v>Indica solução com leve formação de precipitado</v>
      </c>
      <c r="BC19" s="13">
        <v>1.0169999999999999</v>
      </c>
      <c r="BD19" s="13">
        <v>0.39200000000000002</v>
      </c>
      <c r="BE19" s="13">
        <v>0.61</v>
      </c>
      <c r="BF19" s="14">
        <f t="shared" si="0"/>
        <v>2.02</v>
      </c>
      <c r="BG19" s="26">
        <v>50.4</v>
      </c>
      <c r="BH19" s="14">
        <v>19.399999999999999</v>
      </c>
      <c r="BI19" s="14">
        <v>30.2</v>
      </c>
      <c r="BJ19" s="16">
        <f t="shared" si="1"/>
        <v>100</v>
      </c>
      <c r="BN19" s="14">
        <f t="shared" si="2"/>
        <v>0</v>
      </c>
      <c r="BO19" s="22"/>
    </row>
    <row r="20" spans="2:67" x14ac:dyDescent="0.25">
      <c r="B20" s="8" t="s">
        <v>1194</v>
      </c>
      <c r="C20" s="8" t="s">
        <v>71</v>
      </c>
      <c r="F20" s="11">
        <v>45670</v>
      </c>
      <c r="G20" s="11">
        <v>45677</v>
      </c>
      <c r="H20" s="11">
        <v>45681</v>
      </c>
      <c r="J20" s="8" t="s">
        <v>72</v>
      </c>
      <c r="K20" s="8" t="s">
        <v>73</v>
      </c>
      <c r="L20" s="8" t="s">
        <v>74</v>
      </c>
      <c r="M20" s="8" t="s">
        <v>1151</v>
      </c>
      <c r="N20" s="29" t="s">
        <v>159</v>
      </c>
      <c r="O20" s="8" t="s">
        <v>1151</v>
      </c>
      <c r="P20" s="8" t="s">
        <v>1165</v>
      </c>
      <c r="Q20" s="16" t="s">
        <v>1195</v>
      </c>
      <c r="AC20" s="8">
        <v>1.0129999999999999</v>
      </c>
      <c r="AD20" s="8">
        <v>27</v>
      </c>
      <c r="AE20" s="14">
        <v>1.8</v>
      </c>
      <c r="AF20" s="8">
        <v>2</v>
      </c>
      <c r="AG20" s="8" t="str">
        <f>IF(AF20='Listas suspensas'!$A$16,'Listas suspensas'!$B$16,IF(AF20='Listas suspensas'!$A$17,'Listas suspensas'!$B$17,IF(AF20='Listas suspensas'!$A$18,'Listas suspensas'!$B$18,"")))</f>
        <v>Instável</v>
      </c>
      <c r="AH20" s="8" t="str">
        <f>IF(AF20='Listas suspensas'!$A$16,'Listas suspensas'!$C$16,IF(AF20='Listas suspensas'!$A$17,'Listas suspensas'!$C$17,IF(AF20='Listas suspensas'!$A$18,'Listas suspensas'!$C$18,"")))</f>
        <v>Indica solução com leve formação de precipitado</v>
      </c>
      <c r="BC20" s="13">
        <v>0.91300000000000003</v>
      </c>
      <c r="BD20" s="13">
        <v>0.38300000000000001</v>
      </c>
      <c r="BE20" s="13">
        <v>0.57499999999999996</v>
      </c>
      <c r="BF20" s="14">
        <f t="shared" si="0"/>
        <v>1.87</v>
      </c>
      <c r="BG20" s="26">
        <v>48.8</v>
      </c>
      <c r="BH20" s="14">
        <v>20.5</v>
      </c>
      <c r="BI20" s="14">
        <v>30.7</v>
      </c>
      <c r="BJ20" s="16">
        <f t="shared" si="1"/>
        <v>100</v>
      </c>
      <c r="BN20" s="14">
        <f t="shared" si="2"/>
        <v>0</v>
      </c>
      <c r="BO20" s="22"/>
    </row>
    <row r="21" spans="2:67" x14ac:dyDescent="0.25">
      <c r="B21" s="8" t="s">
        <v>1196</v>
      </c>
      <c r="C21" s="8" t="s">
        <v>71</v>
      </c>
      <c r="F21" s="11">
        <v>45762</v>
      </c>
      <c r="G21" s="11">
        <v>45762</v>
      </c>
      <c r="H21" s="11">
        <v>45772</v>
      </c>
      <c r="J21" s="8" t="s">
        <v>72</v>
      </c>
      <c r="K21" s="8" t="s">
        <v>73</v>
      </c>
      <c r="L21" s="8" t="s">
        <v>74</v>
      </c>
      <c r="M21" s="8" t="s">
        <v>1151</v>
      </c>
      <c r="N21" s="29" t="s">
        <v>159</v>
      </c>
      <c r="O21" s="8" t="s">
        <v>1151</v>
      </c>
      <c r="P21" s="8" t="s">
        <v>1165</v>
      </c>
      <c r="Q21" s="16" t="s">
        <v>1197</v>
      </c>
      <c r="AC21" s="8">
        <v>1.0149999999999999</v>
      </c>
      <c r="AD21" s="8">
        <v>23</v>
      </c>
      <c r="AE21" s="14">
        <v>1.9</v>
      </c>
      <c r="AF21" s="8">
        <v>2</v>
      </c>
      <c r="AG21" s="8" t="str">
        <f>IF(AF21='Listas suspensas'!$A$16,'Listas suspensas'!$B$16,IF(AF21='Listas suspensas'!$A$17,'Listas suspensas'!$B$17,IF(AF21='Listas suspensas'!$A$18,'Listas suspensas'!$B$18,"")))</f>
        <v>Instável</v>
      </c>
      <c r="AH21" s="8" t="str">
        <f>IF(AF21='Listas suspensas'!$A$16,'Listas suspensas'!$C$16,IF(AF21='Listas suspensas'!$A$17,'Listas suspensas'!$C$17,IF(AF21='Listas suspensas'!$A$18,'Listas suspensas'!$C$18,"")))</f>
        <v>Indica solução com leve formação de precipitado</v>
      </c>
      <c r="BC21" s="13">
        <v>1.0580000000000001</v>
      </c>
      <c r="BD21" s="13">
        <v>0.39400000000000002</v>
      </c>
      <c r="BE21" s="13">
        <v>0.65800000000000003</v>
      </c>
      <c r="BF21" s="14">
        <f t="shared" si="0"/>
        <v>2.11</v>
      </c>
      <c r="BG21" s="26">
        <v>50.1</v>
      </c>
      <c r="BH21" s="14">
        <v>18.7</v>
      </c>
      <c r="BI21" s="14">
        <v>31.2</v>
      </c>
      <c r="BJ21" s="16">
        <f t="shared" si="1"/>
        <v>100</v>
      </c>
      <c r="BN21" s="14">
        <f t="shared" si="2"/>
        <v>0</v>
      </c>
      <c r="BO21" s="22"/>
    </row>
    <row r="22" spans="2:67" x14ac:dyDescent="0.25">
      <c r="B22" s="8" t="s">
        <v>1198</v>
      </c>
      <c r="C22" s="8" t="s">
        <v>71</v>
      </c>
      <c r="F22" s="11">
        <v>45762</v>
      </c>
      <c r="G22" s="11">
        <v>45762</v>
      </c>
      <c r="H22" s="11">
        <v>45772</v>
      </c>
      <c r="J22" s="8" t="s">
        <v>72</v>
      </c>
      <c r="K22" s="8" t="s">
        <v>73</v>
      </c>
      <c r="L22" s="8" t="s">
        <v>74</v>
      </c>
      <c r="M22" s="8" t="s">
        <v>1151</v>
      </c>
      <c r="N22" s="29" t="s">
        <v>159</v>
      </c>
      <c r="O22" s="8" t="s">
        <v>1151</v>
      </c>
      <c r="P22" s="8" t="s">
        <v>1165</v>
      </c>
      <c r="Q22" s="16" t="s">
        <v>1199</v>
      </c>
      <c r="AC22" s="8">
        <v>1.0155000000000001</v>
      </c>
      <c r="AD22" s="8">
        <v>23.5</v>
      </c>
      <c r="AE22" s="14">
        <v>2</v>
      </c>
      <c r="AF22" s="8">
        <v>1</v>
      </c>
      <c r="AG22" s="8" t="str">
        <f>IF(AF22='Listas suspensas'!$A$16,'Listas suspensas'!$B$16,IF(AF22='Listas suspensas'!$A$17,'Listas suspensas'!$B$17,IF(AF22='Listas suspensas'!$A$18,'Listas suspensas'!$B$18,"")))</f>
        <v>Estável</v>
      </c>
      <c r="AH22" s="8" t="str">
        <f>IF(AF22='Listas suspensas'!$A$16,'Listas suspensas'!$C$16,IF(AF22='Listas suspensas'!$A$17,'Listas suspensas'!$C$17,IF(AF22='Listas suspensas'!$A$18,'Listas suspensas'!$C$18,"")))</f>
        <v>Indica solução límpida e isenta de materiais precipitados</v>
      </c>
      <c r="BC22" s="13">
        <v>0.88700000000000001</v>
      </c>
      <c r="BD22" s="13">
        <v>0.39700000000000002</v>
      </c>
      <c r="BE22" s="13">
        <v>0.65600000000000003</v>
      </c>
      <c r="BF22" s="14">
        <f t="shared" si="0"/>
        <v>1.94</v>
      </c>
      <c r="BG22" s="26">
        <v>45.7</v>
      </c>
      <c r="BH22" s="14">
        <v>20.5</v>
      </c>
      <c r="BI22" s="14">
        <v>33.799999999999997</v>
      </c>
      <c r="BJ22" s="16">
        <f t="shared" si="1"/>
        <v>100</v>
      </c>
      <c r="BN22" s="14">
        <f t="shared" si="2"/>
        <v>0</v>
      </c>
      <c r="BO22" s="22"/>
    </row>
    <row r="23" spans="2:67" x14ac:dyDescent="0.25">
      <c r="B23" s="8" t="s">
        <v>1200</v>
      </c>
      <c r="C23" s="8" t="s">
        <v>71</v>
      </c>
      <c r="D23" s="8" t="s">
        <v>129</v>
      </c>
      <c r="F23" s="11">
        <v>45811</v>
      </c>
      <c r="G23" s="11">
        <v>45814</v>
      </c>
      <c r="H23" s="11">
        <v>45814</v>
      </c>
      <c r="J23" s="8" t="s">
        <v>1175</v>
      </c>
      <c r="K23" s="8" t="s">
        <v>131</v>
      </c>
      <c r="L23" s="8" t="s">
        <v>74</v>
      </c>
      <c r="M23" s="8" t="s">
        <v>1151</v>
      </c>
      <c r="N23" s="29" t="s">
        <v>132</v>
      </c>
      <c r="O23" s="8" t="s">
        <v>1151</v>
      </c>
      <c r="P23" s="8" t="s">
        <v>1165</v>
      </c>
      <c r="Q23" s="16" t="s">
        <v>1201</v>
      </c>
      <c r="AC23" s="8">
        <v>1.0089999999999999</v>
      </c>
      <c r="AD23" s="8">
        <v>21</v>
      </c>
      <c r="AE23" s="14">
        <v>1.1000000000000001</v>
      </c>
      <c r="AF23" s="8">
        <v>1</v>
      </c>
      <c r="AG23" s="8" t="str">
        <f>IF(AF23='Listas suspensas'!$A$16,'Listas suspensas'!$B$16,IF(AF23='Listas suspensas'!$A$17,'Listas suspensas'!$B$17,IF(AF23='Listas suspensas'!$A$18,'Listas suspensas'!$B$18,"")))</f>
        <v>Estável</v>
      </c>
      <c r="AH23" s="8" t="str">
        <f>IF(AF23='Listas suspensas'!$A$16,'Listas suspensas'!$C$16,IF(AF23='Listas suspensas'!$A$17,'Listas suspensas'!$C$17,IF(AF23='Listas suspensas'!$A$18,'Listas suspensas'!$C$18,"")))</f>
        <v>Indica solução límpida e isenta de materiais precipitados</v>
      </c>
      <c r="BC23" s="13">
        <v>0.47499999999999998</v>
      </c>
      <c r="BD23" s="13">
        <v>0.21099999999999999</v>
      </c>
      <c r="BE23" s="13">
        <v>0.36799999999999999</v>
      </c>
      <c r="BF23" s="14">
        <f t="shared" si="0"/>
        <v>1.05</v>
      </c>
      <c r="BG23" s="26">
        <v>45.1</v>
      </c>
      <c r="BH23" s="14">
        <v>20</v>
      </c>
      <c r="BI23" s="14">
        <v>34.9</v>
      </c>
      <c r="BJ23" s="16">
        <f t="shared" si="1"/>
        <v>100</v>
      </c>
      <c r="BN23" s="14">
        <f t="shared" si="2"/>
        <v>0</v>
      </c>
      <c r="BO23" s="22"/>
    </row>
    <row r="24" spans="2:67" x14ac:dyDescent="0.25">
      <c r="B24" s="8" t="s">
        <v>1202</v>
      </c>
      <c r="C24" s="8" t="s">
        <v>71</v>
      </c>
      <c r="D24" s="8" t="s">
        <v>129</v>
      </c>
      <c r="F24" s="11">
        <v>45866</v>
      </c>
      <c r="G24" s="11">
        <v>45870</v>
      </c>
      <c r="H24" s="11">
        <v>45870</v>
      </c>
      <c r="J24" s="8" t="s">
        <v>1175</v>
      </c>
      <c r="K24" s="8" t="s">
        <v>131</v>
      </c>
      <c r="L24" s="8" t="s">
        <v>74</v>
      </c>
      <c r="M24" s="8" t="s">
        <v>1151</v>
      </c>
      <c r="N24" s="29" t="s">
        <v>132</v>
      </c>
      <c r="O24" s="8" t="s">
        <v>1151</v>
      </c>
      <c r="P24" s="8" t="s">
        <v>1165</v>
      </c>
      <c r="Q24" s="16" t="s">
        <v>1203</v>
      </c>
      <c r="AC24" s="8">
        <v>1.0109999999999999</v>
      </c>
      <c r="AD24" s="8">
        <v>18.5</v>
      </c>
      <c r="AE24" s="14">
        <v>1.3</v>
      </c>
      <c r="AF24" s="8">
        <v>1</v>
      </c>
      <c r="AG24" s="8" t="str">
        <f>IF(AF24='Listas suspensas'!$A$16,'Listas suspensas'!$B$16,IF(AF24='Listas suspensas'!$A$17,'Listas suspensas'!$B$17,IF(AF24='Listas suspensas'!$A$18,'Listas suspensas'!$B$18,"")))</f>
        <v>Estável</v>
      </c>
      <c r="AH24" s="8" t="str">
        <f>IF(AF24='Listas suspensas'!$A$16,'Listas suspensas'!$C$16,IF(AF24='Listas suspensas'!$A$17,'Listas suspensas'!$C$17,IF(AF24='Listas suspensas'!$A$18,'Listas suspensas'!$C$18,"")))</f>
        <v>Indica solução límpida e isenta de materiais precipitados</v>
      </c>
      <c r="BC24" s="13">
        <v>0.56799999999999995</v>
      </c>
      <c r="BD24" s="13">
        <v>0.249</v>
      </c>
      <c r="BE24" s="13">
        <v>0.44900000000000001</v>
      </c>
      <c r="BF24" s="14">
        <f t="shared" si="0"/>
        <v>1.27</v>
      </c>
      <c r="BG24" s="26">
        <v>44.9</v>
      </c>
      <c r="BH24" s="14">
        <v>19.7</v>
      </c>
      <c r="BI24" s="14">
        <v>35.4</v>
      </c>
      <c r="BJ24" s="16">
        <f t="shared" si="1"/>
        <v>100</v>
      </c>
      <c r="BN24" s="14">
        <f t="shared" si="2"/>
        <v>0</v>
      </c>
      <c r="BO24" s="22"/>
    </row>
    <row r="25" spans="2:67" x14ac:dyDescent="0.25">
      <c r="B25" s="8" t="s">
        <v>1204</v>
      </c>
      <c r="C25" s="8" t="s">
        <v>71</v>
      </c>
      <c r="F25" s="11">
        <v>45870</v>
      </c>
      <c r="G25" s="11">
        <v>45873</v>
      </c>
      <c r="H25" s="11">
        <v>45877</v>
      </c>
      <c r="J25" s="8" t="s">
        <v>1205</v>
      </c>
      <c r="K25" s="8" t="s">
        <v>522</v>
      </c>
      <c r="L25" s="8" t="s">
        <v>523</v>
      </c>
      <c r="M25" s="8" t="s">
        <v>1151</v>
      </c>
      <c r="N25" s="29" t="s">
        <v>524</v>
      </c>
      <c r="O25" s="8" t="s">
        <v>1151</v>
      </c>
      <c r="P25" s="8" t="s">
        <v>1165</v>
      </c>
      <c r="Q25" s="16" t="s">
        <v>1206</v>
      </c>
      <c r="AC25" s="8">
        <v>1.0169999999999999</v>
      </c>
      <c r="AD25" s="8">
        <v>20</v>
      </c>
      <c r="AE25" s="14">
        <v>2</v>
      </c>
      <c r="AF25" s="8">
        <v>1</v>
      </c>
      <c r="AG25" s="8" t="str">
        <f>IF(AF25='Listas suspensas'!$A$16,'Listas suspensas'!$B$16,IF(AF25='Listas suspensas'!$A$17,'Listas suspensas'!$B$17,IF(AF25='Listas suspensas'!$A$18,'Listas suspensas'!$B$18,"")))</f>
        <v>Estável</v>
      </c>
      <c r="AH25" s="8" t="str">
        <f>IF(AF25='Listas suspensas'!$A$16,'Listas suspensas'!$C$16,IF(AF25='Listas suspensas'!$A$17,'Listas suspensas'!$C$17,IF(AF25='Listas suspensas'!$A$18,'Listas suspensas'!$C$18,"")))</f>
        <v>Indica solução límpida e isenta de materiais precipitados</v>
      </c>
      <c r="BC25" s="13">
        <v>0.88800000000000001</v>
      </c>
      <c r="BD25" s="13">
        <v>0.39500000000000002</v>
      </c>
      <c r="BE25" s="13">
        <v>0.71099999999999997</v>
      </c>
      <c r="BF25" s="14">
        <f t="shared" si="0"/>
        <v>1.99</v>
      </c>
      <c r="BG25" s="26">
        <v>44.5</v>
      </c>
      <c r="BH25" s="14">
        <v>19.8</v>
      </c>
      <c r="BI25" s="14">
        <v>35.700000000000003</v>
      </c>
      <c r="BJ25" s="16">
        <f t="shared" si="1"/>
        <v>100</v>
      </c>
      <c r="BN25" s="14">
        <f t="shared" si="2"/>
        <v>0</v>
      </c>
      <c r="BO25" s="22"/>
    </row>
    <row r="26" spans="2:67" x14ac:dyDescent="0.25">
      <c r="B26" s="8" t="s">
        <v>1207</v>
      </c>
      <c r="C26" s="8" t="s">
        <v>71</v>
      </c>
      <c r="F26" s="11">
        <v>45870</v>
      </c>
      <c r="G26" s="11">
        <v>45873</v>
      </c>
      <c r="H26" s="11">
        <v>45877</v>
      </c>
      <c r="J26" s="8" t="s">
        <v>533</v>
      </c>
      <c r="K26" s="8" t="s">
        <v>534</v>
      </c>
      <c r="L26" s="8" t="s">
        <v>189</v>
      </c>
      <c r="M26" s="8" t="s">
        <v>1151</v>
      </c>
      <c r="N26" s="29" t="s">
        <v>535</v>
      </c>
      <c r="O26" s="8" t="s">
        <v>1151</v>
      </c>
      <c r="P26" s="8" t="s">
        <v>1165</v>
      </c>
      <c r="Q26" s="16" t="s">
        <v>538</v>
      </c>
      <c r="AC26" s="8">
        <v>1.0149999999999999</v>
      </c>
      <c r="AD26" s="8">
        <v>20</v>
      </c>
      <c r="AE26" s="14">
        <v>1.8</v>
      </c>
      <c r="AF26" s="8">
        <v>1</v>
      </c>
      <c r="AG26" s="8" t="str">
        <f>IF(AF26='Listas suspensas'!$A$16,'Listas suspensas'!$B$16,IF(AF26='Listas suspensas'!$A$17,'Listas suspensas'!$B$17,IF(AF26='Listas suspensas'!$A$18,'Listas suspensas'!$B$18,"")))</f>
        <v>Estável</v>
      </c>
      <c r="AH26" s="8" t="str">
        <f>IF(AF26='Listas suspensas'!$A$16,'Listas suspensas'!$C$16,IF(AF26='Listas suspensas'!$A$17,'Listas suspensas'!$C$17,IF(AF26='Listas suspensas'!$A$18,'Listas suspensas'!$C$18,"")))</f>
        <v>Indica solução límpida e isenta de materiais precipitados</v>
      </c>
      <c r="BC26" s="13">
        <v>0.82799999999999996</v>
      </c>
      <c r="BD26" s="13">
        <v>0.32600000000000001</v>
      </c>
      <c r="BE26" s="13">
        <v>0.53200000000000003</v>
      </c>
      <c r="BF26" s="14">
        <f t="shared" si="0"/>
        <v>1.69</v>
      </c>
      <c r="BG26" s="26">
        <v>49.1</v>
      </c>
      <c r="BH26" s="14">
        <v>19.399999999999999</v>
      </c>
      <c r="BI26" s="14">
        <v>31.5</v>
      </c>
      <c r="BJ26" s="16">
        <f t="shared" si="1"/>
        <v>100</v>
      </c>
      <c r="BN26" s="14">
        <f t="shared" si="2"/>
        <v>0</v>
      </c>
      <c r="BO26" s="22"/>
    </row>
    <row r="27" spans="2:67" x14ac:dyDescent="0.25">
      <c r="B27" s="8" t="s">
        <v>1208</v>
      </c>
      <c r="C27" s="8" t="s">
        <v>71</v>
      </c>
      <c r="F27" s="11">
        <v>45870</v>
      </c>
      <c r="G27" s="11">
        <v>45873</v>
      </c>
      <c r="H27" s="11">
        <v>45877</v>
      </c>
      <c r="J27" s="8" t="s">
        <v>533</v>
      </c>
      <c r="K27" s="8" t="s">
        <v>534</v>
      </c>
      <c r="L27" s="8" t="s">
        <v>189</v>
      </c>
      <c r="M27" s="8" t="s">
        <v>1151</v>
      </c>
      <c r="N27" s="29" t="s">
        <v>535</v>
      </c>
      <c r="O27" s="8" t="s">
        <v>1151</v>
      </c>
      <c r="P27" s="8" t="s">
        <v>1165</v>
      </c>
      <c r="Q27" s="16" t="s">
        <v>536</v>
      </c>
      <c r="AC27" s="8">
        <v>1.0158</v>
      </c>
      <c r="AD27" s="8">
        <v>20</v>
      </c>
      <c r="AE27" s="14">
        <v>1.9</v>
      </c>
      <c r="AF27" s="8">
        <v>1</v>
      </c>
      <c r="AG27" s="8" t="str">
        <f>IF(AF27='Listas suspensas'!$A$16,'Listas suspensas'!$B$16,IF(AF27='Listas suspensas'!$A$17,'Listas suspensas'!$B$17,IF(AF27='Listas suspensas'!$A$18,'Listas suspensas'!$B$18,"")))</f>
        <v>Estável</v>
      </c>
      <c r="AH27" s="8" t="str">
        <f>IF(AF27='Listas suspensas'!$A$16,'Listas suspensas'!$C$16,IF(AF27='Listas suspensas'!$A$17,'Listas suspensas'!$C$17,IF(AF27='Listas suspensas'!$A$18,'Listas suspensas'!$C$18,"")))</f>
        <v>Indica solução límpida e isenta de materiais precipitados</v>
      </c>
      <c r="BC27" s="13">
        <v>0.83699999999999997</v>
      </c>
      <c r="BD27" s="13">
        <v>0.33800000000000002</v>
      </c>
      <c r="BE27" s="13">
        <v>0.60699999999999998</v>
      </c>
      <c r="BF27" s="14">
        <f t="shared" si="0"/>
        <v>1.78</v>
      </c>
      <c r="BG27" s="26">
        <v>47</v>
      </c>
      <c r="BH27" s="14">
        <v>19</v>
      </c>
      <c r="BI27" s="14">
        <v>34</v>
      </c>
      <c r="BJ27" s="16">
        <f t="shared" si="1"/>
        <v>100</v>
      </c>
      <c r="BN27" s="14">
        <f t="shared" si="2"/>
        <v>0</v>
      </c>
      <c r="BO27" s="22"/>
    </row>
    <row r="28" spans="2:67" x14ac:dyDescent="0.25">
      <c r="B28" s="8" t="s">
        <v>1209</v>
      </c>
      <c r="C28" s="8" t="s">
        <v>71</v>
      </c>
      <c r="F28" s="11">
        <v>45870</v>
      </c>
      <c r="G28" s="11">
        <v>45873</v>
      </c>
      <c r="H28" s="11">
        <v>45877</v>
      </c>
      <c r="J28" s="8" t="s">
        <v>533</v>
      </c>
      <c r="K28" s="8" t="s">
        <v>534</v>
      </c>
      <c r="L28" s="8" t="s">
        <v>189</v>
      </c>
      <c r="M28" s="8" t="s">
        <v>1151</v>
      </c>
      <c r="N28" s="29" t="s">
        <v>535</v>
      </c>
      <c r="O28" s="8" t="s">
        <v>1151</v>
      </c>
      <c r="P28" s="8" t="s">
        <v>1165</v>
      </c>
      <c r="Q28" s="16" t="s">
        <v>540</v>
      </c>
      <c r="AC28" s="8">
        <v>1.0145</v>
      </c>
      <c r="AD28" s="8">
        <v>20</v>
      </c>
      <c r="AE28" s="14">
        <v>1.8</v>
      </c>
      <c r="AF28" s="8">
        <v>1</v>
      </c>
      <c r="AG28" s="8" t="str">
        <f>IF(AF28='Listas suspensas'!$A$16,'Listas suspensas'!$B$16,IF(AF28='Listas suspensas'!$A$17,'Listas suspensas'!$B$17,IF(AF28='Listas suspensas'!$A$18,'Listas suspensas'!$B$18,"")))</f>
        <v>Estável</v>
      </c>
      <c r="AH28" s="8" t="str">
        <f>IF(AF28='Listas suspensas'!$A$16,'Listas suspensas'!$C$16,IF(AF28='Listas suspensas'!$A$17,'Listas suspensas'!$C$17,IF(AF28='Listas suspensas'!$A$18,'Listas suspensas'!$C$18,"")))</f>
        <v>Indica solução límpida e isenta de materiais precipitados</v>
      </c>
      <c r="BC28" s="13">
        <v>0.79500000000000004</v>
      </c>
      <c r="BD28" s="13">
        <v>0.32600000000000001</v>
      </c>
      <c r="BE28" s="13">
        <v>0.62</v>
      </c>
      <c r="BF28" s="14">
        <f t="shared" si="0"/>
        <v>1.74</v>
      </c>
      <c r="BG28" s="26">
        <v>45.7</v>
      </c>
      <c r="BH28" s="14">
        <v>18.7</v>
      </c>
      <c r="BI28" s="14">
        <v>35.6</v>
      </c>
      <c r="BJ28" s="16">
        <f t="shared" si="1"/>
        <v>100</v>
      </c>
      <c r="BN28" s="14">
        <f t="shared" si="2"/>
        <v>0</v>
      </c>
      <c r="BO28" s="22"/>
    </row>
    <row r="29" spans="2:67" x14ac:dyDescent="0.25">
      <c r="B29" s="8" t="s">
        <v>1210</v>
      </c>
      <c r="C29" s="8" t="s">
        <v>71</v>
      </c>
      <c r="F29" s="11">
        <v>45880</v>
      </c>
      <c r="G29" s="11">
        <v>45884</v>
      </c>
      <c r="H29" s="11">
        <v>45889</v>
      </c>
      <c r="J29" s="8" t="s">
        <v>1205</v>
      </c>
      <c r="K29" s="8" t="s">
        <v>522</v>
      </c>
      <c r="L29" s="8" t="s">
        <v>523</v>
      </c>
      <c r="M29" s="8" t="s">
        <v>1151</v>
      </c>
      <c r="N29" s="29" t="s">
        <v>524</v>
      </c>
      <c r="O29" s="8" t="s">
        <v>1151</v>
      </c>
      <c r="P29" s="8" t="s">
        <v>1165</v>
      </c>
      <c r="Q29" s="16" t="s">
        <v>1211</v>
      </c>
      <c r="AC29" s="8">
        <v>1.0165</v>
      </c>
      <c r="AD29" s="8">
        <v>19</v>
      </c>
      <c r="AE29" s="14">
        <v>1.9</v>
      </c>
      <c r="AF29" s="8">
        <v>1</v>
      </c>
      <c r="AG29" s="8" t="str">
        <f>IF(AF29='Listas suspensas'!$A$16,'Listas suspensas'!$B$16,IF(AF29='Listas suspensas'!$A$17,'Listas suspensas'!$B$17,IF(AF29='Listas suspensas'!$A$18,'Listas suspensas'!$B$18,"")))</f>
        <v>Estável</v>
      </c>
      <c r="AH29" s="8" t="str">
        <f>IF(AF29='Listas suspensas'!$A$16,'Listas suspensas'!$C$16,IF(AF29='Listas suspensas'!$A$17,'Listas suspensas'!$C$17,IF(AF29='Listas suspensas'!$A$18,'Listas suspensas'!$C$18,"")))</f>
        <v>Indica solução límpida e isenta de materiais precipitados</v>
      </c>
      <c r="BC29" s="13">
        <v>0.89</v>
      </c>
      <c r="BD29" s="13">
        <v>0.40899999999999997</v>
      </c>
      <c r="BE29" s="13">
        <v>0.69499999999999995</v>
      </c>
      <c r="BF29" s="14">
        <f t="shared" si="0"/>
        <v>1.99</v>
      </c>
      <c r="BG29" s="26">
        <v>44.6</v>
      </c>
      <c r="BH29" s="14">
        <v>20.5</v>
      </c>
      <c r="BI29" s="14">
        <v>34.9</v>
      </c>
      <c r="BJ29" s="16">
        <f t="shared" si="1"/>
        <v>100</v>
      </c>
      <c r="BN29" s="14">
        <f t="shared" si="2"/>
        <v>0</v>
      </c>
      <c r="BO29" s="22"/>
    </row>
    <row r="30" spans="2:67" x14ac:dyDescent="0.25">
      <c r="B30" s="8" t="s">
        <v>1212</v>
      </c>
      <c r="C30" s="8" t="s">
        <v>71</v>
      </c>
      <c r="F30" s="11">
        <v>45880</v>
      </c>
      <c r="G30" s="11">
        <v>45884</v>
      </c>
      <c r="H30" s="11">
        <v>45889</v>
      </c>
      <c r="J30" s="8" t="s">
        <v>564</v>
      </c>
      <c r="K30" s="8" t="s">
        <v>213</v>
      </c>
      <c r="L30" s="8" t="s">
        <v>74</v>
      </c>
      <c r="M30" s="8" t="s">
        <v>1151</v>
      </c>
      <c r="O30" s="8" t="s">
        <v>1151</v>
      </c>
      <c r="P30" s="8" t="s">
        <v>1165</v>
      </c>
      <c r="Q30" s="16" t="s">
        <v>1213</v>
      </c>
      <c r="AC30" s="8">
        <v>1.0169999999999999</v>
      </c>
      <c r="AD30" s="8">
        <v>19</v>
      </c>
      <c r="AE30" s="14">
        <v>2</v>
      </c>
      <c r="AF30" s="8">
        <v>1</v>
      </c>
      <c r="AG30" s="8" t="str">
        <f>IF(AF30='Listas suspensas'!$A$16,'Listas suspensas'!$B$16,IF(AF30='Listas suspensas'!$A$17,'Listas suspensas'!$B$17,IF(AF30='Listas suspensas'!$A$18,'Listas suspensas'!$B$18,"")))</f>
        <v>Estável</v>
      </c>
      <c r="AH30" s="8" t="str">
        <f>IF(AF30='Listas suspensas'!$A$16,'Listas suspensas'!$C$16,IF(AF30='Listas suspensas'!$A$17,'Listas suspensas'!$C$17,IF(AF30='Listas suspensas'!$A$18,'Listas suspensas'!$C$18,"")))</f>
        <v>Indica solução límpida e isenta de materiais precipitados</v>
      </c>
      <c r="BC30" s="13">
        <v>0.93300000000000005</v>
      </c>
      <c r="BD30" s="13">
        <v>0.39700000000000002</v>
      </c>
      <c r="BE30" s="13">
        <v>0.72399999999999998</v>
      </c>
      <c r="BF30" s="14">
        <f t="shared" si="0"/>
        <v>2.0499999999999998</v>
      </c>
      <c r="BG30" s="26">
        <v>45.4</v>
      </c>
      <c r="BH30" s="14">
        <v>19.3</v>
      </c>
      <c r="BI30" s="14">
        <v>35.299999999999997</v>
      </c>
      <c r="BJ30" s="16">
        <f t="shared" si="1"/>
        <v>100</v>
      </c>
      <c r="BN30" s="14">
        <f t="shared" si="2"/>
        <v>0</v>
      </c>
      <c r="BO30" s="22"/>
    </row>
    <row r="31" spans="2:67" x14ac:dyDescent="0.25">
      <c r="B31" s="8" t="s">
        <v>1214</v>
      </c>
      <c r="C31" s="8" t="s">
        <v>71</v>
      </c>
      <c r="F31" s="11">
        <v>45880</v>
      </c>
      <c r="G31" s="11">
        <v>45884</v>
      </c>
      <c r="H31" s="11">
        <v>45889</v>
      </c>
      <c r="J31" s="8" t="s">
        <v>567</v>
      </c>
      <c r="K31" s="8" t="s">
        <v>568</v>
      </c>
      <c r="L31" s="8" t="s">
        <v>189</v>
      </c>
      <c r="M31" s="8" t="s">
        <v>1151</v>
      </c>
      <c r="N31" s="29" t="s">
        <v>569</v>
      </c>
      <c r="O31" s="8" t="s">
        <v>1151</v>
      </c>
      <c r="P31" s="8" t="s">
        <v>1165</v>
      </c>
      <c r="Q31" s="16" t="s">
        <v>1215</v>
      </c>
      <c r="AC31" s="8">
        <v>1.0165</v>
      </c>
      <c r="AD31" s="8">
        <v>19</v>
      </c>
      <c r="AE31" s="14">
        <v>1.9</v>
      </c>
      <c r="AF31" s="8">
        <v>2</v>
      </c>
      <c r="AG31" s="8" t="str">
        <f>IF(AF31='Listas suspensas'!$A$16,'Listas suspensas'!$B$16,IF(AF31='Listas suspensas'!$A$17,'Listas suspensas'!$B$17,IF(AF31='Listas suspensas'!$A$18,'Listas suspensas'!$B$18,"")))</f>
        <v>Instável</v>
      </c>
      <c r="AH31" s="8" t="str">
        <f>IF(AF31='Listas suspensas'!$A$16,'Listas suspensas'!$C$16,IF(AF31='Listas suspensas'!$A$17,'Listas suspensas'!$C$17,IF(AF31='Listas suspensas'!$A$18,'Listas suspensas'!$C$18,"")))</f>
        <v>Indica solução com leve formação de precipitado</v>
      </c>
      <c r="BC31" s="13">
        <v>0.90900000000000003</v>
      </c>
      <c r="BD31" s="13">
        <v>0.33600000000000002</v>
      </c>
      <c r="BE31" s="13">
        <v>0.63800000000000001</v>
      </c>
      <c r="BF31" s="14">
        <f t="shared" si="0"/>
        <v>1.88</v>
      </c>
      <c r="BG31" s="26">
        <v>48.3</v>
      </c>
      <c r="BH31" s="14">
        <v>17.8</v>
      </c>
      <c r="BI31" s="14">
        <v>33.9</v>
      </c>
      <c r="BJ31" s="16">
        <f t="shared" si="1"/>
        <v>100</v>
      </c>
      <c r="BN31" s="14">
        <f t="shared" si="2"/>
        <v>0</v>
      </c>
      <c r="BO31" s="22"/>
    </row>
    <row r="32" spans="2:67" x14ac:dyDescent="0.25">
      <c r="B32" s="8" t="s">
        <v>1216</v>
      </c>
      <c r="C32" s="8" t="s">
        <v>71</v>
      </c>
      <c r="F32" s="11">
        <v>45880</v>
      </c>
      <c r="G32" s="11">
        <v>45884</v>
      </c>
      <c r="H32" s="11">
        <v>45889</v>
      </c>
      <c r="J32" s="8" t="s">
        <v>567</v>
      </c>
      <c r="K32" s="8" t="s">
        <v>568</v>
      </c>
      <c r="L32" s="8" t="s">
        <v>189</v>
      </c>
      <c r="M32" s="8" t="s">
        <v>1151</v>
      </c>
      <c r="N32" s="29" t="s">
        <v>569</v>
      </c>
      <c r="O32" s="8" t="s">
        <v>1151</v>
      </c>
      <c r="P32" s="8" t="s">
        <v>1165</v>
      </c>
      <c r="Q32" s="16" t="s">
        <v>1217</v>
      </c>
      <c r="AC32" s="8">
        <v>1.55E-2</v>
      </c>
      <c r="AD32" s="8">
        <v>19</v>
      </c>
      <c r="AE32" s="14">
        <v>1.8</v>
      </c>
      <c r="AF32" s="8">
        <v>3</v>
      </c>
      <c r="AG32" s="8" t="str">
        <f>IF(AF32='Listas suspensas'!$A$16,'Listas suspensas'!$B$16,IF(AF32='Listas suspensas'!$A$17,'Listas suspensas'!$B$17,IF(AF32='Listas suspensas'!$A$18,'Listas suspensas'!$B$18,"")))</f>
        <v>Instável</v>
      </c>
      <c r="AH32" s="8" t="str">
        <f>IF(AF32='Listas suspensas'!$A$16,'Listas suspensas'!$C$16,IF(AF32='Listas suspensas'!$A$17,'Listas suspensas'!$C$17,IF(AF32='Listas suspensas'!$A$18,'Listas suspensas'!$C$18,"")))</f>
        <v>Indica solução com severa formação de precipitado</v>
      </c>
      <c r="BC32" s="13">
        <v>0.91700000000000004</v>
      </c>
      <c r="BD32" s="13">
        <v>0.32900000000000001</v>
      </c>
      <c r="BE32" s="13">
        <v>0.624</v>
      </c>
      <c r="BF32" s="14">
        <f t="shared" si="0"/>
        <v>1.87</v>
      </c>
      <c r="BG32" s="26">
        <v>49</v>
      </c>
      <c r="BH32" s="14">
        <v>17.600000000000001</v>
      </c>
      <c r="BI32" s="14">
        <v>33.4</v>
      </c>
      <c r="BJ32" s="16">
        <f t="shared" si="1"/>
        <v>100</v>
      </c>
      <c r="BN32" s="14">
        <f t="shared" si="2"/>
        <v>0</v>
      </c>
      <c r="BO32" s="22"/>
    </row>
    <row r="33" spans="2:67" x14ac:dyDescent="0.25">
      <c r="B33" s="8" t="s">
        <v>1218</v>
      </c>
      <c r="C33" s="8" t="s">
        <v>71</v>
      </c>
      <c r="F33" s="11">
        <v>45881</v>
      </c>
      <c r="G33" s="11">
        <v>45884</v>
      </c>
      <c r="H33" s="11">
        <v>45889</v>
      </c>
      <c r="J33" s="8" t="s">
        <v>596</v>
      </c>
      <c r="K33" s="8" t="s">
        <v>597</v>
      </c>
      <c r="L33" s="8" t="s">
        <v>189</v>
      </c>
      <c r="M33" s="8" t="s">
        <v>1151</v>
      </c>
      <c r="N33" s="29" t="s">
        <v>598</v>
      </c>
      <c r="O33" s="8" t="s">
        <v>1151</v>
      </c>
      <c r="P33" s="8" t="s">
        <v>1165</v>
      </c>
      <c r="Q33" s="16" t="s">
        <v>146</v>
      </c>
      <c r="AC33" s="8">
        <v>1.0185</v>
      </c>
      <c r="AD33" s="8">
        <v>19</v>
      </c>
      <c r="AE33" s="14">
        <v>2.1</v>
      </c>
      <c r="AF33" s="8">
        <v>2</v>
      </c>
      <c r="AG33" s="8" t="str">
        <f>IF(AF33='Listas suspensas'!$A$16,'Listas suspensas'!$B$16,IF(AF33='Listas suspensas'!$A$17,'Listas suspensas'!$B$17,IF(AF33='Listas suspensas'!$A$18,'Listas suspensas'!$B$18,"")))</f>
        <v>Instável</v>
      </c>
      <c r="AH33" s="8" t="str">
        <f>IF(AF33='Listas suspensas'!$A$16,'Listas suspensas'!$C$16,IF(AF33='Listas suspensas'!$A$17,'Listas suspensas'!$C$17,IF(AF33='Listas suspensas'!$A$18,'Listas suspensas'!$C$18,"")))</f>
        <v>Indica solução com leve formação de precipitado</v>
      </c>
      <c r="BC33" s="13">
        <v>0.98299999999999998</v>
      </c>
      <c r="BD33" s="13">
        <v>0.38800000000000001</v>
      </c>
      <c r="BE33" s="13">
        <v>0.75900000000000001</v>
      </c>
      <c r="BF33" s="14">
        <f t="shared" si="0"/>
        <v>2.13</v>
      </c>
      <c r="BG33" s="26">
        <v>46.1</v>
      </c>
      <c r="BH33" s="14">
        <v>18.2</v>
      </c>
      <c r="BI33" s="14">
        <v>35.700000000000003</v>
      </c>
      <c r="BJ33" s="16">
        <f t="shared" si="1"/>
        <v>100</v>
      </c>
      <c r="BN33" s="14">
        <f t="shared" si="2"/>
        <v>0</v>
      </c>
      <c r="BO33" s="22"/>
    </row>
    <row r="34" spans="2:67" x14ac:dyDescent="0.25">
      <c r="B34" s="8" t="s">
        <v>1219</v>
      </c>
      <c r="C34" s="8" t="s">
        <v>71</v>
      </c>
      <c r="F34" s="11">
        <v>45881</v>
      </c>
      <c r="G34" s="11">
        <v>45884</v>
      </c>
      <c r="H34" s="11">
        <v>45889</v>
      </c>
      <c r="J34" s="8" t="s">
        <v>617</v>
      </c>
      <c r="K34" s="8" t="s">
        <v>618</v>
      </c>
      <c r="L34" s="8" t="s">
        <v>619</v>
      </c>
      <c r="M34" s="8" t="s">
        <v>1151</v>
      </c>
      <c r="O34" s="8" t="s">
        <v>1151</v>
      </c>
      <c r="P34" s="8" t="s">
        <v>1165</v>
      </c>
      <c r="Q34" s="16" t="s">
        <v>146</v>
      </c>
      <c r="AC34" s="8" t="s">
        <v>78</v>
      </c>
      <c r="AD34" s="8" t="s">
        <v>78</v>
      </c>
      <c r="AE34" s="14" t="s">
        <v>78</v>
      </c>
      <c r="AF34" s="8">
        <v>1</v>
      </c>
      <c r="AG34" s="8" t="str">
        <f>IF(AF34='Listas suspensas'!$A$16,'Listas suspensas'!$B$16,IF(AF34='Listas suspensas'!$A$17,'Listas suspensas'!$B$17,IF(AF34='Listas suspensas'!$A$18,'Listas suspensas'!$B$18,"")))</f>
        <v>Estável</v>
      </c>
      <c r="AH34" s="8" t="str">
        <f>IF(AF34='Listas suspensas'!$A$16,'Listas suspensas'!$C$16,IF(AF34='Listas suspensas'!$A$17,'Listas suspensas'!$C$17,IF(AF34='Listas suspensas'!$A$18,'Listas suspensas'!$C$18,"")))</f>
        <v>Indica solução límpida e isenta de materiais precipitados</v>
      </c>
      <c r="BC34" s="13">
        <v>1.591</v>
      </c>
      <c r="BD34" s="13">
        <v>0.74299999999999999</v>
      </c>
      <c r="BE34" s="13">
        <v>1.143</v>
      </c>
      <c r="BF34" s="14">
        <f t="shared" si="0"/>
        <v>3.48</v>
      </c>
      <c r="BG34" s="14">
        <v>45.8</v>
      </c>
      <c r="BH34" s="14">
        <v>21.4</v>
      </c>
      <c r="BI34" s="14">
        <v>32.799999999999997</v>
      </c>
      <c r="BJ34" s="16">
        <f t="shared" si="1"/>
        <v>100</v>
      </c>
      <c r="BO34" s="8" t="s">
        <v>1220</v>
      </c>
    </row>
    <row r="35" spans="2:67" x14ac:dyDescent="0.25">
      <c r="B35" s="8" t="s">
        <v>1221</v>
      </c>
      <c r="C35" s="8" t="s">
        <v>71</v>
      </c>
      <c r="F35" s="11">
        <v>45881</v>
      </c>
      <c r="G35" s="11">
        <v>45884</v>
      </c>
      <c r="H35" s="11">
        <v>45889</v>
      </c>
      <c r="J35" s="8" t="s">
        <v>630</v>
      </c>
      <c r="K35" s="8" t="s">
        <v>631</v>
      </c>
      <c r="L35" s="8" t="s">
        <v>74</v>
      </c>
      <c r="M35" s="8" t="s">
        <v>1151</v>
      </c>
      <c r="N35" s="29" t="s">
        <v>632</v>
      </c>
      <c r="O35" s="8" t="s">
        <v>1151</v>
      </c>
      <c r="P35" s="8" t="s">
        <v>1165</v>
      </c>
      <c r="Q35" s="16" t="s">
        <v>1222</v>
      </c>
      <c r="AC35" s="8">
        <v>1.016</v>
      </c>
      <c r="AD35" s="8">
        <v>19</v>
      </c>
      <c r="AE35" s="14">
        <v>1.9</v>
      </c>
      <c r="AF35" s="8">
        <v>1</v>
      </c>
      <c r="AG35" s="8" t="str">
        <f>IF(AF35='Listas suspensas'!$A$16,'Listas suspensas'!$B$16,IF(AF35='Listas suspensas'!$A$17,'Listas suspensas'!$B$17,IF(AF35='Listas suspensas'!$A$18,'Listas suspensas'!$B$18,"")))</f>
        <v>Estável</v>
      </c>
      <c r="AH35" s="8" t="str">
        <f>IF(AF35='Listas suspensas'!$A$16,'Listas suspensas'!$C$16,IF(AF35='Listas suspensas'!$A$17,'Listas suspensas'!$C$17,IF(AF35='Listas suspensas'!$A$18,'Listas suspensas'!$C$18,"")))</f>
        <v>Indica solução límpida e isenta de materiais precipitados</v>
      </c>
      <c r="BC35" s="13">
        <v>0.82899999999999996</v>
      </c>
      <c r="BD35" s="13">
        <v>0.376</v>
      </c>
      <c r="BE35" s="13">
        <v>0.60199999999999998</v>
      </c>
      <c r="BF35" s="14">
        <f t="shared" si="0"/>
        <v>1.81</v>
      </c>
      <c r="BG35" s="14">
        <v>45.9</v>
      </c>
      <c r="BH35" s="14">
        <v>20.8</v>
      </c>
      <c r="BI35" s="14">
        <v>33.299999999999997</v>
      </c>
      <c r="BJ35" s="16">
        <f t="shared" si="1"/>
        <v>100</v>
      </c>
    </row>
    <row r="36" spans="2:67" x14ac:dyDescent="0.25">
      <c r="B36" s="8" t="s">
        <v>1223</v>
      </c>
      <c r="C36" s="8" t="s">
        <v>71</v>
      </c>
      <c r="F36" s="11">
        <v>45881</v>
      </c>
      <c r="G36" s="11">
        <v>45884</v>
      </c>
      <c r="H36" s="11">
        <v>45889</v>
      </c>
      <c r="J36" s="8" t="s">
        <v>696</v>
      </c>
      <c r="K36" s="8" t="s">
        <v>697</v>
      </c>
      <c r="L36" s="8" t="s">
        <v>202</v>
      </c>
      <c r="M36" s="8" t="s">
        <v>1151</v>
      </c>
      <c r="O36" s="8" t="s">
        <v>1151</v>
      </c>
      <c r="P36" s="8" t="s">
        <v>1165</v>
      </c>
      <c r="Q36" s="16" t="s">
        <v>1224</v>
      </c>
      <c r="AC36" s="8">
        <v>1.012</v>
      </c>
      <c r="AD36" s="8">
        <v>19</v>
      </c>
      <c r="AE36" s="14">
        <v>1.4</v>
      </c>
      <c r="AF36" s="8">
        <v>2</v>
      </c>
      <c r="AG36" s="8" t="str">
        <f>IF(AF36='Listas suspensas'!$A$16,'Listas suspensas'!$B$16,IF(AF36='Listas suspensas'!$A$17,'Listas suspensas'!$B$17,IF(AF36='Listas suspensas'!$A$18,'Listas suspensas'!$B$18,"")))</f>
        <v>Instável</v>
      </c>
      <c r="AH36" s="8" t="str">
        <f>IF(AF36='Listas suspensas'!$A$16,'Listas suspensas'!$C$16,IF(AF36='Listas suspensas'!$A$17,'Listas suspensas'!$C$17,IF(AF36='Listas suspensas'!$A$18,'Listas suspensas'!$C$18,"")))</f>
        <v>Indica solução com leve formação de precipitado</v>
      </c>
      <c r="BC36" s="13">
        <v>0.69599999999999995</v>
      </c>
      <c r="BD36" s="13">
        <v>0.28799999999999998</v>
      </c>
      <c r="BE36" s="13">
        <v>0.438</v>
      </c>
      <c r="BF36" s="14">
        <f t="shared" si="0"/>
        <v>1.42</v>
      </c>
      <c r="BG36" s="14">
        <v>48.9</v>
      </c>
      <c r="BH36" s="14">
        <v>20.3</v>
      </c>
      <c r="BI36" s="14">
        <v>30.8</v>
      </c>
      <c r="BJ36" s="16">
        <f t="shared" si="1"/>
        <v>100</v>
      </c>
    </row>
    <row r="37" spans="2:67" x14ac:dyDescent="0.25">
      <c r="B37" s="8" t="s">
        <v>1225</v>
      </c>
      <c r="C37" s="8" t="s">
        <v>71</v>
      </c>
      <c r="F37" s="11">
        <v>45883</v>
      </c>
      <c r="G37" s="11">
        <v>45884</v>
      </c>
      <c r="H37" s="11">
        <v>45889</v>
      </c>
      <c r="J37" s="8" t="s">
        <v>90</v>
      </c>
      <c r="K37" s="8" t="s">
        <v>91</v>
      </c>
      <c r="L37" s="8" t="s">
        <v>92</v>
      </c>
      <c r="M37" s="8" t="s">
        <v>1151</v>
      </c>
      <c r="O37" s="8" t="s">
        <v>1151</v>
      </c>
      <c r="P37" s="8" t="s">
        <v>1165</v>
      </c>
      <c r="Q37" s="16" t="s">
        <v>146</v>
      </c>
      <c r="AC37" s="8" t="s">
        <v>78</v>
      </c>
      <c r="AD37" s="8" t="s">
        <v>78</v>
      </c>
      <c r="AE37" s="14" t="s">
        <v>78</v>
      </c>
      <c r="AF37" s="8">
        <v>2</v>
      </c>
      <c r="AG37" s="8" t="str">
        <f>IF(AF37='Listas suspensas'!$A$16,'Listas suspensas'!$B$16,IF(AF37='Listas suspensas'!$A$17,'Listas suspensas'!$B$17,IF(AF37='Listas suspensas'!$A$18,'Listas suspensas'!$B$18,"")))</f>
        <v>Instável</v>
      </c>
      <c r="AH37" s="8" t="str">
        <f>IF(AF37='Listas suspensas'!$A$16,'Listas suspensas'!$C$16,IF(AF37='Listas suspensas'!$A$17,'Listas suspensas'!$C$17,IF(AF37='Listas suspensas'!$A$18,'Listas suspensas'!$C$18,"")))</f>
        <v>Indica solução com leve formação de precipitado</v>
      </c>
      <c r="BC37" s="13">
        <v>1.377</v>
      </c>
      <c r="BD37" s="13">
        <v>0.58899999999999997</v>
      </c>
      <c r="BE37" s="13">
        <v>0.99399999999999999</v>
      </c>
      <c r="BF37" s="14">
        <f t="shared" si="0"/>
        <v>2.96</v>
      </c>
      <c r="BG37" s="14">
        <v>46.5</v>
      </c>
      <c r="BH37" s="14">
        <v>19.899999999999999</v>
      </c>
      <c r="BI37" s="14">
        <v>33.6</v>
      </c>
      <c r="BJ37" s="16">
        <f t="shared" si="1"/>
        <v>100</v>
      </c>
      <c r="BO37" s="8" t="s">
        <v>1220</v>
      </c>
    </row>
    <row r="38" spans="2:67" x14ac:dyDescent="0.25">
      <c r="B38" s="8" t="s">
        <v>1226</v>
      </c>
      <c r="C38" s="8" t="s">
        <v>71</v>
      </c>
      <c r="F38" s="11">
        <v>45883</v>
      </c>
      <c r="G38" s="11">
        <v>45884</v>
      </c>
      <c r="H38" s="11">
        <v>45889</v>
      </c>
      <c r="J38" s="8" t="s">
        <v>1227</v>
      </c>
      <c r="K38" s="8" t="s">
        <v>661</v>
      </c>
      <c r="L38" s="8" t="s">
        <v>619</v>
      </c>
      <c r="M38" s="8" t="s">
        <v>1151</v>
      </c>
      <c r="N38" s="29" t="s">
        <v>662</v>
      </c>
      <c r="O38" s="8" t="s">
        <v>1151</v>
      </c>
      <c r="P38" s="8" t="s">
        <v>1165</v>
      </c>
      <c r="Q38" s="16" t="s">
        <v>1228</v>
      </c>
      <c r="AC38" s="8" t="s">
        <v>78</v>
      </c>
      <c r="AD38" s="8" t="s">
        <v>78</v>
      </c>
      <c r="AE38" s="14" t="s">
        <v>78</v>
      </c>
      <c r="AF38" s="8">
        <v>1</v>
      </c>
      <c r="AG38" s="8" t="str">
        <f>IF(AF38='Listas suspensas'!$A$16,'Listas suspensas'!$B$16,IF(AF38='Listas suspensas'!$A$17,'Listas suspensas'!$B$17,IF(AF38='Listas suspensas'!$A$18,'Listas suspensas'!$B$18,"")))</f>
        <v>Estável</v>
      </c>
      <c r="AH38" s="8" t="str">
        <f>IF(AF38='Listas suspensas'!$A$16,'Listas suspensas'!$C$16,IF(AF38='Listas suspensas'!$A$17,'Listas suspensas'!$C$17,IF(AF38='Listas suspensas'!$A$18,'Listas suspensas'!$C$18,"")))</f>
        <v>Indica solução límpida e isenta de materiais precipitados</v>
      </c>
      <c r="BC38" s="13">
        <v>0.88100000000000001</v>
      </c>
      <c r="BD38" s="13">
        <v>0.36399999999999999</v>
      </c>
      <c r="BE38" s="13">
        <v>0.66300000000000003</v>
      </c>
      <c r="BF38" s="14">
        <f t="shared" si="0"/>
        <v>1.91</v>
      </c>
      <c r="BG38" s="14">
        <v>46.2</v>
      </c>
      <c r="BH38" s="14">
        <v>19.100000000000001</v>
      </c>
      <c r="BI38" s="14">
        <v>34.700000000000003</v>
      </c>
      <c r="BJ38" s="16">
        <f t="shared" si="1"/>
        <v>100</v>
      </c>
      <c r="BO38" s="8" t="s">
        <v>1220</v>
      </c>
    </row>
    <row r="39" spans="2:67" x14ac:dyDescent="0.25">
      <c r="B39" s="8" t="s">
        <v>1229</v>
      </c>
      <c r="C39" s="8" t="s">
        <v>71</v>
      </c>
      <c r="F39" s="11">
        <v>45896</v>
      </c>
      <c r="G39" s="11">
        <v>45908</v>
      </c>
      <c r="H39" s="11">
        <v>45909</v>
      </c>
      <c r="J39" s="8" t="s">
        <v>696</v>
      </c>
      <c r="K39" s="8" t="s">
        <v>697</v>
      </c>
      <c r="L39" s="8" t="s">
        <v>202</v>
      </c>
      <c r="M39" s="8" t="s">
        <v>1151</v>
      </c>
      <c r="O39" s="8" t="s">
        <v>1151</v>
      </c>
      <c r="P39" s="8" t="s">
        <v>1165</v>
      </c>
      <c r="Q39" s="16" t="s">
        <v>1230</v>
      </c>
      <c r="AC39" s="8">
        <v>1.0129999999999999</v>
      </c>
      <c r="AD39" s="8">
        <v>21</v>
      </c>
      <c r="AE39" s="14">
        <v>1.6</v>
      </c>
      <c r="AF39" s="8">
        <v>1</v>
      </c>
      <c r="AG39" s="8" t="str">
        <f>IF(AF39='Listas suspensas'!$A$16,'Listas suspensas'!$B$16,IF(AF39='Listas suspensas'!$A$17,'Listas suspensas'!$B$17,IF(AF39='Listas suspensas'!$A$18,'Listas suspensas'!$B$18,"")))</f>
        <v>Estável</v>
      </c>
      <c r="AH39" s="8" t="str">
        <f>IF(AF39='Listas suspensas'!$A$16,'Listas suspensas'!$C$16,IF(AF39='Listas suspensas'!$A$17,'Listas suspensas'!$C$17,IF(AF39='Listas suspensas'!$A$18,'Listas suspensas'!$C$18,"")))</f>
        <v>Indica solução límpida e isenta de materiais precipitados</v>
      </c>
      <c r="BC39" s="13">
        <v>0.77</v>
      </c>
      <c r="BD39" s="13">
        <v>0.30399999999999999</v>
      </c>
      <c r="BE39" s="13">
        <v>0.56899999999999995</v>
      </c>
      <c r="BF39" s="14">
        <f t="shared" si="0"/>
        <v>1.64</v>
      </c>
      <c r="BG39" s="14">
        <v>46.9</v>
      </c>
      <c r="BH39" s="14">
        <v>18.5</v>
      </c>
      <c r="BI39" s="14">
        <v>34.6</v>
      </c>
      <c r="BJ39" s="16">
        <f t="shared" si="1"/>
        <v>100</v>
      </c>
    </row>
    <row r="40" spans="2:67" x14ac:dyDescent="0.25">
      <c r="B40" s="8" t="s">
        <v>1231</v>
      </c>
      <c r="C40" s="8" t="s">
        <v>71</v>
      </c>
      <c r="F40" s="11">
        <v>45896</v>
      </c>
      <c r="G40" s="11">
        <v>45908</v>
      </c>
      <c r="H40" s="11">
        <v>45909</v>
      </c>
      <c r="J40" s="8" t="s">
        <v>1232</v>
      </c>
      <c r="K40" s="8" t="s">
        <v>809</v>
      </c>
      <c r="L40" s="8" t="s">
        <v>144</v>
      </c>
      <c r="M40" s="8" t="s">
        <v>1151</v>
      </c>
      <c r="O40" s="8" t="s">
        <v>1151</v>
      </c>
      <c r="P40" s="8" t="s">
        <v>1165</v>
      </c>
      <c r="Q40" s="16" t="s">
        <v>1233</v>
      </c>
      <c r="AC40" s="8">
        <v>1.0155000000000001</v>
      </c>
      <c r="AD40" s="8">
        <v>21</v>
      </c>
      <c r="AE40" s="14">
        <v>1.9</v>
      </c>
      <c r="AF40" s="8">
        <v>1</v>
      </c>
      <c r="AG40" s="8" t="str">
        <f>IF(AF40='Listas suspensas'!$A$16,'Listas suspensas'!$B$16,IF(AF40='Listas suspensas'!$A$17,'Listas suspensas'!$B$17,IF(AF40='Listas suspensas'!$A$18,'Listas suspensas'!$B$18,"")))</f>
        <v>Estável</v>
      </c>
      <c r="AH40" s="8" t="str">
        <f>IF(AF40='Listas suspensas'!$A$16,'Listas suspensas'!$C$16,IF(AF40='Listas suspensas'!$A$17,'Listas suspensas'!$C$17,IF(AF40='Listas suspensas'!$A$18,'Listas suspensas'!$C$18,"")))</f>
        <v>Indica solução límpida e isenta de materiais precipitados</v>
      </c>
      <c r="BC40" s="13">
        <v>0.85399999999999998</v>
      </c>
      <c r="BD40" s="13">
        <v>0.34799999999999998</v>
      </c>
      <c r="BE40" s="13">
        <v>0.65</v>
      </c>
      <c r="BF40" s="14">
        <f t="shared" si="0"/>
        <v>1.85</v>
      </c>
      <c r="BG40" s="14">
        <v>46.1</v>
      </c>
      <c r="BH40" s="14">
        <v>18.8</v>
      </c>
      <c r="BI40" s="14">
        <v>35.1</v>
      </c>
      <c r="BJ40" s="16">
        <f t="shared" si="1"/>
        <v>100</v>
      </c>
    </row>
    <row r="41" spans="2:67" x14ac:dyDescent="0.25">
      <c r="B41" s="8" t="s">
        <v>1234</v>
      </c>
      <c r="C41" s="8" t="s">
        <v>71</v>
      </c>
      <c r="F41" s="11">
        <v>45896</v>
      </c>
      <c r="G41" s="11">
        <v>45908</v>
      </c>
      <c r="H41" s="11">
        <v>45909</v>
      </c>
      <c r="J41" s="8" t="s">
        <v>811</v>
      </c>
      <c r="K41" s="8" t="s">
        <v>812</v>
      </c>
      <c r="L41" s="8" t="s">
        <v>144</v>
      </c>
      <c r="M41" s="8" t="s">
        <v>1151</v>
      </c>
      <c r="N41" s="29" t="s">
        <v>1008</v>
      </c>
      <c r="O41" s="8" t="s">
        <v>1151</v>
      </c>
      <c r="P41" s="8" t="s">
        <v>1165</v>
      </c>
      <c r="Q41" s="16" t="s">
        <v>146</v>
      </c>
      <c r="AC41" s="8">
        <v>1.0209999999999999</v>
      </c>
      <c r="AD41" s="8">
        <v>21</v>
      </c>
      <c r="AE41" s="14">
        <v>2.5</v>
      </c>
      <c r="AF41" s="8">
        <v>2</v>
      </c>
      <c r="AG41" s="8" t="str">
        <f>IF(AF41='Listas suspensas'!$A$16,'Listas suspensas'!$B$16,IF(AF41='Listas suspensas'!$A$17,'Listas suspensas'!$B$17,IF(AF41='Listas suspensas'!$A$18,'Listas suspensas'!$B$18,"")))</f>
        <v>Instável</v>
      </c>
      <c r="AH41" s="8" t="str">
        <f>IF(AF41='Listas suspensas'!$A$16,'Listas suspensas'!$C$16,IF(AF41='Listas suspensas'!$A$17,'Listas suspensas'!$C$17,IF(AF41='Listas suspensas'!$A$18,'Listas suspensas'!$C$18,"")))</f>
        <v>Indica solução com leve formação de precipitado</v>
      </c>
      <c r="BC41" s="13">
        <v>1.0840000000000001</v>
      </c>
      <c r="BD41" s="13">
        <v>0.48499999999999999</v>
      </c>
      <c r="BE41" s="13">
        <v>0.83799999999999997</v>
      </c>
      <c r="BF41" s="14">
        <f t="shared" si="0"/>
        <v>2.41</v>
      </c>
      <c r="BG41" s="14">
        <v>45</v>
      </c>
      <c r="BH41" s="14">
        <v>20.2</v>
      </c>
      <c r="BI41" s="14">
        <v>34.799999999999997</v>
      </c>
      <c r="BJ41" s="16">
        <f t="shared" si="1"/>
        <v>100</v>
      </c>
    </row>
    <row r="42" spans="2:67" x14ac:dyDescent="0.25">
      <c r="B42" s="8" t="s">
        <v>1235</v>
      </c>
      <c r="C42" s="8" t="s">
        <v>71</v>
      </c>
      <c r="F42" s="11">
        <v>45896</v>
      </c>
      <c r="G42" s="11">
        <v>45908</v>
      </c>
      <c r="H42" s="11">
        <v>45909</v>
      </c>
      <c r="J42" s="8" t="s">
        <v>831</v>
      </c>
      <c r="K42" s="8" t="s">
        <v>832</v>
      </c>
      <c r="L42" s="8" t="s">
        <v>92</v>
      </c>
      <c r="M42" s="8" t="s">
        <v>1151</v>
      </c>
      <c r="N42" s="29" t="s">
        <v>833</v>
      </c>
      <c r="O42" s="8" t="s">
        <v>1151</v>
      </c>
      <c r="P42" s="8" t="s">
        <v>1165</v>
      </c>
      <c r="Q42" s="16" t="s">
        <v>1236</v>
      </c>
      <c r="AC42" s="8">
        <v>1.014</v>
      </c>
      <c r="AD42" s="8">
        <v>21</v>
      </c>
      <c r="AE42" s="14">
        <v>1.7</v>
      </c>
      <c r="AF42" s="8">
        <v>1</v>
      </c>
      <c r="AG42" s="8" t="str">
        <f>IF(AF42='Listas suspensas'!$A$16,'Listas suspensas'!$B$16,IF(AF42='Listas suspensas'!$A$17,'Listas suspensas'!$B$17,IF(AF42='Listas suspensas'!$A$18,'Listas suspensas'!$B$18,"")))</f>
        <v>Estável</v>
      </c>
      <c r="AH42" s="8" t="str">
        <f>IF(AF42='Listas suspensas'!$A$16,'Listas suspensas'!$C$16,IF(AF42='Listas suspensas'!$A$17,'Listas suspensas'!$C$17,IF(AF42='Listas suspensas'!$A$18,'Listas suspensas'!$C$18,"")))</f>
        <v>Indica solução límpida e isenta de materiais precipitados</v>
      </c>
      <c r="BC42" s="13">
        <v>0.82099999999999995</v>
      </c>
      <c r="BD42" s="13">
        <v>0.34200000000000003</v>
      </c>
      <c r="BE42" s="13">
        <v>0.63700000000000001</v>
      </c>
      <c r="BF42" s="14">
        <f t="shared" si="0"/>
        <v>1.8</v>
      </c>
      <c r="BG42" s="14">
        <v>45.6</v>
      </c>
      <c r="BH42" s="14">
        <v>19</v>
      </c>
      <c r="BI42" s="14">
        <v>35.4</v>
      </c>
      <c r="BJ42" s="16">
        <f t="shared" si="1"/>
        <v>100</v>
      </c>
    </row>
    <row r="43" spans="2:67" x14ac:dyDescent="0.25">
      <c r="B43" s="8" t="s">
        <v>1237</v>
      </c>
      <c r="C43" s="8" t="s">
        <v>71</v>
      </c>
      <c r="F43" s="11">
        <v>45896</v>
      </c>
      <c r="G43" s="11">
        <v>45908</v>
      </c>
      <c r="H43" s="11">
        <v>45909</v>
      </c>
      <c r="J43" s="8" t="s">
        <v>1238</v>
      </c>
      <c r="K43" s="8" t="s">
        <v>845</v>
      </c>
      <c r="L43" s="8" t="s">
        <v>92</v>
      </c>
      <c r="M43" s="8" t="s">
        <v>1151</v>
      </c>
      <c r="N43" s="29" t="s">
        <v>846</v>
      </c>
      <c r="O43" s="8" t="s">
        <v>1151</v>
      </c>
      <c r="P43" s="8" t="s">
        <v>1165</v>
      </c>
      <c r="Q43" s="16" t="s">
        <v>1239</v>
      </c>
      <c r="AC43" s="8">
        <v>1.016</v>
      </c>
      <c r="AD43" s="8">
        <v>21</v>
      </c>
      <c r="AE43" s="14">
        <v>1.9</v>
      </c>
      <c r="AF43" s="8">
        <v>1</v>
      </c>
      <c r="AG43" s="8" t="str">
        <f>IF(AF43='Listas suspensas'!$A$16,'Listas suspensas'!$B$16,IF(AF43='Listas suspensas'!$A$17,'Listas suspensas'!$B$17,IF(AF43='Listas suspensas'!$A$18,'Listas suspensas'!$B$18,"")))</f>
        <v>Estável</v>
      </c>
      <c r="AH43" s="8" t="str">
        <f>IF(AF43='Listas suspensas'!$A$16,'Listas suspensas'!$C$16,IF(AF43='Listas suspensas'!$A$17,'Listas suspensas'!$C$17,IF(AF43='Listas suspensas'!$A$18,'Listas suspensas'!$C$18,"")))</f>
        <v>Indica solução límpida e isenta de materiais precipitados</v>
      </c>
      <c r="BC43" s="13">
        <v>0.84299999999999997</v>
      </c>
      <c r="BD43" s="13">
        <v>0.36499999999999999</v>
      </c>
      <c r="BE43" s="13">
        <v>0.67100000000000004</v>
      </c>
      <c r="BF43" s="14">
        <f t="shared" si="0"/>
        <v>1.88</v>
      </c>
      <c r="BG43" s="14">
        <v>44.9</v>
      </c>
      <c r="BH43" s="14">
        <v>19.399999999999999</v>
      </c>
      <c r="BI43" s="14">
        <v>35.700000000000003</v>
      </c>
      <c r="BJ43" s="16">
        <f t="shared" si="1"/>
        <v>100</v>
      </c>
    </row>
    <row r="44" spans="2:67" x14ac:dyDescent="0.25">
      <c r="B44" s="8" t="s">
        <v>1240</v>
      </c>
      <c r="C44" s="8" t="s">
        <v>71</v>
      </c>
      <c r="F44" s="11">
        <v>45903</v>
      </c>
      <c r="G44" s="11">
        <v>45908</v>
      </c>
      <c r="H44" s="11">
        <v>45909</v>
      </c>
      <c r="J44" s="8" t="s">
        <v>851</v>
      </c>
      <c r="K44" s="8" t="s">
        <v>852</v>
      </c>
      <c r="L44" s="8" t="s">
        <v>74</v>
      </c>
      <c r="M44" s="8" t="s">
        <v>1151</v>
      </c>
      <c r="N44" s="29" t="s">
        <v>853</v>
      </c>
      <c r="O44" s="8" t="s">
        <v>1151</v>
      </c>
      <c r="P44" s="8" t="s">
        <v>1165</v>
      </c>
      <c r="Q44" s="16" t="s">
        <v>146</v>
      </c>
      <c r="AC44" s="8" t="s">
        <v>78</v>
      </c>
      <c r="AD44" s="8" t="s">
        <v>78</v>
      </c>
      <c r="AE44" s="14" t="s">
        <v>78</v>
      </c>
      <c r="AF44" s="8">
        <v>1</v>
      </c>
      <c r="AG44" s="8" t="str">
        <f>IF(AF44='Listas suspensas'!$A$16,'Listas suspensas'!$B$16,IF(AF44='Listas suspensas'!$A$17,'Listas suspensas'!$B$17,IF(AF44='Listas suspensas'!$A$18,'Listas suspensas'!$B$18,"")))</f>
        <v>Estável</v>
      </c>
      <c r="AH44" s="8" t="str">
        <f>IF(AF44='Listas suspensas'!$A$16,'Listas suspensas'!$C$16,IF(AF44='Listas suspensas'!$A$17,'Listas suspensas'!$C$17,IF(AF44='Listas suspensas'!$A$18,'Listas suspensas'!$C$18,"")))</f>
        <v>Indica solução límpida e isenta de materiais precipitados</v>
      </c>
      <c r="BC44" s="13">
        <v>0.94699999999999995</v>
      </c>
      <c r="BD44" s="13">
        <v>0.42399999999999999</v>
      </c>
      <c r="BE44" s="13">
        <v>0.67500000000000004</v>
      </c>
      <c r="BF44" s="14">
        <f t="shared" si="0"/>
        <v>2.0499999999999998</v>
      </c>
      <c r="BG44" s="14">
        <v>46.3</v>
      </c>
      <c r="BH44" s="14">
        <v>20.7</v>
      </c>
      <c r="BI44" s="14">
        <v>33</v>
      </c>
      <c r="BJ44" s="16">
        <f t="shared" si="1"/>
        <v>100</v>
      </c>
      <c r="BO44" s="8" t="s">
        <v>1220</v>
      </c>
    </row>
    <row r="45" spans="2:67" x14ac:dyDescent="0.25">
      <c r="B45" s="8" t="s">
        <v>1241</v>
      </c>
      <c r="C45" s="8" t="s">
        <v>71</v>
      </c>
      <c r="F45" s="11">
        <v>45909</v>
      </c>
      <c r="G45" s="11">
        <v>45912</v>
      </c>
      <c r="H45" s="11">
        <v>45915</v>
      </c>
      <c r="J45" s="8" t="s">
        <v>564</v>
      </c>
      <c r="K45" s="8" t="s">
        <v>213</v>
      </c>
      <c r="L45" s="8" t="s">
        <v>74</v>
      </c>
      <c r="M45" s="8" t="s">
        <v>1151</v>
      </c>
      <c r="N45" s="29" t="s">
        <v>872</v>
      </c>
      <c r="O45" s="8" t="s">
        <v>1151</v>
      </c>
      <c r="P45" s="8" t="s">
        <v>1165</v>
      </c>
      <c r="Q45" s="16" t="s">
        <v>873</v>
      </c>
      <c r="AC45" s="8">
        <v>1.0155000000000001</v>
      </c>
      <c r="AD45" s="8">
        <v>22</v>
      </c>
      <c r="AE45" s="14">
        <v>1.9</v>
      </c>
      <c r="AF45" s="8">
        <v>2</v>
      </c>
      <c r="AG45" s="8" t="str">
        <f>IF(AF45='Listas suspensas'!$A$16,'Listas suspensas'!$B$16,IF(AF45='Listas suspensas'!$A$17,'Listas suspensas'!$B$17,IF(AF45='Listas suspensas'!$A$18,'Listas suspensas'!$B$18,"")))</f>
        <v>Instável</v>
      </c>
      <c r="AH45" s="8" t="str">
        <f>IF(AF45='Listas suspensas'!$A$16,'Listas suspensas'!$C$16,IF(AF45='Listas suspensas'!$A$17,'Listas suspensas'!$C$17,IF(AF45='Listas suspensas'!$A$18,'Listas suspensas'!$C$18,"")))</f>
        <v>Indica solução com leve formação de precipitado</v>
      </c>
      <c r="BC45" s="13">
        <v>0.91400000000000003</v>
      </c>
      <c r="BD45" s="13">
        <v>0.38500000000000001</v>
      </c>
      <c r="BE45" s="13">
        <v>0.72199999999999998</v>
      </c>
      <c r="BF45" s="14">
        <f t="shared" si="0"/>
        <v>2.02</v>
      </c>
      <c r="BG45" s="14">
        <v>45.2</v>
      </c>
      <c r="BH45" s="14">
        <v>19.100000000000001</v>
      </c>
      <c r="BI45" s="14">
        <v>35.700000000000003</v>
      </c>
      <c r="BJ45" s="16">
        <f t="shared" si="1"/>
        <v>100</v>
      </c>
    </row>
    <row r="46" spans="2:67" x14ac:dyDescent="0.25">
      <c r="B46" s="8" t="s">
        <v>1242</v>
      </c>
      <c r="C46" s="8" t="s">
        <v>71</v>
      </c>
      <c r="F46" s="11">
        <v>45909</v>
      </c>
      <c r="G46" s="11">
        <v>45912</v>
      </c>
      <c r="H46" s="11">
        <v>45915</v>
      </c>
      <c r="J46" s="8" t="s">
        <v>90</v>
      </c>
      <c r="K46" s="8" t="s">
        <v>91</v>
      </c>
      <c r="L46" s="8" t="s">
        <v>92</v>
      </c>
      <c r="M46" s="8" t="s">
        <v>1151</v>
      </c>
      <c r="O46" s="8" t="s">
        <v>1151</v>
      </c>
      <c r="P46" s="8" t="s">
        <v>1165</v>
      </c>
      <c r="Q46" s="16" t="s">
        <v>882</v>
      </c>
      <c r="AC46" s="8">
        <v>1.016</v>
      </c>
      <c r="AD46" s="8">
        <v>22</v>
      </c>
      <c r="AE46" s="14">
        <v>1.9</v>
      </c>
      <c r="AF46" s="8">
        <v>2</v>
      </c>
      <c r="AG46" s="8" t="str">
        <f>IF(AF46='Listas suspensas'!$A$16,'Listas suspensas'!$B$16,IF(AF46='Listas suspensas'!$A$17,'Listas suspensas'!$B$17,IF(AF46='Listas suspensas'!$A$18,'Listas suspensas'!$B$18,"")))</f>
        <v>Instável</v>
      </c>
      <c r="AH46" s="8" t="str">
        <f>IF(AF46='Listas suspensas'!$A$16,'Listas suspensas'!$C$16,IF(AF46='Listas suspensas'!$A$17,'Listas suspensas'!$C$17,IF(AF46='Listas suspensas'!$A$18,'Listas suspensas'!$C$18,"")))</f>
        <v>Indica solução com leve formação de precipitado</v>
      </c>
      <c r="BC46" s="13">
        <v>0.90400000000000003</v>
      </c>
      <c r="BD46" s="13">
        <v>0.38800000000000001</v>
      </c>
      <c r="BE46" s="13">
        <v>0.70099999999999996</v>
      </c>
      <c r="BF46" s="14">
        <f t="shared" si="0"/>
        <v>1.99</v>
      </c>
      <c r="BG46" s="14">
        <v>45.4</v>
      </c>
      <c r="BH46" s="14">
        <v>19.399999999999999</v>
      </c>
      <c r="BI46" s="14">
        <v>35.200000000000003</v>
      </c>
      <c r="BJ46" s="16">
        <f t="shared" si="1"/>
        <v>100</v>
      </c>
    </row>
    <row r="47" spans="2:67" x14ac:dyDescent="0.25">
      <c r="B47" s="8" t="s">
        <v>1243</v>
      </c>
      <c r="C47" s="8" t="s">
        <v>71</v>
      </c>
      <c r="F47" s="11">
        <v>45909</v>
      </c>
      <c r="G47" s="11">
        <v>45912</v>
      </c>
      <c r="H47" s="11">
        <v>45915</v>
      </c>
      <c r="J47" s="8" t="s">
        <v>926</v>
      </c>
      <c r="K47" s="8" t="s">
        <v>927</v>
      </c>
      <c r="L47" s="8" t="s">
        <v>1244</v>
      </c>
      <c r="M47" s="8" t="s">
        <v>1151</v>
      </c>
      <c r="O47" s="8" t="s">
        <v>1151</v>
      </c>
      <c r="P47" s="8" t="s">
        <v>1165</v>
      </c>
      <c r="Q47" s="16" t="s">
        <v>1245</v>
      </c>
      <c r="AC47" s="8">
        <v>1.0089999999999999</v>
      </c>
      <c r="AD47" s="8">
        <v>22</v>
      </c>
      <c r="AE47" s="14">
        <v>1.1000000000000001</v>
      </c>
      <c r="AF47" s="8">
        <v>1</v>
      </c>
      <c r="AG47" s="8" t="str">
        <f>IF(AF47='Listas suspensas'!$A$16,'Listas suspensas'!$B$16,IF(AF47='Listas suspensas'!$A$17,'Listas suspensas'!$B$17,IF(AF47='Listas suspensas'!$A$18,'Listas suspensas'!$B$18,"")))</f>
        <v>Estável</v>
      </c>
      <c r="AH47" s="8" t="str">
        <f>IF(AF47='Listas suspensas'!$A$16,'Listas suspensas'!$C$16,IF(AF47='Listas suspensas'!$A$17,'Listas suspensas'!$C$17,IF(AF47='Listas suspensas'!$A$18,'Listas suspensas'!$C$18,"")))</f>
        <v>Indica solução límpida e isenta de materiais precipitados</v>
      </c>
      <c r="BC47" s="13">
        <v>0.52700000000000002</v>
      </c>
      <c r="BD47" s="13">
        <v>0.20599999999999999</v>
      </c>
      <c r="BE47" s="13">
        <v>0.374</v>
      </c>
      <c r="BF47" s="14">
        <f t="shared" si="0"/>
        <v>1.1100000000000001</v>
      </c>
      <c r="BG47" s="14">
        <v>47.6</v>
      </c>
      <c r="BH47" s="14">
        <v>18.600000000000001</v>
      </c>
      <c r="BI47" s="14">
        <v>33.799999999999997</v>
      </c>
      <c r="BJ47" s="16">
        <f t="shared" si="1"/>
        <v>100</v>
      </c>
    </row>
    <row r="48" spans="2:67" x14ac:dyDescent="0.25">
      <c r="B48" s="8" t="s">
        <v>1246</v>
      </c>
      <c r="C48" s="8" t="s">
        <v>71</v>
      </c>
      <c r="F48" s="11">
        <v>45909</v>
      </c>
      <c r="G48" s="11">
        <v>45912</v>
      </c>
      <c r="H48" s="11">
        <v>45915</v>
      </c>
      <c r="J48" s="8" t="s">
        <v>926</v>
      </c>
      <c r="K48" s="8" t="s">
        <v>927</v>
      </c>
      <c r="L48" s="8" t="s">
        <v>1244</v>
      </c>
      <c r="M48" s="8" t="s">
        <v>1151</v>
      </c>
      <c r="O48" s="8" t="s">
        <v>1151</v>
      </c>
      <c r="P48" s="8" t="s">
        <v>1165</v>
      </c>
      <c r="Q48" s="16" t="s">
        <v>930</v>
      </c>
      <c r="AC48" s="8">
        <v>1.01</v>
      </c>
      <c r="AD48" s="8">
        <v>22</v>
      </c>
      <c r="AE48" s="14">
        <v>1.2</v>
      </c>
      <c r="AF48" s="8">
        <v>2</v>
      </c>
      <c r="AG48" s="8" t="str">
        <f>IF(AF48='Listas suspensas'!$A$16,'Listas suspensas'!$B$16,IF(AF48='Listas suspensas'!$A$17,'Listas suspensas'!$B$17,IF(AF48='Listas suspensas'!$A$18,'Listas suspensas'!$B$18,"")))</f>
        <v>Instável</v>
      </c>
      <c r="AH48" s="8" t="str">
        <f>IF(AF48='Listas suspensas'!$A$16,'Listas suspensas'!$C$16,IF(AF48='Listas suspensas'!$A$17,'Listas suspensas'!$C$17,IF(AF48='Listas suspensas'!$A$18,'Listas suspensas'!$C$18,"")))</f>
        <v>Indica solução com leve formação de precipitado</v>
      </c>
      <c r="BC48" s="13">
        <v>0.61399999999999999</v>
      </c>
      <c r="BD48" s="13">
        <v>0.23100000000000001</v>
      </c>
      <c r="BE48" s="13">
        <v>0.441</v>
      </c>
      <c r="BF48" s="14">
        <f t="shared" si="0"/>
        <v>1.29</v>
      </c>
      <c r="BG48" s="14">
        <v>47.8</v>
      </c>
      <c r="BH48" s="14">
        <v>18</v>
      </c>
      <c r="BI48" s="14">
        <v>34.200000000000003</v>
      </c>
      <c r="BJ48" s="16">
        <f t="shared" si="1"/>
        <v>100</v>
      </c>
    </row>
    <row r="49" spans="2:67" x14ac:dyDescent="0.25">
      <c r="B49" s="8" t="s">
        <v>1247</v>
      </c>
      <c r="C49" s="8" t="s">
        <v>71</v>
      </c>
      <c r="F49" s="11">
        <v>45909</v>
      </c>
      <c r="G49" s="11">
        <v>45912</v>
      </c>
      <c r="H49" s="11">
        <v>45915</v>
      </c>
      <c r="J49" s="8" t="s">
        <v>696</v>
      </c>
      <c r="K49" s="8" t="s">
        <v>697</v>
      </c>
      <c r="L49" s="8" t="s">
        <v>202</v>
      </c>
      <c r="M49" s="8" t="s">
        <v>1151</v>
      </c>
      <c r="O49" s="8" t="s">
        <v>1151</v>
      </c>
      <c r="P49" s="8" t="s">
        <v>1165</v>
      </c>
      <c r="Q49" s="16" t="s">
        <v>934</v>
      </c>
      <c r="AC49" s="8">
        <v>1.014</v>
      </c>
      <c r="AD49" s="8">
        <v>22</v>
      </c>
      <c r="AE49" s="14">
        <v>1.7</v>
      </c>
      <c r="AF49" s="8">
        <v>1</v>
      </c>
      <c r="AG49" s="8" t="str">
        <f>IF(AF49='Listas suspensas'!$A$16,'Listas suspensas'!$B$16,IF(AF49='Listas suspensas'!$A$17,'Listas suspensas'!$B$17,IF(AF49='Listas suspensas'!$A$18,'Listas suspensas'!$B$18,"")))</f>
        <v>Estável</v>
      </c>
      <c r="AH49" s="8" t="str">
        <f>IF(AF49='Listas suspensas'!$A$16,'Listas suspensas'!$C$16,IF(AF49='Listas suspensas'!$A$17,'Listas suspensas'!$C$17,IF(AF49='Listas suspensas'!$A$18,'Listas suspensas'!$C$18,"")))</f>
        <v>Indica solução límpida e isenta de materiais precipitados</v>
      </c>
      <c r="BC49" s="13">
        <v>0.82199999999999995</v>
      </c>
      <c r="BD49" s="13">
        <v>0.34300000000000003</v>
      </c>
      <c r="BE49" s="13">
        <v>0.60499999999999998</v>
      </c>
      <c r="BF49" s="14">
        <f t="shared" si="0"/>
        <v>1.77</v>
      </c>
      <c r="BG49" s="14">
        <v>46.5</v>
      </c>
      <c r="BH49" s="14">
        <v>19.399999999999999</v>
      </c>
      <c r="BI49" s="14">
        <v>34.1</v>
      </c>
      <c r="BJ49" s="16">
        <f t="shared" si="1"/>
        <v>100</v>
      </c>
    </row>
    <row r="50" spans="2:67" x14ac:dyDescent="0.25">
      <c r="B50" s="8" t="s">
        <v>1248</v>
      </c>
      <c r="C50" s="8" t="s">
        <v>71</v>
      </c>
      <c r="F50" s="11">
        <v>45909</v>
      </c>
      <c r="G50" s="11">
        <v>45912</v>
      </c>
      <c r="H50" s="11">
        <v>45915</v>
      </c>
      <c r="J50" s="8" t="s">
        <v>926</v>
      </c>
      <c r="K50" s="8" t="s">
        <v>927</v>
      </c>
      <c r="L50" s="8" t="s">
        <v>1244</v>
      </c>
      <c r="M50" s="8" t="s">
        <v>1151</v>
      </c>
      <c r="O50" s="8" t="s">
        <v>1151</v>
      </c>
      <c r="P50" s="8" t="s">
        <v>1165</v>
      </c>
      <c r="Q50" s="16" t="s">
        <v>932</v>
      </c>
      <c r="AC50" s="8">
        <v>1.0075000000000001</v>
      </c>
      <c r="AD50" s="8">
        <v>22</v>
      </c>
      <c r="AE50" s="14">
        <v>0.9</v>
      </c>
      <c r="AF50" s="8">
        <v>1</v>
      </c>
      <c r="AG50" s="8" t="str">
        <f>IF(AF50='Listas suspensas'!$A$16,'Listas suspensas'!$B$16,IF(AF50='Listas suspensas'!$A$17,'Listas suspensas'!$B$17,IF(AF50='Listas suspensas'!$A$18,'Listas suspensas'!$B$18,"")))</f>
        <v>Estável</v>
      </c>
      <c r="AH50" s="8" t="str">
        <f>IF(AF50='Listas suspensas'!$A$16,'Listas suspensas'!$C$16,IF(AF50='Listas suspensas'!$A$17,'Listas suspensas'!$C$17,IF(AF50='Listas suspensas'!$A$18,'Listas suspensas'!$C$18,"")))</f>
        <v>Indica solução límpida e isenta de materiais precipitados</v>
      </c>
      <c r="BC50" s="13">
        <v>0.45</v>
      </c>
      <c r="BD50" s="13">
        <v>0.17799999999999999</v>
      </c>
      <c r="BE50" s="13">
        <v>0.35799999999999998</v>
      </c>
      <c r="BF50" s="14">
        <f t="shared" si="0"/>
        <v>0.99</v>
      </c>
      <c r="BG50" s="14">
        <v>45.6</v>
      </c>
      <c r="BH50" s="14">
        <v>18</v>
      </c>
      <c r="BI50" s="14">
        <v>36.4</v>
      </c>
      <c r="BJ50" s="16">
        <f t="shared" si="1"/>
        <v>100</v>
      </c>
    </row>
    <row r="51" spans="2:67" x14ac:dyDescent="0.25">
      <c r="B51" s="8" t="s">
        <v>1249</v>
      </c>
      <c r="C51" s="8" t="s">
        <v>71</v>
      </c>
      <c r="F51" s="11">
        <v>45924</v>
      </c>
      <c r="G51" s="11">
        <v>45925</v>
      </c>
      <c r="H51" s="11">
        <v>45925</v>
      </c>
      <c r="J51" s="8" t="s">
        <v>1250</v>
      </c>
      <c r="K51" s="8" t="s">
        <v>1251</v>
      </c>
      <c r="L51" s="8" t="s">
        <v>1252</v>
      </c>
      <c r="M51" s="8" t="s">
        <v>1151</v>
      </c>
      <c r="O51" s="8" t="s">
        <v>1151</v>
      </c>
      <c r="P51" s="8" t="s">
        <v>1165</v>
      </c>
      <c r="Q51" s="16" t="s">
        <v>1253</v>
      </c>
      <c r="AC51" s="8">
        <v>1.0115000000000001</v>
      </c>
      <c r="AD51" s="8">
        <v>22</v>
      </c>
      <c r="AE51" s="14">
        <v>1.4</v>
      </c>
      <c r="AF51" s="8">
        <v>3</v>
      </c>
      <c r="AG51" s="8" t="str">
        <f>IF(AF51='Listas suspensas'!$A$16,'Listas suspensas'!$B$16,IF(AF51='Listas suspensas'!$A$17,'Listas suspensas'!$B$17,IF(AF51='Listas suspensas'!$A$18,'Listas suspensas'!$B$18,"")))</f>
        <v>Instável</v>
      </c>
      <c r="AH51" s="8" t="str">
        <f>IF(AF51='Listas suspensas'!$A$16,'Listas suspensas'!$C$16,IF(AF51='Listas suspensas'!$A$17,'Listas suspensas'!$C$17,IF(AF51='Listas suspensas'!$A$18,'Listas suspensas'!$C$18,"")))</f>
        <v>Indica solução com severa formação de precipitado</v>
      </c>
      <c r="BC51" s="13">
        <v>0.77100000000000002</v>
      </c>
      <c r="BD51" s="13">
        <v>0.307</v>
      </c>
      <c r="BE51" s="13">
        <v>0.48699999999999999</v>
      </c>
      <c r="BF51" s="14">
        <f t="shared" si="0"/>
        <v>1.57</v>
      </c>
      <c r="BG51" s="14">
        <v>49.3</v>
      </c>
      <c r="BH51" s="14">
        <v>19.600000000000001</v>
      </c>
      <c r="BI51" s="14">
        <v>31.1</v>
      </c>
      <c r="BJ51" s="16">
        <f t="shared" si="1"/>
        <v>100</v>
      </c>
    </row>
    <row r="52" spans="2:67" x14ac:dyDescent="0.25">
      <c r="B52" s="8" t="s">
        <v>1254</v>
      </c>
      <c r="C52" s="8" t="s">
        <v>71</v>
      </c>
      <c r="F52" s="11">
        <v>45924</v>
      </c>
      <c r="G52" s="11">
        <v>45925</v>
      </c>
      <c r="H52" s="11">
        <v>45925</v>
      </c>
      <c r="J52" s="8" t="s">
        <v>971</v>
      </c>
      <c r="K52" s="8" t="s">
        <v>972</v>
      </c>
      <c r="L52" s="8" t="s">
        <v>144</v>
      </c>
      <c r="M52" s="8" t="s">
        <v>1151</v>
      </c>
      <c r="N52" s="29" t="s">
        <v>973</v>
      </c>
      <c r="O52" s="8" t="s">
        <v>1151</v>
      </c>
      <c r="P52" s="8" t="s">
        <v>1165</v>
      </c>
      <c r="Q52" s="16" t="s">
        <v>1151</v>
      </c>
      <c r="AC52" s="8">
        <v>1.0055000000000001</v>
      </c>
      <c r="AD52" s="8">
        <v>22</v>
      </c>
      <c r="AE52" s="14">
        <v>0.7</v>
      </c>
      <c r="AF52" s="8">
        <v>1</v>
      </c>
      <c r="AG52" s="8" t="str">
        <f>IF(AF52='Listas suspensas'!$A$16,'Listas suspensas'!$B$16,IF(AF52='Listas suspensas'!$A$17,'Listas suspensas'!$B$17,IF(AF52='Listas suspensas'!$A$18,'Listas suspensas'!$B$18,"")))</f>
        <v>Estável</v>
      </c>
      <c r="AH52" s="8" t="str">
        <f>IF(AF52='Listas suspensas'!$A$16,'Listas suspensas'!$C$16,IF(AF52='Listas suspensas'!$A$17,'Listas suspensas'!$C$17,IF(AF52='Listas suspensas'!$A$18,'Listas suspensas'!$C$18,"")))</f>
        <v>Indica solução límpida e isenta de materiais precipitados</v>
      </c>
      <c r="BC52" s="13">
        <v>0.36499999999999999</v>
      </c>
      <c r="BD52" s="13">
        <v>0.13600000000000001</v>
      </c>
      <c r="BE52" s="13">
        <v>0.27100000000000002</v>
      </c>
      <c r="BF52" s="14">
        <f t="shared" si="0"/>
        <v>0.77</v>
      </c>
      <c r="BG52" s="14">
        <v>47.3</v>
      </c>
      <c r="BH52" s="14">
        <v>17.600000000000001</v>
      </c>
      <c r="BI52" s="14">
        <v>35.1</v>
      </c>
      <c r="BJ52" s="16">
        <f t="shared" si="1"/>
        <v>100</v>
      </c>
    </row>
    <row r="53" spans="2:67" x14ac:dyDescent="0.25">
      <c r="B53" s="8" t="s">
        <v>1255</v>
      </c>
      <c r="C53" s="8" t="s">
        <v>71</v>
      </c>
      <c r="F53" s="11">
        <v>45924</v>
      </c>
      <c r="G53" s="11">
        <v>45925</v>
      </c>
      <c r="H53" s="11">
        <v>45925</v>
      </c>
      <c r="J53" s="8" t="s">
        <v>1256</v>
      </c>
      <c r="K53" s="8" t="s">
        <v>981</v>
      </c>
      <c r="L53" s="8" t="s">
        <v>74</v>
      </c>
      <c r="M53" s="8" t="s">
        <v>1151</v>
      </c>
      <c r="N53" s="29" t="s">
        <v>982</v>
      </c>
      <c r="O53" s="8" t="s">
        <v>1151</v>
      </c>
      <c r="P53" s="8" t="s">
        <v>1165</v>
      </c>
      <c r="Q53" s="16" t="s">
        <v>983</v>
      </c>
      <c r="AC53" s="8">
        <v>1.0135000000000001</v>
      </c>
      <c r="AD53" s="8">
        <v>22</v>
      </c>
      <c r="AE53" s="14">
        <v>1.6</v>
      </c>
      <c r="AF53" s="8">
        <v>1</v>
      </c>
      <c r="AG53" s="8" t="str">
        <f>IF(AF53='Listas suspensas'!$A$16,'Listas suspensas'!$B$16,IF(AF53='Listas suspensas'!$A$17,'Listas suspensas'!$B$17,IF(AF53='Listas suspensas'!$A$18,'Listas suspensas'!$B$18,"")))</f>
        <v>Estável</v>
      </c>
      <c r="AH53" s="8" t="str">
        <f>IF(AF53='Listas suspensas'!$A$16,'Listas suspensas'!$C$16,IF(AF53='Listas suspensas'!$A$17,'Listas suspensas'!$C$17,IF(AF53='Listas suspensas'!$A$18,'Listas suspensas'!$C$18,"")))</f>
        <v>Indica solução límpida e isenta de materiais precipitados</v>
      </c>
      <c r="BC53" s="13">
        <v>0.78300000000000003</v>
      </c>
      <c r="BD53" s="13">
        <v>0.33100000000000002</v>
      </c>
      <c r="BE53" s="13">
        <v>0.58899999999999997</v>
      </c>
      <c r="BF53" s="14">
        <f t="shared" si="0"/>
        <v>1.7</v>
      </c>
      <c r="BG53" s="14">
        <v>46</v>
      </c>
      <c r="BH53" s="14">
        <v>19.399999999999999</v>
      </c>
      <c r="BI53" s="14">
        <v>34.6</v>
      </c>
      <c r="BJ53" s="16">
        <f t="shared" si="1"/>
        <v>100</v>
      </c>
    </row>
    <row r="54" spans="2:67" x14ac:dyDescent="0.25">
      <c r="B54" s="8" t="s">
        <v>1257</v>
      </c>
      <c r="C54" s="8" t="s">
        <v>71</v>
      </c>
      <c r="F54" s="11">
        <v>45924</v>
      </c>
      <c r="G54" s="11">
        <v>45925</v>
      </c>
      <c r="H54" s="11">
        <v>45925</v>
      </c>
      <c r="J54" s="8" t="s">
        <v>926</v>
      </c>
      <c r="K54" s="8" t="s">
        <v>927</v>
      </c>
      <c r="L54" s="8" t="s">
        <v>144</v>
      </c>
      <c r="M54" s="8" t="s">
        <v>1151</v>
      </c>
      <c r="O54" s="8" t="s">
        <v>1151</v>
      </c>
      <c r="P54" s="8" t="s">
        <v>1165</v>
      </c>
      <c r="Q54" s="16" t="s">
        <v>1258</v>
      </c>
      <c r="AC54" s="8">
        <v>1.0145</v>
      </c>
      <c r="AD54" s="8">
        <v>22</v>
      </c>
      <c r="AE54" s="14">
        <v>1.8</v>
      </c>
      <c r="AF54" s="8">
        <v>2</v>
      </c>
      <c r="AG54" s="8" t="str">
        <f>IF(AF54='Listas suspensas'!$A$16,'Listas suspensas'!$B$16,IF(AF54='Listas suspensas'!$A$17,'Listas suspensas'!$B$17,IF(AF54='Listas suspensas'!$A$18,'Listas suspensas'!$B$18,"")))</f>
        <v>Instável</v>
      </c>
      <c r="AH54" s="8" t="str">
        <f>IF(AF54='Listas suspensas'!$A$16,'Listas suspensas'!$C$16,IF(AF54='Listas suspensas'!$A$17,'Listas suspensas'!$C$17,IF(AF54='Listas suspensas'!$A$18,'Listas suspensas'!$C$18,"")))</f>
        <v>Indica solução com leve formação de precipitado</v>
      </c>
      <c r="BC54" s="13">
        <v>0.79400000000000004</v>
      </c>
      <c r="BD54" s="13">
        <v>0.32500000000000001</v>
      </c>
      <c r="BE54" s="13">
        <v>0.63600000000000001</v>
      </c>
      <c r="BF54" s="14">
        <f t="shared" si="0"/>
        <v>1.76</v>
      </c>
      <c r="BG54" s="14">
        <v>45.3</v>
      </c>
      <c r="BH54" s="14">
        <v>18.5</v>
      </c>
      <c r="BI54" s="14">
        <v>36.200000000000003</v>
      </c>
      <c r="BJ54" s="16">
        <f t="shared" si="1"/>
        <v>100</v>
      </c>
    </row>
    <row r="55" spans="2:67" x14ac:dyDescent="0.25">
      <c r="B55" s="8" t="s">
        <v>1259</v>
      </c>
      <c r="C55" s="8" t="s">
        <v>71</v>
      </c>
      <c r="F55" s="11">
        <v>45924</v>
      </c>
      <c r="G55" s="11">
        <v>45925</v>
      </c>
      <c r="H55" s="11">
        <v>45925</v>
      </c>
      <c r="J55" s="8" t="s">
        <v>1260</v>
      </c>
      <c r="K55" s="8" t="s">
        <v>987</v>
      </c>
      <c r="L55" s="8" t="s">
        <v>144</v>
      </c>
      <c r="M55" s="8" t="s">
        <v>1151</v>
      </c>
      <c r="N55" s="29" t="s">
        <v>988</v>
      </c>
      <c r="O55" s="8" t="s">
        <v>1151</v>
      </c>
      <c r="P55" s="8" t="s">
        <v>1165</v>
      </c>
      <c r="Q55" s="16" t="s">
        <v>1261</v>
      </c>
      <c r="AC55" s="8">
        <v>1.016</v>
      </c>
      <c r="AD55" s="8">
        <v>22</v>
      </c>
      <c r="AE55" s="14">
        <v>1.9</v>
      </c>
      <c r="AF55" s="8">
        <v>1</v>
      </c>
      <c r="AG55" s="8" t="str">
        <f>IF(AF55='Listas suspensas'!$A$16,'Listas suspensas'!$B$16,IF(AF55='Listas suspensas'!$A$17,'Listas suspensas'!$B$17,IF(AF55='Listas suspensas'!$A$18,'Listas suspensas'!$B$18,"")))</f>
        <v>Estável</v>
      </c>
      <c r="AH55" s="8" t="str">
        <f>IF(AF55='Listas suspensas'!$A$16,'Listas suspensas'!$C$16,IF(AF55='Listas suspensas'!$A$17,'Listas suspensas'!$C$17,IF(AF55='Listas suspensas'!$A$18,'Listas suspensas'!$C$18,"")))</f>
        <v>Indica solução límpida e isenta de materiais precipitados</v>
      </c>
      <c r="BC55" s="13">
        <v>0.93300000000000005</v>
      </c>
      <c r="BD55" s="13">
        <v>0.379</v>
      </c>
      <c r="BE55" s="13">
        <v>0.71499999999999997</v>
      </c>
      <c r="BF55" s="14">
        <f t="shared" si="0"/>
        <v>2.0299999999999998</v>
      </c>
      <c r="BG55" s="14">
        <v>46</v>
      </c>
      <c r="BH55" s="14">
        <v>18.7</v>
      </c>
      <c r="BI55" s="14">
        <v>35.299999999999997</v>
      </c>
      <c r="BJ55" s="16">
        <f t="shared" si="1"/>
        <v>100</v>
      </c>
    </row>
    <row r="56" spans="2:67" x14ac:dyDescent="0.25">
      <c r="B56" s="8" t="s">
        <v>1262</v>
      </c>
      <c r="C56" s="8" t="s">
        <v>71</v>
      </c>
      <c r="F56" s="11">
        <v>45924</v>
      </c>
      <c r="G56" s="11">
        <v>45925</v>
      </c>
      <c r="H56" s="11">
        <v>45925</v>
      </c>
      <c r="J56" s="8" t="s">
        <v>1260</v>
      </c>
      <c r="K56" s="8" t="s">
        <v>987</v>
      </c>
      <c r="L56" s="8" t="s">
        <v>144</v>
      </c>
      <c r="M56" s="8" t="s">
        <v>1151</v>
      </c>
      <c r="N56" s="29" t="s">
        <v>988</v>
      </c>
      <c r="O56" s="8" t="s">
        <v>1151</v>
      </c>
      <c r="P56" s="8" t="s">
        <v>1165</v>
      </c>
      <c r="Q56" s="16" t="s">
        <v>471</v>
      </c>
      <c r="AC56" s="8">
        <v>1.008</v>
      </c>
      <c r="AD56" s="8">
        <v>22</v>
      </c>
      <c r="AE56" s="14">
        <v>1</v>
      </c>
      <c r="AF56" s="8">
        <v>1</v>
      </c>
      <c r="AG56" s="8" t="str">
        <f>IF(AF56='Listas suspensas'!$A$16,'Listas suspensas'!$B$16,IF(AF56='Listas suspensas'!$A$17,'Listas suspensas'!$B$17,IF(AF56='Listas suspensas'!$A$18,'Listas suspensas'!$B$18,"")))</f>
        <v>Estável</v>
      </c>
      <c r="AH56" s="8" t="str">
        <f>IF(AF56='Listas suspensas'!$A$16,'Listas suspensas'!$C$16,IF(AF56='Listas suspensas'!$A$17,'Listas suspensas'!$C$17,IF(AF56='Listas suspensas'!$A$18,'Listas suspensas'!$C$18,"")))</f>
        <v>Indica solução límpida e isenta de materiais precipitados</v>
      </c>
      <c r="BC56" s="13">
        <v>0.54200000000000004</v>
      </c>
      <c r="BD56" s="13">
        <v>0.214</v>
      </c>
      <c r="BE56" s="13">
        <v>0.39</v>
      </c>
      <c r="BF56" s="14">
        <f t="shared" si="0"/>
        <v>1.1499999999999999</v>
      </c>
      <c r="BG56" s="14">
        <v>47.3</v>
      </c>
      <c r="BH56" s="14">
        <v>18.7</v>
      </c>
      <c r="BI56" s="14">
        <v>34</v>
      </c>
      <c r="BJ56" s="16">
        <f t="shared" si="1"/>
        <v>100</v>
      </c>
    </row>
    <row r="57" spans="2:67" x14ac:dyDescent="0.25">
      <c r="B57" s="8" t="s">
        <v>1263</v>
      </c>
      <c r="C57" s="8" t="s">
        <v>71</v>
      </c>
      <c r="F57" s="11">
        <v>45926</v>
      </c>
      <c r="G57" s="11">
        <v>45929</v>
      </c>
      <c r="H57" s="11">
        <v>45929</v>
      </c>
      <c r="J57" s="8" t="s">
        <v>811</v>
      </c>
      <c r="K57" s="8" t="s">
        <v>812</v>
      </c>
      <c r="L57" s="8" t="s">
        <v>144</v>
      </c>
      <c r="M57" s="8" t="s">
        <v>1151</v>
      </c>
      <c r="N57" s="29" t="s">
        <v>1008</v>
      </c>
      <c r="O57" s="8" t="s">
        <v>1151</v>
      </c>
      <c r="P57" s="8" t="s">
        <v>1165</v>
      </c>
      <c r="Q57" s="16" t="s">
        <v>1264</v>
      </c>
      <c r="AC57" s="8">
        <v>1.02</v>
      </c>
      <c r="AD57" s="8">
        <v>18.5</v>
      </c>
      <c r="AE57" s="14">
        <v>2.2999999999999998</v>
      </c>
      <c r="AF57" s="8">
        <v>2</v>
      </c>
      <c r="AG57" s="8" t="str">
        <f>IF(AF57='Listas suspensas'!$A$16,'Listas suspensas'!$B$16,IF(AF57='Listas suspensas'!$A$17,'Listas suspensas'!$B$17,IF(AF57='Listas suspensas'!$A$18,'Listas suspensas'!$B$18,"")))</f>
        <v>Instável</v>
      </c>
      <c r="AH57" s="8" t="str">
        <f>IF(AF57='Listas suspensas'!$A$16,'Listas suspensas'!$C$16,IF(AF57='Listas suspensas'!$A$17,'Listas suspensas'!$C$17,IF(AF57='Listas suspensas'!$A$18,'Listas suspensas'!$C$18,"")))</f>
        <v>Indica solução com leve formação de precipitado</v>
      </c>
      <c r="BC57" s="13">
        <v>1.0529999999999999</v>
      </c>
      <c r="BD57" s="13">
        <v>0.46300000000000002</v>
      </c>
      <c r="BE57" s="13">
        <v>0.81599999999999995</v>
      </c>
      <c r="BF57" s="14">
        <f t="shared" si="0"/>
        <v>2.33</v>
      </c>
      <c r="BG57" s="14">
        <v>45.2</v>
      </c>
      <c r="BH57" s="14">
        <v>19.899999999999999</v>
      </c>
      <c r="BI57" s="14">
        <v>34.9</v>
      </c>
      <c r="BJ57" s="16">
        <f t="shared" si="1"/>
        <v>100</v>
      </c>
    </row>
    <row r="58" spans="2:67" x14ac:dyDescent="0.25">
      <c r="B58" s="8" t="s">
        <v>1265</v>
      </c>
      <c r="C58" s="8" t="s">
        <v>71</v>
      </c>
      <c r="F58" s="11">
        <v>45939</v>
      </c>
      <c r="G58" s="11">
        <v>45943</v>
      </c>
      <c r="H58" s="11">
        <v>45944</v>
      </c>
      <c r="J58" s="8" t="s">
        <v>617</v>
      </c>
      <c r="K58" s="8" t="s">
        <v>618</v>
      </c>
      <c r="L58" s="8" t="s">
        <v>619</v>
      </c>
      <c r="M58" s="8" t="s">
        <v>1151</v>
      </c>
      <c r="N58" s="30" t="s">
        <v>1045</v>
      </c>
      <c r="O58" s="8" t="s">
        <v>1151</v>
      </c>
      <c r="P58" s="8" t="s">
        <v>1165</v>
      </c>
      <c r="Q58" s="16" t="s">
        <v>1266</v>
      </c>
      <c r="AC58" s="8" t="s">
        <v>78</v>
      </c>
      <c r="AD58" s="8" t="s">
        <v>78</v>
      </c>
      <c r="AE58" s="14" t="s">
        <v>78</v>
      </c>
      <c r="AF58" s="8">
        <v>2</v>
      </c>
      <c r="AG58" s="8" t="str">
        <f>IF(AF58='Listas suspensas'!$A$16,'Listas suspensas'!$B$16,IF(AF58='Listas suspensas'!$A$17,'Listas suspensas'!$B$17,IF(AF58='Listas suspensas'!$A$18,'Listas suspensas'!$B$18,"")))</f>
        <v>Instável</v>
      </c>
      <c r="AH58" s="8" t="str">
        <f>IF(AF58='Listas suspensas'!$A$16,'Listas suspensas'!$C$16,IF(AF58='Listas suspensas'!$A$17,'Listas suspensas'!$C$17,IF(AF58='Listas suspensas'!$A$18,'Listas suspensas'!$C$18,"")))</f>
        <v>Indica solução com leve formação de precipitado</v>
      </c>
      <c r="BC58" s="13">
        <v>1.486</v>
      </c>
      <c r="BD58" s="13">
        <v>0.71799999999999997</v>
      </c>
      <c r="BE58" s="13">
        <v>1.018</v>
      </c>
      <c r="BF58" s="14">
        <f t="shared" si="0"/>
        <v>3.22</v>
      </c>
      <c r="BG58" s="14">
        <v>46.1</v>
      </c>
      <c r="BH58" s="14">
        <v>22.3</v>
      </c>
      <c r="BI58" s="14">
        <v>31.6</v>
      </c>
      <c r="BJ58" s="16">
        <f t="shared" si="1"/>
        <v>100</v>
      </c>
      <c r="BO58" s="8" t="s">
        <v>1220</v>
      </c>
    </row>
    <row r="59" spans="2:67" x14ac:dyDescent="0.25">
      <c r="B59" s="8" t="s">
        <v>1267</v>
      </c>
      <c r="C59" s="8" t="s">
        <v>71</v>
      </c>
      <c r="F59" s="11">
        <v>45939</v>
      </c>
      <c r="G59" s="11">
        <v>45943</v>
      </c>
      <c r="H59" s="11">
        <v>45944</v>
      </c>
      <c r="J59" s="8" t="s">
        <v>1268</v>
      </c>
      <c r="K59" s="8" t="s">
        <v>91</v>
      </c>
      <c r="L59" s="8" t="s">
        <v>92</v>
      </c>
      <c r="M59" s="8" t="s">
        <v>1151</v>
      </c>
      <c r="O59" s="8" t="s">
        <v>1151</v>
      </c>
      <c r="P59" s="8" t="s">
        <v>1165</v>
      </c>
      <c r="Q59" s="16" t="s">
        <v>1269</v>
      </c>
      <c r="AC59" s="8">
        <v>1.0155000000000001</v>
      </c>
      <c r="AD59" s="8">
        <v>23</v>
      </c>
      <c r="AE59" s="14">
        <v>1.9</v>
      </c>
      <c r="AF59" s="8">
        <v>2</v>
      </c>
      <c r="AG59" s="8" t="str">
        <f>IF(AF59='Listas suspensas'!$A$16,'Listas suspensas'!$B$16,IF(AF59='Listas suspensas'!$A$17,'Listas suspensas'!$B$17,IF(AF59='Listas suspensas'!$A$18,'Listas suspensas'!$B$18,"")))</f>
        <v>Instável</v>
      </c>
      <c r="AH59" s="8" t="str">
        <f>IF(AF59='Listas suspensas'!$A$16,'Listas suspensas'!$C$16,IF(AF59='Listas suspensas'!$A$17,'Listas suspensas'!$C$17,IF(AF59='Listas suspensas'!$A$18,'Listas suspensas'!$C$18,"")))</f>
        <v>Indica solução com leve formação de precipitado</v>
      </c>
      <c r="BC59" s="13">
        <v>0.88300000000000001</v>
      </c>
      <c r="BD59" s="13">
        <v>0.378</v>
      </c>
      <c r="BE59" s="13">
        <v>0.67800000000000005</v>
      </c>
      <c r="BF59" s="14">
        <f t="shared" si="0"/>
        <v>1.94</v>
      </c>
      <c r="BG59" s="14">
        <v>45.6</v>
      </c>
      <c r="BH59" s="14">
        <v>19.5</v>
      </c>
      <c r="BI59" s="14">
        <v>34.9</v>
      </c>
      <c r="BJ59" s="16">
        <f t="shared" si="1"/>
        <v>100</v>
      </c>
    </row>
    <row r="60" spans="2:67" x14ac:dyDescent="0.25">
      <c r="B60" s="8" t="s">
        <v>1270</v>
      </c>
      <c r="C60" s="8" t="s">
        <v>71</v>
      </c>
      <c r="F60" s="11">
        <v>45939</v>
      </c>
      <c r="G60" s="11">
        <v>45943</v>
      </c>
      <c r="H60" s="11">
        <v>45944</v>
      </c>
      <c r="J60" s="8" t="s">
        <v>1268</v>
      </c>
      <c r="K60" s="8" t="s">
        <v>91</v>
      </c>
      <c r="L60" s="8" t="s">
        <v>92</v>
      </c>
      <c r="M60" s="8" t="s">
        <v>1151</v>
      </c>
      <c r="O60" s="8" t="s">
        <v>1151</v>
      </c>
      <c r="P60" s="8" t="s">
        <v>1165</v>
      </c>
      <c r="Q60" s="16" t="s">
        <v>1271</v>
      </c>
      <c r="AC60" s="8">
        <v>1.0209999999999999</v>
      </c>
      <c r="AD60" s="8">
        <v>23</v>
      </c>
      <c r="AE60" s="14">
        <v>2.6</v>
      </c>
      <c r="AF60" s="8">
        <v>3</v>
      </c>
      <c r="AG60" s="8" t="str">
        <f>IF(AF60='Listas suspensas'!$A$16,'Listas suspensas'!$B$16,IF(AF60='Listas suspensas'!$A$17,'Listas suspensas'!$B$17,IF(AF60='Listas suspensas'!$A$18,'Listas suspensas'!$B$18,"")))</f>
        <v>Instável</v>
      </c>
      <c r="AH60" s="8" t="str">
        <f>IF(AF60='Listas suspensas'!$A$16,'Listas suspensas'!$C$16,IF(AF60='Listas suspensas'!$A$17,'Listas suspensas'!$C$17,IF(AF60='Listas suspensas'!$A$18,'Listas suspensas'!$C$18,"")))</f>
        <v>Indica solução com severa formação de precipitado</v>
      </c>
      <c r="BC60" s="13">
        <v>1.393</v>
      </c>
      <c r="BD60" s="13">
        <v>0.57799999999999996</v>
      </c>
      <c r="BE60" s="13">
        <v>1.032</v>
      </c>
      <c r="BF60" s="14">
        <f t="shared" si="0"/>
        <v>3</v>
      </c>
      <c r="BG60" s="14">
        <v>46.4</v>
      </c>
      <c r="BH60" s="14">
        <v>19.3</v>
      </c>
      <c r="BI60" s="14">
        <v>34.299999999999997</v>
      </c>
      <c r="BJ60" s="16">
        <f t="shared" si="1"/>
        <v>100</v>
      </c>
    </row>
    <row r="61" spans="2:67" x14ac:dyDescent="0.25">
      <c r="B61" s="8" t="s">
        <v>1272</v>
      </c>
      <c r="C61" s="8" t="s">
        <v>71</v>
      </c>
      <c r="F61" s="11">
        <v>45939</v>
      </c>
      <c r="G61" s="11">
        <v>45943</v>
      </c>
      <c r="H61" s="11">
        <v>45944</v>
      </c>
      <c r="J61" s="8" t="s">
        <v>564</v>
      </c>
      <c r="K61" s="8" t="s">
        <v>213</v>
      </c>
      <c r="L61" s="8" t="s">
        <v>74</v>
      </c>
      <c r="M61" s="8" t="s">
        <v>1151</v>
      </c>
      <c r="O61" s="8" t="s">
        <v>1151</v>
      </c>
      <c r="P61" s="8" t="s">
        <v>1165</v>
      </c>
      <c r="Q61" s="16" t="s">
        <v>146</v>
      </c>
      <c r="AC61" s="8">
        <v>1.0269999999999999</v>
      </c>
      <c r="AD61" s="8">
        <v>22</v>
      </c>
      <c r="AE61" s="14">
        <v>3.2</v>
      </c>
      <c r="AF61" s="8">
        <v>2</v>
      </c>
      <c r="AG61" s="8" t="str">
        <f>IF(AF61='Listas suspensas'!$A$16,'Listas suspensas'!$B$16,IF(AF61='Listas suspensas'!$A$17,'Listas suspensas'!$B$17,IF(AF61='Listas suspensas'!$A$18,'Listas suspensas'!$B$18,"")))</f>
        <v>Instável</v>
      </c>
      <c r="AH61" s="8" t="str">
        <f>IF(AF61='Listas suspensas'!$A$16,'Listas suspensas'!$C$16,IF(AF61='Listas suspensas'!$A$17,'Listas suspensas'!$C$17,IF(AF61='Listas suspensas'!$A$18,'Listas suspensas'!$C$18,"")))</f>
        <v>Indica solução com leve formação de precipitado</v>
      </c>
      <c r="BC61" s="13">
        <v>1.518</v>
      </c>
      <c r="BD61" s="13">
        <v>0.64300000000000002</v>
      </c>
      <c r="BE61" s="13">
        <v>1.1240000000000001</v>
      </c>
      <c r="BF61" s="14">
        <f t="shared" si="0"/>
        <v>3.29</v>
      </c>
      <c r="BG61" s="14">
        <v>46.2</v>
      </c>
      <c r="BH61" s="14">
        <v>19.600000000000001</v>
      </c>
      <c r="BI61" s="14">
        <v>34.200000000000003</v>
      </c>
      <c r="BJ61" s="16">
        <f t="shared" si="1"/>
        <v>100</v>
      </c>
    </row>
    <row r="62" spans="2:67" x14ac:dyDescent="0.25">
      <c r="B62" s="8" t="s">
        <v>1273</v>
      </c>
      <c r="C62" s="8" t="s">
        <v>71</v>
      </c>
      <c r="F62" s="11">
        <v>45960</v>
      </c>
      <c r="G62" s="11">
        <v>45965</v>
      </c>
      <c r="H62" s="11">
        <v>45968</v>
      </c>
      <c r="J62" s="8" t="s">
        <v>1366</v>
      </c>
      <c r="K62" s="8" t="s">
        <v>213</v>
      </c>
      <c r="L62" s="8" t="s">
        <v>74</v>
      </c>
      <c r="M62" s="8" t="s">
        <v>1151</v>
      </c>
      <c r="N62" s="29" t="s">
        <v>872</v>
      </c>
      <c r="O62" s="8" t="s">
        <v>1151</v>
      </c>
      <c r="P62" s="8" t="s">
        <v>1165</v>
      </c>
      <c r="Q62" s="16" t="s">
        <v>1367</v>
      </c>
      <c r="AC62" s="8">
        <v>1.0249999999999999</v>
      </c>
      <c r="AD62" s="8">
        <v>26</v>
      </c>
      <c r="AE62" s="14">
        <v>3.1</v>
      </c>
      <c r="AF62" s="8">
        <v>3</v>
      </c>
      <c r="AG62" s="8" t="str">
        <f>IF(AF62='Listas suspensas'!$A$16,'Listas suspensas'!$B$16,IF(AF62='Listas suspensas'!$A$17,'Listas suspensas'!$B$17,IF(AF62='Listas suspensas'!$A$18,'Listas suspensas'!$B$18,"")))</f>
        <v>Instável</v>
      </c>
      <c r="AH62" s="8" t="str">
        <f>IF(AF62='Listas suspensas'!$A$16,'Listas suspensas'!$C$16,IF(AF62='Listas suspensas'!$A$17,'Listas suspensas'!$C$17,IF(AF62='Listas suspensas'!$A$18,'Listas suspensas'!$C$18,"")))</f>
        <v>Indica solução com severa formação de precipitado</v>
      </c>
      <c r="BC62" s="13">
        <v>1.4830000000000001</v>
      </c>
      <c r="BD62" s="13">
        <v>0.624</v>
      </c>
      <c r="BE62" s="13">
        <v>1.1479999999999999</v>
      </c>
      <c r="BF62" s="14">
        <f t="shared" si="0"/>
        <v>3.26</v>
      </c>
      <c r="BG62" s="14">
        <v>45.6</v>
      </c>
      <c r="BH62" s="14">
        <v>19.2</v>
      </c>
      <c r="BI62" s="14">
        <v>35.200000000000003</v>
      </c>
      <c r="BJ62" s="16">
        <f t="shared" si="1"/>
        <v>100</v>
      </c>
    </row>
    <row r="63" spans="2:67" x14ac:dyDescent="0.25">
      <c r="B63" s="8" t="s">
        <v>1274</v>
      </c>
      <c r="C63" s="8" t="s">
        <v>71</v>
      </c>
      <c r="F63" s="11">
        <v>45960</v>
      </c>
      <c r="G63" s="11">
        <v>45965</v>
      </c>
      <c r="H63" s="11">
        <v>45968</v>
      </c>
      <c r="J63" s="8" t="s">
        <v>1238</v>
      </c>
      <c r="K63" s="8" t="s">
        <v>845</v>
      </c>
      <c r="L63" s="8" t="s">
        <v>92</v>
      </c>
      <c r="M63" s="8" t="s">
        <v>1151</v>
      </c>
      <c r="N63" s="29" t="s">
        <v>846</v>
      </c>
      <c r="O63" s="8" t="s">
        <v>1151</v>
      </c>
      <c r="P63" s="8" t="s">
        <v>1165</v>
      </c>
      <c r="Q63" s="16" t="s">
        <v>1406</v>
      </c>
      <c r="AC63" s="8">
        <v>1.0129999999999999</v>
      </c>
      <c r="AD63" s="8">
        <v>26</v>
      </c>
      <c r="AE63" s="14">
        <v>1.7</v>
      </c>
      <c r="AF63" s="8">
        <v>1</v>
      </c>
      <c r="AG63" s="8" t="str">
        <f>IF(AF63='Listas suspensas'!$A$16,'Listas suspensas'!$B$16,IF(AF63='Listas suspensas'!$A$17,'Listas suspensas'!$B$17,IF(AF63='Listas suspensas'!$A$18,'Listas suspensas'!$B$18,"")))</f>
        <v>Estável</v>
      </c>
      <c r="AH63" s="8" t="str">
        <f>IF(AF63='Listas suspensas'!$A$16,'Listas suspensas'!$C$16,IF(AF63='Listas suspensas'!$A$17,'Listas suspensas'!$C$17,IF(AF63='Listas suspensas'!$A$18,'Listas suspensas'!$C$18,"")))</f>
        <v>Indica solução límpida e isenta de materiais precipitados</v>
      </c>
      <c r="BC63" s="13">
        <v>0.755</v>
      </c>
      <c r="BD63" s="13">
        <v>0.32400000000000001</v>
      </c>
      <c r="BE63" s="13">
        <v>0.60699999999999998</v>
      </c>
      <c r="BF63" s="14">
        <f t="shared" si="0"/>
        <v>1.69</v>
      </c>
      <c r="BG63" s="14">
        <v>44.8</v>
      </c>
      <c r="BH63" s="14">
        <v>19.2</v>
      </c>
      <c r="BI63" s="14">
        <v>36</v>
      </c>
      <c r="BJ63" s="16">
        <f t="shared" si="1"/>
        <v>100</v>
      </c>
    </row>
    <row r="64" spans="2:67" x14ac:dyDescent="0.25">
      <c r="B64" s="8" t="s">
        <v>1275</v>
      </c>
      <c r="C64" s="8" t="s">
        <v>71</v>
      </c>
      <c r="F64" s="11">
        <v>45960</v>
      </c>
      <c r="G64" s="11">
        <v>45965</v>
      </c>
      <c r="H64" s="11">
        <v>45968</v>
      </c>
      <c r="J64" s="8" t="s">
        <v>1407</v>
      </c>
      <c r="K64" s="8" t="s">
        <v>91</v>
      </c>
      <c r="L64" s="8" t="s">
        <v>92</v>
      </c>
      <c r="M64" s="8" t="s">
        <v>1151</v>
      </c>
      <c r="O64" s="8" t="s">
        <v>1151</v>
      </c>
      <c r="P64" s="8" t="s">
        <v>1165</v>
      </c>
      <c r="Q64" s="16" t="s">
        <v>1384</v>
      </c>
      <c r="AC64" s="8">
        <v>1.014</v>
      </c>
      <c r="AD64" s="8">
        <v>25</v>
      </c>
      <c r="AE64" s="14">
        <v>1.8</v>
      </c>
      <c r="AF64" s="8">
        <v>3</v>
      </c>
      <c r="AG64" s="8" t="str">
        <f>IF(AF64='Listas suspensas'!$A$16,'Listas suspensas'!$B$16,IF(AF64='Listas suspensas'!$A$17,'Listas suspensas'!$B$17,IF(AF64='Listas suspensas'!$A$18,'Listas suspensas'!$B$18,"")))</f>
        <v>Instável</v>
      </c>
      <c r="AH64" s="8" t="str">
        <f>IF(AF64='Listas suspensas'!$A$16,'Listas suspensas'!$C$16,IF(AF64='Listas suspensas'!$A$17,'Listas suspensas'!$C$17,IF(AF64='Listas suspensas'!$A$18,'Listas suspensas'!$C$18,"")))</f>
        <v>Indica solução com severa formação de precipitado</v>
      </c>
      <c r="BC64" s="13">
        <v>0.82</v>
      </c>
      <c r="BD64" s="13">
        <v>0.34599999999999997</v>
      </c>
      <c r="BE64" s="13">
        <v>0.62</v>
      </c>
      <c r="BF64" s="14">
        <f t="shared" si="0"/>
        <v>1.79</v>
      </c>
      <c r="BG64" s="14">
        <v>45.9</v>
      </c>
      <c r="BH64" s="14">
        <v>19.399999999999999</v>
      </c>
      <c r="BI64" s="14">
        <v>34.700000000000003</v>
      </c>
      <c r="BJ64" s="16">
        <f t="shared" si="1"/>
        <v>100</v>
      </c>
    </row>
    <row r="65" spans="2:67" x14ac:dyDescent="0.25">
      <c r="B65" s="8" t="s">
        <v>1276</v>
      </c>
      <c r="C65" s="8" t="s">
        <v>71</v>
      </c>
      <c r="F65" s="11">
        <v>45960</v>
      </c>
      <c r="G65" s="11">
        <v>45965</v>
      </c>
      <c r="H65" s="11">
        <v>45968</v>
      </c>
      <c r="J65" s="8" t="s">
        <v>1205</v>
      </c>
      <c r="K65" s="8" t="s">
        <v>522</v>
      </c>
      <c r="L65" s="8" t="s">
        <v>523</v>
      </c>
      <c r="M65" s="8" t="s">
        <v>1151</v>
      </c>
      <c r="N65" s="29" t="s">
        <v>524</v>
      </c>
      <c r="O65" s="8" t="s">
        <v>1151</v>
      </c>
      <c r="P65" s="8" t="s">
        <v>1165</v>
      </c>
      <c r="Q65" s="16" t="s">
        <v>1408</v>
      </c>
      <c r="AC65" s="8">
        <v>1.0149999999999999</v>
      </c>
      <c r="AD65" s="8">
        <v>26</v>
      </c>
      <c r="AE65" s="14">
        <v>1.9</v>
      </c>
      <c r="AF65" s="8">
        <v>3</v>
      </c>
      <c r="AG65" s="8" t="str">
        <f>IF(AF65='Listas suspensas'!$A$16,'Listas suspensas'!$B$16,IF(AF65='Listas suspensas'!$A$17,'Listas suspensas'!$B$17,IF(AF65='Listas suspensas'!$A$18,'Listas suspensas'!$B$18,"")))</f>
        <v>Instável</v>
      </c>
      <c r="AH65" s="8" t="str">
        <f>IF(AF65='Listas suspensas'!$A$16,'Listas suspensas'!$C$16,IF(AF65='Listas suspensas'!$A$17,'Listas suspensas'!$C$17,IF(AF65='Listas suspensas'!$A$18,'Listas suspensas'!$C$18,"")))</f>
        <v>Indica solução com severa formação de precipitado</v>
      </c>
      <c r="BC65" s="13">
        <v>0.94499999999999995</v>
      </c>
      <c r="BD65" s="13">
        <v>0.40300000000000002</v>
      </c>
      <c r="BE65" s="13">
        <v>0.65900000000000003</v>
      </c>
      <c r="BF65" s="14">
        <f t="shared" ref="BF65:BF114" si="3">ROUND(SUM(BC65:BE65),2)</f>
        <v>2.0099999999999998</v>
      </c>
      <c r="BG65" s="14">
        <v>47.1</v>
      </c>
      <c r="BH65" s="14">
        <v>20.100000000000001</v>
      </c>
      <c r="BI65" s="14">
        <v>32.799999999999997</v>
      </c>
      <c r="BJ65" s="16">
        <f t="shared" ref="BJ65:BJ101" si="4">ROUND(SUM(BG65:BI65),2)</f>
        <v>100</v>
      </c>
    </row>
    <row r="66" spans="2:67" x14ac:dyDescent="0.25">
      <c r="B66" s="8" t="s">
        <v>1277</v>
      </c>
      <c r="C66" s="8" t="s">
        <v>71</v>
      </c>
      <c r="F66" s="11">
        <v>45960</v>
      </c>
      <c r="G66" s="11">
        <v>45965</v>
      </c>
      <c r="H66" s="11">
        <v>45968</v>
      </c>
      <c r="J66" s="8" t="s">
        <v>1205</v>
      </c>
      <c r="K66" s="8" t="s">
        <v>522</v>
      </c>
      <c r="L66" s="8" t="s">
        <v>523</v>
      </c>
      <c r="M66" s="8" t="s">
        <v>1151</v>
      </c>
      <c r="N66" s="29" t="s">
        <v>524</v>
      </c>
      <c r="O66" s="8" t="s">
        <v>1151</v>
      </c>
      <c r="P66" s="8" t="s">
        <v>1165</v>
      </c>
      <c r="Q66" s="16" t="s">
        <v>1409</v>
      </c>
      <c r="AC66" s="8">
        <v>1.0155000000000001</v>
      </c>
      <c r="AD66" s="8">
        <v>25</v>
      </c>
      <c r="AE66" s="14">
        <v>2</v>
      </c>
      <c r="AF66" s="8">
        <v>1</v>
      </c>
      <c r="AG66" s="8" t="str">
        <f>IF(AF66='Listas suspensas'!$A$16,'Listas suspensas'!$B$16,IF(AF66='Listas suspensas'!$A$17,'Listas suspensas'!$B$17,IF(AF66='Listas suspensas'!$A$18,'Listas suspensas'!$B$18,"")))</f>
        <v>Estável</v>
      </c>
      <c r="AH66" s="8" t="str">
        <f>IF(AF66='Listas suspensas'!$A$16,'Listas suspensas'!$C$16,IF(AF66='Listas suspensas'!$A$17,'Listas suspensas'!$C$17,IF(AF66='Listas suspensas'!$A$18,'Listas suspensas'!$C$18,"")))</f>
        <v>Indica solução límpida e isenta de materiais precipitados</v>
      </c>
      <c r="BC66" s="13">
        <v>0.91700000000000004</v>
      </c>
      <c r="BD66" s="13">
        <v>0.38900000000000001</v>
      </c>
      <c r="BE66" s="13">
        <v>0.73199999999999998</v>
      </c>
      <c r="BF66" s="14">
        <f t="shared" si="3"/>
        <v>2.04</v>
      </c>
      <c r="BG66" s="14">
        <v>45</v>
      </c>
      <c r="BH66" s="14">
        <v>19.100000000000001</v>
      </c>
      <c r="BI66" s="14">
        <v>35.9</v>
      </c>
      <c r="BJ66" s="16">
        <f t="shared" si="4"/>
        <v>100</v>
      </c>
    </row>
    <row r="67" spans="2:67" x14ac:dyDescent="0.25">
      <c r="B67" s="8" t="s">
        <v>1278</v>
      </c>
      <c r="C67" s="8" t="s">
        <v>71</v>
      </c>
      <c r="F67" s="11">
        <v>45960</v>
      </c>
      <c r="G67" s="11">
        <v>45965</v>
      </c>
      <c r="H67" s="11">
        <v>45968</v>
      </c>
      <c r="J67" s="8" t="s">
        <v>1205</v>
      </c>
      <c r="K67" s="8" t="s">
        <v>522</v>
      </c>
      <c r="L67" s="8" t="s">
        <v>523</v>
      </c>
      <c r="M67" s="8" t="s">
        <v>1151</v>
      </c>
      <c r="N67" s="29" t="s">
        <v>524</v>
      </c>
      <c r="O67" s="8" t="s">
        <v>1151</v>
      </c>
      <c r="P67" s="8" t="s">
        <v>1165</v>
      </c>
      <c r="Q67" s="16" t="s">
        <v>1410</v>
      </c>
      <c r="AC67" s="8">
        <v>1.0149999999999999</v>
      </c>
      <c r="AD67" s="8">
        <v>25</v>
      </c>
      <c r="AE67" s="14">
        <v>1.9</v>
      </c>
      <c r="AF67" s="8">
        <v>3</v>
      </c>
      <c r="AG67" s="8" t="str">
        <f>IF(AF67='Listas suspensas'!$A$16,'Listas suspensas'!$B$16,IF(AF67='Listas suspensas'!$A$17,'Listas suspensas'!$B$17,IF(AF67='Listas suspensas'!$A$18,'Listas suspensas'!$B$18,"")))</f>
        <v>Instável</v>
      </c>
      <c r="AH67" s="8" t="str">
        <f>IF(AF67='Listas suspensas'!$A$16,'Listas suspensas'!$C$16,IF(AF67='Listas suspensas'!$A$17,'Listas suspensas'!$C$17,IF(AF67='Listas suspensas'!$A$18,'Listas suspensas'!$C$18,"")))</f>
        <v>Indica solução com severa formação de precipitado</v>
      </c>
      <c r="BC67" s="13">
        <v>1.1000000000000001</v>
      </c>
      <c r="BD67" s="13">
        <v>0.41499999999999998</v>
      </c>
      <c r="BE67" s="13">
        <v>0.72099999999999997</v>
      </c>
      <c r="BF67" s="14">
        <f t="shared" si="3"/>
        <v>2.2400000000000002</v>
      </c>
      <c r="BG67" s="14">
        <v>49.2</v>
      </c>
      <c r="BH67" s="14">
        <v>18.600000000000001</v>
      </c>
      <c r="BI67" s="14">
        <v>32.200000000000003</v>
      </c>
      <c r="BJ67" s="16">
        <f t="shared" si="4"/>
        <v>100</v>
      </c>
    </row>
    <row r="68" spans="2:67" x14ac:dyDescent="0.25">
      <c r="B68" s="8" t="s">
        <v>1279</v>
      </c>
      <c r="C68" s="8" t="s">
        <v>71</v>
      </c>
      <c r="F68" s="11">
        <v>45960</v>
      </c>
      <c r="G68" s="11">
        <v>45965</v>
      </c>
      <c r="H68" s="11">
        <v>45968</v>
      </c>
      <c r="J68" s="8" t="s">
        <v>1366</v>
      </c>
      <c r="K68" s="8" t="s">
        <v>213</v>
      </c>
      <c r="L68" s="8" t="s">
        <v>74</v>
      </c>
      <c r="M68" s="8" t="s">
        <v>1151</v>
      </c>
      <c r="N68" s="29" t="s">
        <v>872</v>
      </c>
      <c r="O68" s="8" t="s">
        <v>1151</v>
      </c>
      <c r="P68" s="8" t="s">
        <v>1165</v>
      </c>
      <c r="Q68" s="16" t="s">
        <v>1411</v>
      </c>
      <c r="AC68" s="8">
        <v>1.0149999999999999</v>
      </c>
      <c r="AD68" s="8">
        <v>26</v>
      </c>
      <c r="AE68" s="14">
        <v>1.9</v>
      </c>
      <c r="AF68" s="8">
        <v>3</v>
      </c>
      <c r="AG68" s="8" t="str">
        <f>IF(AF68='Listas suspensas'!$A$16,'Listas suspensas'!$B$16,IF(AF68='Listas suspensas'!$A$17,'Listas suspensas'!$B$17,IF(AF68='Listas suspensas'!$A$18,'Listas suspensas'!$B$18,"")))</f>
        <v>Instável</v>
      </c>
      <c r="AH68" s="8" t="str">
        <f>IF(AF68='Listas suspensas'!$A$16,'Listas suspensas'!$C$16,IF(AF68='Listas suspensas'!$A$17,'Listas suspensas'!$C$17,IF(AF68='Listas suspensas'!$A$18,'Listas suspensas'!$C$18,"")))</f>
        <v>Indica solução com severa formação de precipitado</v>
      </c>
      <c r="BC68" s="13">
        <v>0.81499999999999995</v>
      </c>
      <c r="BD68" s="13">
        <v>0.376</v>
      </c>
      <c r="BE68" s="13">
        <v>0.59499999999999997</v>
      </c>
      <c r="BF68" s="14">
        <f t="shared" si="3"/>
        <v>1.79</v>
      </c>
      <c r="BG68" s="14">
        <v>45.6</v>
      </c>
      <c r="BH68" s="14">
        <v>21.1</v>
      </c>
      <c r="BI68" s="14">
        <v>33.299999999999997</v>
      </c>
      <c r="BJ68" s="16">
        <f t="shared" si="4"/>
        <v>100</v>
      </c>
    </row>
    <row r="69" spans="2:67" x14ac:dyDescent="0.25">
      <c r="B69" s="8" t="s">
        <v>1280</v>
      </c>
      <c r="C69" s="8" t="s">
        <v>71</v>
      </c>
      <c r="F69" s="11">
        <v>45968</v>
      </c>
      <c r="G69" s="11">
        <v>45980</v>
      </c>
      <c r="H69" s="11">
        <v>45982</v>
      </c>
      <c r="J69" s="8" t="s">
        <v>1412</v>
      </c>
      <c r="K69" s="8" t="s">
        <v>1413</v>
      </c>
      <c r="L69" s="8" t="s">
        <v>74</v>
      </c>
      <c r="M69" s="8" t="s">
        <v>1151</v>
      </c>
      <c r="N69" s="30" t="s">
        <v>1414</v>
      </c>
      <c r="O69" s="8" t="s">
        <v>1151</v>
      </c>
      <c r="P69" s="8" t="s">
        <v>1165</v>
      </c>
      <c r="Q69" s="16" t="s">
        <v>1427</v>
      </c>
      <c r="AC69" s="8">
        <v>1.012</v>
      </c>
      <c r="AD69" s="8">
        <v>25</v>
      </c>
      <c r="AE69" s="14">
        <v>1.6</v>
      </c>
      <c r="AF69" s="8">
        <v>3</v>
      </c>
      <c r="AG69" s="8" t="str">
        <f>IF(AF69='Listas suspensas'!$A$16,'Listas suspensas'!$B$16,IF(AF69='Listas suspensas'!$A$17,'Listas suspensas'!$B$17,IF(AF69='Listas suspensas'!$A$18,'Listas suspensas'!$B$18,"")))</f>
        <v>Instável</v>
      </c>
      <c r="AH69" s="8" t="str">
        <f>IF(AF69='Listas suspensas'!$A$16,'Listas suspensas'!$C$16,IF(AF69='Listas suspensas'!$A$17,'Listas suspensas'!$C$17,IF(AF69='Listas suspensas'!$A$18,'Listas suspensas'!$C$18,"")))</f>
        <v>Indica solução com severa formação de precipitado</v>
      </c>
      <c r="BC69" s="13">
        <v>0.71799999999999997</v>
      </c>
      <c r="BD69" s="13">
        <v>0.31</v>
      </c>
      <c r="BE69" s="13">
        <v>0.57699999999999996</v>
      </c>
      <c r="BF69" s="14">
        <f t="shared" si="3"/>
        <v>1.61</v>
      </c>
      <c r="BG69" s="14">
        <v>44.7</v>
      </c>
      <c r="BH69" s="14">
        <v>19.3</v>
      </c>
      <c r="BI69" s="14">
        <v>36</v>
      </c>
      <c r="BJ69" s="16">
        <f t="shared" si="4"/>
        <v>100</v>
      </c>
    </row>
    <row r="70" spans="2:67" x14ac:dyDescent="0.25">
      <c r="B70" s="8" t="s">
        <v>1281</v>
      </c>
      <c r="C70" s="8" t="s">
        <v>71</v>
      </c>
      <c r="F70" s="11">
        <v>45974</v>
      </c>
      <c r="G70" s="11">
        <v>45980</v>
      </c>
      <c r="H70" s="11">
        <v>45982</v>
      </c>
      <c r="J70" s="8" t="s">
        <v>1428</v>
      </c>
      <c r="K70" s="8" t="s">
        <v>1429</v>
      </c>
      <c r="L70" s="8" t="s">
        <v>144</v>
      </c>
      <c r="M70" s="8" t="s">
        <v>1151</v>
      </c>
      <c r="N70" s="29" t="s">
        <v>1430</v>
      </c>
      <c r="O70" s="8" t="s">
        <v>1151</v>
      </c>
      <c r="P70" s="8" t="s">
        <v>1165</v>
      </c>
      <c r="Q70" s="16" t="s">
        <v>1431</v>
      </c>
      <c r="AC70" s="8">
        <v>1.018</v>
      </c>
      <c r="AD70" s="8">
        <v>25</v>
      </c>
      <c r="AE70" s="14">
        <v>2.2999999999999998</v>
      </c>
      <c r="AF70" s="8">
        <v>1</v>
      </c>
      <c r="AG70" s="8" t="str">
        <f>IF(AF70='Listas suspensas'!$A$16,'Listas suspensas'!$B$16,IF(AF70='Listas suspensas'!$A$17,'Listas suspensas'!$B$17,IF(AF70='Listas suspensas'!$A$18,'Listas suspensas'!$B$18,"")))</f>
        <v>Estável</v>
      </c>
      <c r="AH70" s="8" t="str">
        <f>IF(AF70='Listas suspensas'!$A$16,'Listas suspensas'!$C$16,IF(AF70='Listas suspensas'!$A$17,'Listas suspensas'!$C$17,IF(AF70='Listas suspensas'!$A$18,'Listas suspensas'!$C$18,"")))</f>
        <v>Indica solução límpida e isenta de materiais precipitados</v>
      </c>
      <c r="BC70" s="13">
        <v>1.089</v>
      </c>
      <c r="BD70" s="13">
        <v>0.46700000000000003</v>
      </c>
      <c r="BE70" s="13">
        <v>0.77600000000000002</v>
      </c>
      <c r="BF70" s="14">
        <f t="shared" si="3"/>
        <v>2.33</v>
      </c>
      <c r="BG70" s="14">
        <v>46.7</v>
      </c>
      <c r="BH70" s="14">
        <v>20</v>
      </c>
      <c r="BI70" s="14">
        <v>33.299999999999997</v>
      </c>
      <c r="BJ70" s="16">
        <f t="shared" si="4"/>
        <v>100</v>
      </c>
    </row>
    <row r="71" spans="2:67" x14ac:dyDescent="0.25">
      <c r="B71" s="8" t="s">
        <v>1282</v>
      </c>
      <c r="C71" s="8" t="s">
        <v>71</v>
      </c>
      <c r="F71" s="11">
        <v>45974</v>
      </c>
      <c r="G71" s="11">
        <v>45980</v>
      </c>
      <c r="H71" s="11">
        <v>45982</v>
      </c>
      <c r="J71" s="8" t="s">
        <v>1548</v>
      </c>
      <c r="K71" s="8" t="s">
        <v>1549</v>
      </c>
      <c r="L71" s="8" t="s">
        <v>144</v>
      </c>
      <c r="M71" s="8" t="s">
        <v>1151</v>
      </c>
      <c r="N71" s="29" t="s">
        <v>1430</v>
      </c>
      <c r="O71" s="8" t="s">
        <v>1151</v>
      </c>
      <c r="P71" s="8" t="s">
        <v>1165</v>
      </c>
      <c r="Q71" s="16" t="s">
        <v>1579</v>
      </c>
      <c r="AC71" s="8">
        <v>1.0115000000000001</v>
      </c>
      <c r="AD71" s="8">
        <v>25</v>
      </c>
      <c r="AE71" s="14">
        <v>1.5</v>
      </c>
      <c r="AF71" s="8">
        <v>2</v>
      </c>
      <c r="AG71" s="8" t="str">
        <f>IF(AF71='Listas suspensas'!$A$16,'Listas suspensas'!$B$16,IF(AF71='Listas suspensas'!$A$17,'Listas suspensas'!$B$17,IF(AF71='Listas suspensas'!$A$18,'Listas suspensas'!$B$18,"")))</f>
        <v>Instável</v>
      </c>
      <c r="AH71" s="8" t="str">
        <f>IF(AF71='Listas suspensas'!$A$16,'Listas suspensas'!$C$16,IF(AF71='Listas suspensas'!$A$17,'Listas suspensas'!$C$17,IF(AF71='Listas suspensas'!$A$18,'Listas suspensas'!$C$18,"")))</f>
        <v>Indica solução com leve formação de precipitado</v>
      </c>
      <c r="BC71" s="13">
        <v>0.76400000000000001</v>
      </c>
      <c r="BD71" s="13">
        <v>0.28100000000000003</v>
      </c>
      <c r="BE71" s="13">
        <v>0.629</v>
      </c>
      <c r="BF71" s="14">
        <f t="shared" si="3"/>
        <v>1.67</v>
      </c>
      <c r="BG71" s="14">
        <v>45.7</v>
      </c>
      <c r="BH71" s="14">
        <v>16.8</v>
      </c>
      <c r="BI71" s="14">
        <v>37.5</v>
      </c>
      <c r="BJ71" s="16">
        <f t="shared" si="4"/>
        <v>100</v>
      </c>
    </row>
    <row r="72" spans="2:67" x14ac:dyDescent="0.25">
      <c r="B72" s="8" t="s">
        <v>1283</v>
      </c>
      <c r="C72" s="8" t="s">
        <v>71</v>
      </c>
      <c r="F72" s="11">
        <v>45974</v>
      </c>
      <c r="G72" s="11">
        <v>45980</v>
      </c>
      <c r="H72" s="11">
        <v>45982</v>
      </c>
      <c r="J72" s="8" t="s">
        <v>1205</v>
      </c>
      <c r="K72" s="8" t="s">
        <v>522</v>
      </c>
      <c r="L72" s="8" t="s">
        <v>523</v>
      </c>
      <c r="M72" s="8" t="s">
        <v>1151</v>
      </c>
      <c r="N72" s="29" t="s">
        <v>524</v>
      </c>
      <c r="O72" s="8" t="s">
        <v>1151</v>
      </c>
      <c r="P72" s="8" t="s">
        <v>1165</v>
      </c>
      <c r="Q72" s="16" t="s">
        <v>1578</v>
      </c>
      <c r="AC72" s="8">
        <v>1.0155000000000001</v>
      </c>
      <c r="AD72" s="8">
        <v>25</v>
      </c>
      <c r="AE72" s="14">
        <v>2</v>
      </c>
      <c r="AF72" s="8">
        <v>1</v>
      </c>
      <c r="AG72" s="8" t="str">
        <f>IF(AF72='Listas suspensas'!$A$16,'Listas suspensas'!$B$16,IF(AF72='Listas suspensas'!$A$17,'Listas suspensas'!$B$17,IF(AF72='Listas suspensas'!$A$18,'Listas suspensas'!$B$18,"")))</f>
        <v>Estável</v>
      </c>
      <c r="AH72" s="8" t="str">
        <f>IF(AF72='Listas suspensas'!$A$16,'Listas suspensas'!$C$16,IF(AF72='Listas suspensas'!$A$17,'Listas suspensas'!$C$17,IF(AF72='Listas suspensas'!$A$18,'Listas suspensas'!$C$18,"")))</f>
        <v>Indica solução límpida e isenta de materiais precipitados</v>
      </c>
      <c r="BC72" s="13">
        <v>0.93300000000000005</v>
      </c>
      <c r="BD72" s="13">
        <v>0.39700000000000002</v>
      </c>
      <c r="BE72" s="13">
        <v>0.76</v>
      </c>
      <c r="BF72" s="14">
        <f t="shared" si="3"/>
        <v>2.09</v>
      </c>
      <c r="BG72" s="14">
        <v>44.6</v>
      </c>
      <c r="BH72" s="14">
        <v>19</v>
      </c>
      <c r="BI72" s="14">
        <v>36.4</v>
      </c>
      <c r="BJ72" s="16">
        <f t="shared" si="4"/>
        <v>100</v>
      </c>
    </row>
    <row r="73" spans="2:67" x14ac:dyDescent="0.25">
      <c r="B73" s="8" t="s">
        <v>1284</v>
      </c>
      <c r="C73" s="8" t="s">
        <v>71</v>
      </c>
      <c r="F73" s="11">
        <v>45974</v>
      </c>
      <c r="G73" s="11">
        <v>45980</v>
      </c>
      <c r="H73" s="11">
        <v>45982</v>
      </c>
      <c r="J73" s="8" t="s">
        <v>1059</v>
      </c>
      <c r="K73" s="8" t="s">
        <v>1060</v>
      </c>
      <c r="L73" s="8" t="s">
        <v>619</v>
      </c>
      <c r="M73" s="8" t="s">
        <v>1151</v>
      </c>
      <c r="O73" s="8" t="s">
        <v>1151</v>
      </c>
      <c r="P73" s="8" t="s">
        <v>1165</v>
      </c>
      <c r="Q73" s="16" t="s">
        <v>146</v>
      </c>
      <c r="AC73" s="8" t="s">
        <v>78</v>
      </c>
      <c r="AD73" s="8" t="s">
        <v>78</v>
      </c>
      <c r="AE73" s="14" t="s">
        <v>78</v>
      </c>
      <c r="AF73" s="8">
        <v>1</v>
      </c>
      <c r="AG73" s="8" t="str">
        <f>IF(AF73='Listas suspensas'!$A$16,'Listas suspensas'!$B$16,IF(AF73='Listas suspensas'!$A$17,'Listas suspensas'!$B$17,IF(AF73='Listas suspensas'!$A$18,'Listas suspensas'!$B$18,"")))</f>
        <v>Estável</v>
      </c>
      <c r="AH73" s="8" t="str">
        <f>IF(AF73='Listas suspensas'!$A$16,'Listas suspensas'!$C$16,IF(AF73='Listas suspensas'!$A$17,'Listas suspensas'!$C$17,IF(AF73='Listas suspensas'!$A$18,'Listas suspensas'!$C$18,"")))</f>
        <v>Indica solução límpida e isenta de materiais precipitados</v>
      </c>
      <c r="BC73" s="13">
        <v>0.83099999999999996</v>
      </c>
      <c r="BD73" s="13">
        <v>0.34799999999999998</v>
      </c>
      <c r="BE73" s="13">
        <v>0.59299999999999997</v>
      </c>
      <c r="BF73" s="14">
        <f t="shared" si="3"/>
        <v>1.77</v>
      </c>
      <c r="BG73" s="14">
        <v>46.9</v>
      </c>
      <c r="BH73" s="14">
        <v>19.600000000000001</v>
      </c>
      <c r="BI73" s="14">
        <v>33.5</v>
      </c>
      <c r="BJ73" s="16">
        <f t="shared" si="4"/>
        <v>100</v>
      </c>
      <c r="BO73" s="8" t="s">
        <v>1220</v>
      </c>
    </row>
    <row r="74" spans="2:67" x14ac:dyDescent="0.25">
      <c r="B74" s="8" t="s">
        <v>1285</v>
      </c>
      <c r="C74" s="8" t="s">
        <v>71</v>
      </c>
      <c r="F74" s="11">
        <v>45974</v>
      </c>
      <c r="G74" s="11">
        <v>45980</v>
      </c>
      <c r="H74" s="11">
        <v>45982</v>
      </c>
      <c r="J74" s="8" t="s">
        <v>1059</v>
      </c>
      <c r="K74" s="8" t="s">
        <v>1060</v>
      </c>
      <c r="L74" s="8" t="s">
        <v>619</v>
      </c>
      <c r="M74" s="8" t="s">
        <v>1151</v>
      </c>
      <c r="O74" s="8" t="s">
        <v>1151</v>
      </c>
      <c r="P74" s="8" t="s">
        <v>1165</v>
      </c>
      <c r="Q74" s="16" t="s">
        <v>1555</v>
      </c>
      <c r="AC74" s="8">
        <v>1.0135000000000001</v>
      </c>
      <c r="AD74" s="8">
        <v>24</v>
      </c>
      <c r="AE74" s="14">
        <v>1.7</v>
      </c>
      <c r="AF74" s="8">
        <v>1</v>
      </c>
      <c r="AG74" s="8" t="str">
        <f>IF(AF74='Listas suspensas'!$A$16,'Listas suspensas'!$B$16,IF(AF74='Listas suspensas'!$A$17,'Listas suspensas'!$B$17,IF(AF74='Listas suspensas'!$A$18,'Listas suspensas'!$B$18,"")))</f>
        <v>Estável</v>
      </c>
      <c r="AH74" s="8" t="str">
        <f>IF(AF74='Listas suspensas'!$A$16,'Listas suspensas'!$C$16,IF(AF74='Listas suspensas'!$A$17,'Listas suspensas'!$C$17,IF(AF74='Listas suspensas'!$A$18,'Listas suspensas'!$C$18,"")))</f>
        <v>Indica solução límpida e isenta de materiais precipitados</v>
      </c>
      <c r="BC74" s="13">
        <v>0.87</v>
      </c>
      <c r="BD74" s="13">
        <v>0.34899999999999998</v>
      </c>
      <c r="BE74" s="13">
        <v>0.61299999999999999</v>
      </c>
      <c r="BF74" s="14">
        <f t="shared" si="3"/>
        <v>1.83</v>
      </c>
      <c r="BG74" s="14">
        <v>47.5</v>
      </c>
      <c r="BH74" s="14">
        <v>19</v>
      </c>
      <c r="BI74" s="14">
        <v>33.5</v>
      </c>
      <c r="BJ74" s="16">
        <f t="shared" si="4"/>
        <v>100</v>
      </c>
    </row>
    <row r="75" spans="2:67" x14ac:dyDescent="0.25">
      <c r="B75" s="8" t="s">
        <v>1286</v>
      </c>
      <c r="C75" s="8" t="s">
        <v>71</v>
      </c>
      <c r="F75" s="11">
        <v>45974</v>
      </c>
      <c r="G75" s="11">
        <v>45980</v>
      </c>
      <c r="H75" s="11">
        <v>45982</v>
      </c>
      <c r="J75" s="8" t="s">
        <v>1205</v>
      </c>
      <c r="K75" s="8" t="s">
        <v>522</v>
      </c>
      <c r="L75" s="8" t="s">
        <v>523</v>
      </c>
      <c r="M75" s="8" t="s">
        <v>1151</v>
      </c>
      <c r="N75" s="29" t="s">
        <v>524</v>
      </c>
      <c r="O75" s="8" t="s">
        <v>1151</v>
      </c>
      <c r="P75" s="8" t="s">
        <v>1165</v>
      </c>
      <c r="Q75" s="16" t="s">
        <v>1577</v>
      </c>
      <c r="AC75" s="8">
        <v>1.016</v>
      </c>
      <c r="AD75" s="8">
        <v>25</v>
      </c>
      <c r="AE75" s="14">
        <v>2</v>
      </c>
      <c r="AF75" s="8">
        <v>1</v>
      </c>
      <c r="AG75" s="8" t="str">
        <f>IF(AF75='Listas suspensas'!$A$16,'Listas suspensas'!$B$16,IF(AF75='Listas suspensas'!$A$17,'Listas suspensas'!$B$17,IF(AF75='Listas suspensas'!$A$18,'Listas suspensas'!$B$18,"")))</f>
        <v>Estável</v>
      </c>
      <c r="AH75" s="8" t="str">
        <f>IF(AF75='Listas suspensas'!$A$16,'Listas suspensas'!$C$16,IF(AF75='Listas suspensas'!$A$17,'Listas suspensas'!$C$17,IF(AF75='Listas suspensas'!$A$18,'Listas suspensas'!$C$18,"")))</f>
        <v>Indica solução límpida e isenta de materiais precipitados</v>
      </c>
      <c r="BC75" s="13">
        <v>0.93200000000000005</v>
      </c>
      <c r="BD75" s="13">
        <v>0.39700000000000002</v>
      </c>
      <c r="BE75" s="13">
        <v>0.74399999999999999</v>
      </c>
      <c r="BF75" s="14">
        <f t="shared" si="3"/>
        <v>2.0699999999999998</v>
      </c>
      <c r="BG75" s="14">
        <v>45</v>
      </c>
      <c r="BH75" s="14">
        <v>19.2</v>
      </c>
      <c r="BI75" s="14">
        <v>35.799999999999997</v>
      </c>
      <c r="BJ75" s="16">
        <f t="shared" si="4"/>
        <v>100</v>
      </c>
    </row>
    <row r="76" spans="2:67" x14ac:dyDescent="0.25">
      <c r="B76" s="8" t="s">
        <v>1287</v>
      </c>
      <c r="C76" s="8" t="s">
        <v>71</v>
      </c>
      <c r="F76" s="11">
        <v>46002</v>
      </c>
      <c r="G76" s="11">
        <v>46002</v>
      </c>
      <c r="H76" s="11">
        <v>46002</v>
      </c>
      <c r="J76" s="8" t="s">
        <v>1618</v>
      </c>
      <c r="K76" s="8" t="s">
        <v>963</v>
      </c>
      <c r="L76" s="8" t="s">
        <v>144</v>
      </c>
      <c r="M76" s="8" t="s">
        <v>1151</v>
      </c>
      <c r="N76" s="29" t="s">
        <v>1619</v>
      </c>
      <c r="O76" s="8" t="s">
        <v>1151</v>
      </c>
      <c r="P76" s="8" t="s">
        <v>1165</v>
      </c>
      <c r="Q76" s="16" t="s">
        <v>1620</v>
      </c>
      <c r="AC76" s="8">
        <v>1.0145</v>
      </c>
      <c r="AD76" s="8">
        <v>26</v>
      </c>
      <c r="AE76" s="14">
        <v>1.9</v>
      </c>
      <c r="AF76" s="8">
        <v>3</v>
      </c>
      <c r="AG76" s="8" t="str">
        <f>IF(AF76='Listas suspensas'!$A$16,'Listas suspensas'!$B$16,IF(AF76='Listas suspensas'!$A$17,'Listas suspensas'!$B$17,IF(AF76='Listas suspensas'!$A$18,'Listas suspensas'!$B$18,"")))</f>
        <v>Instável</v>
      </c>
      <c r="AH76" s="8" t="str">
        <f>IF(AF76='Listas suspensas'!$A$16,'Listas suspensas'!$C$16,IF(AF76='Listas suspensas'!$A$17,'Listas suspensas'!$C$17,IF(AF76='Listas suspensas'!$A$18,'Listas suspensas'!$C$18,"")))</f>
        <v>Indica solução com severa formação de precipitado</v>
      </c>
      <c r="BC76" s="13">
        <v>0.83499999999999996</v>
      </c>
      <c r="BD76" s="13">
        <v>0.33400000000000002</v>
      </c>
      <c r="BE76" s="13">
        <v>0.66</v>
      </c>
      <c r="BF76" s="14">
        <f t="shared" si="3"/>
        <v>1.83</v>
      </c>
      <c r="BG76" s="14">
        <v>45.6</v>
      </c>
      <c r="BH76" s="14">
        <v>18.3</v>
      </c>
      <c r="BI76" s="14">
        <v>36.1</v>
      </c>
      <c r="BJ76" s="16">
        <f t="shared" si="4"/>
        <v>100</v>
      </c>
    </row>
    <row r="77" spans="2:67" x14ac:dyDescent="0.25">
      <c r="B77" s="8" t="s">
        <v>1288</v>
      </c>
      <c r="C77" s="8" t="s">
        <v>71</v>
      </c>
      <c r="F77" s="11">
        <v>46002</v>
      </c>
      <c r="G77" s="11">
        <v>46002</v>
      </c>
      <c r="H77" s="11">
        <v>46002</v>
      </c>
      <c r="J77" s="8" t="s">
        <v>533</v>
      </c>
      <c r="K77" s="8" t="s">
        <v>534</v>
      </c>
      <c r="L77" s="8" t="s">
        <v>189</v>
      </c>
      <c r="M77" s="8" t="s">
        <v>1151</v>
      </c>
      <c r="N77" s="29" t="s">
        <v>535</v>
      </c>
      <c r="O77" s="8" t="s">
        <v>1151</v>
      </c>
      <c r="P77" s="8" t="s">
        <v>1165</v>
      </c>
      <c r="Q77" s="16" t="s">
        <v>1621</v>
      </c>
      <c r="AC77" s="8">
        <v>1.0169999999999999</v>
      </c>
      <c r="AD77" s="8">
        <v>26</v>
      </c>
      <c r="AE77" s="14">
        <v>2.2000000000000002</v>
      </c>
      <c r="AF77" s="8">
        <v>2</v>
      </c>
      <c r="AG77" s="8" t="str">
        <f>IF(AF77='Listas suspensas'!$A$16,'Listas suspensas'!$B$16,IF(AF77='Listas suspensas'!$A$17,'Listas suspensas'!$B$17,IF(AF77='Listas suspensas'!$A$18,'Listas suspensas'!$B$18,"")))</f>
        <v>Instável</v>
      </c>
      <c r="AH77" s="8" t="str">
        <f>IF(AF77='Listas suspensas'!$A$16,'Listas suspensas'!$C$16,IF(AF77='Listas suspensas'!$A$17,'Listas suspensas'!$C$17,IF(AF77='Listas suspensas'!$A$18,'Listas suspensas'!$C$18,"")))</f>
        <v>Indica solução com leve formação de precipitado</v>
      </c>
      <c r="BC77" s="13">
        <v>0.96699999999999997</v>
      </c>
      <c r="BD77" s="13">
        <v>0.4</v>
      </c>
      <c r="BE77" s="13">
        <v>0.79400000000000004</v>
      </c>
      <c r="BF77" s="14">
        <f t="shared" si="3"/>
        <v>2.16</v>
      </c>
      <c r="BG77" s="14">
        <v>44.7</v>
      </c>
      <c r="BH77" s="14">
        <v>18.5</v>
      </c>
      <c r="BI77" s="14">
        <v>36.799999999999997</v>
      </c>
      <c r="BJ77" s="16">
        <f t="shared" si="4"/>
        <v>100</v>
      </c>
    </row>
    <row r="78" spans="2:67" x14ac:dyDescent="0.25">
      <c r="B78" s="8" t="s">
        <v>1289</v>
      </c>
      <c r="C78" s="8" t="s">
        <v>71</v>
      </c>
      <c r="F78" s="11">
        <v>46002</v>
      </c>
      <c r="G78" s="11">
        <v>46002</v>
      </c>
      <c r="H78" s="11">
        <v>46002</v>
      </c>
      <c r="J78" s="8" t="s">
        <v>533</v>
      </c>
      <c r="K78" s="8" t="s">
        <v>534</v>
      </c>
      <c r="L78" s="8" t="s">
        <v>189</v>
      </c>
      <c r="M78" s="8" t="s">
        <v>1151</v>
      </c>
      <c r="N78" s="29" t="s">
        <v>535</v>
      </c>
      <c r="O78" s="8" t="s">
        <v>1151</v>
      </c>
      <c r="P78" s="8" t="s">
        <v>1165</v>
      </c>
      <c r="Q78" s="16" t="s">
        <v>1622</v>
      </c>
      <c r="AC78" s="8">
        <v>1.0155000000000001</v>
      </c>
      <c r="AD78" s="8">
        <v>26</v>
      </c>
      <c r="AE78" s="14">
        <v>2</v>
      </c>
      <c r="AF78" s="8">
        <v>3</v>
      </c>
      <c r="AG78" s="8" t="str">
        <f>IF(AF78='Listas suspensas'!$A$16,'Listas suspensas'!$B$16,IF(AF78='Listas suspensas'!$A$17,'Listas suspensas'!$B$17,IF(AF78='Listas suspensas'!$A$18,'Listas suspensas'!$B$18,"")))</f>
        <v>Instável</v>
      </c>
      <c r="AH78" s="8" t="str">
        <f>IF(AF78='Listas suspensas'!$A$16,'Listas suspensas'!$C$16,IF(AF78='Listas suspensas'!$A$17,'Listas suspensas'!$C$17,IF(AF78='Listas suspensas'!$A$18,'Listas suspensas'!$C$18,"")))</f>
        <v>Indica solução com severa formação de precipitado</v>
      </c>
      <c r="BC78" s="13">
        <v>1.03</v>
      </c>
      <c r="BD78" s="13">
        <v>0.38500000000000001</v>
      </c>
      <c r="BE78" s="13">
        <v>0.74299999999999999</v>
      </c>
      <c r="BF78" s="14">
        <f t="shared" si="3"/>
        <v>2.16</v>
      </c>
      <c r="BG78" s="14">
        <v>47.7</v>
      </c>
      <c r="BH78" s="14">
        <v>17.8</v>
      </c>
      <c r="BI78" s="14">
        <v>34.5</v>
      </c>
      <c r="BJ78" s="16">
        <f t="shared" si="4"/>
        <v>100</v>
      </c>
    </row>
    <row r="79" spans="2:67" x14ac:dyDescent="0.25">
      <c r="B79" s="8" t="s">
        <v>1290</v>
      </c>
      <c r="C79" s="8" t="s">
        <v>71</v>
      </c>
      <c r="F79" s="11">
        <v>46002</v>
      </c>
      <c r="G79" s="11">
        <v>46002</v>
      </c>
      <c r="H79" s="11">
        <v>46002</v>
      </c>
      <c r="J79" s="8" t="s">
        <v>533</v>
      </c>
      <c r="K79" s="8" t="s">
        <v>534</v>
      </c>
      <c r="L79" s="8" t="s">
        <v>189</v>
      </c>
      <c r="M79" s="8" t="s">
        <v>1151</v>
      </c>
      <c r="N79" s="29" t="s">
        <v>535</v>
      </c>
      <c r="O79" s="8" t="s">
        <v>1151</v>
      </c>
      <c r="P79" s="8" t="s">
        <v>1165</v>
      </c>
      <c r="Q79" s="16" t="s">
        <v>1623</v>
      </c>
      <c r="AC79" s="8">
        <v>1.016</v>
      </c>
      <c r="AD79" s="8">
        <v>26</v>
      </c>
      <c r="AE79" s="14">
        <v>2</v>
      </c>
      <c r="AF79" s="8">
        <v>3</v>
      </c>
      <c r="AG79" s="8" t="str">
        <f>IF(AF79='Listas suspensas'!$A$16,'Listas suspensas'!$B$16,IF(AF79='Listas suspensas'!$A$17,'Listas suspensas'!$B$17,IF(AF79='Listas suspensas'!$A$18,'Listas suspensas'!$B$18,"")))</f>
        <v>Instável</v>
      </c>
      <c r="AH79" s="8" t="str">
        <f>IF(AF79='Listas suspensas'!$A$16,'Listas suspensas'!$C$16,IF(AF79='Listas suspensas'!$A$17,'Listas suspensas'!$C$17,IF(AF79='Listas suspensas'!$A$18,'Listas suspensas'!$C$18,"")))</f>
        <v>Indica solução com severa formação de precipitado</v>
      </c>
      <c r="BC79" s="13">
        <v>1.1187</v>
      </c>
      <c r="BD79" s="13">
        <v>0.378</v>
      </c>
      <c r="BE79" s="13">
        <v>0.83399999999999996</v>
      </c>
      <c r="BF79" s="14">
        <f t="shared" si="3"/>
        <v>2.33</v>
      </c>
      <c r="BG79" s="14">
        <v>49.5</v>
      </c>
      <c r="BH79" s="14">
        <v>15.7</v>
      </c>
      <c r="BI79" s="14">
        <v>34.799999999999997</v>
      </c>
      <c r="BJ79" s="16">
        <f t="shared" si="4"/>
        <v>100</v>
      </c>
    </row>
    <row r="80" spans="2:67" x14ac:dyDescent="0.25">
      <c r="B80" s="8" t="s">
        <v>1291</v>
      </c>
      <c r="C80" s="8" t="s">
        <v>71</v>
      </c>
      <c r="F80" s="11">
        <v>46002</v>
      </c>
      <c r="G80" s="11">
        <v>46002</v>
      </c>
      <c r="H80" s="11">
        <v>46002</v>
      </c>
      <c r="J80" s="8" t="s">
        <v>533</v>
      </c>
      <c r="K80" s="8" t="s">
        <v>534</v>
      </c>
      <c r="L80" s="8" t="s">
        <v>189</v>
      </c>
      <c r="M80" s="8" t="s">
        <v>1151</v>
      </c>
      <c r="N80" s="29" t="s">
        <v>535</v>
      </c>
      <c r="O80" s="8" t="s">
        <v>1151</v>
      </c>
      <c r="P80" s="8" t="s">
        <v>1165</v>
      </c>
      <c r="Q80" s="16" t="s">
        <v>1624</v>
      </c>
      <c r="AC80" s="8">
        <v>1.0169999999999999</v>
      </c>
      <c r="AD80" s="8">
        <v>26</v>
      </c>
      <c r="AE80" s="14">
        <v>2.2000000000000002</v>
      </c>
      <c r="AF80" s="8">
        <v>3</v>
      </c>
      <c r="AG80" s="8" t="str">
        <f>IF(AF80='Listas suspensas'!$A$16,'Listas suspensas'!$B$16,IF(AF80='Listas suspensas'!$A$17,'Listas suspensas'!$B$17,IF(AF80='Listas suspensas'!$A$18,'Listas suspensas'!$B$18,"")))</f>
        <v>Instável</v>
      </c>
      <c r="AH80" s="8" t="str">
        <f>IF(AF80='Listas suspensas'!$A$16,'Listas suspensas'!$C$16,IF(AF80='Listas suspensas'!$A$17,'Listas suspensas'!$C$17,IF(AF80='Listas suspensas'!$A$18,'Listas suspensas'!$C$18,"")))</f>
        <v>Indica solução com severa formação de precipitado</v>
      </c>
      <c r="BC80" s="13">
        <v>1.0589999999999999</v>
      </c>
      <c r="BD80" s="13">
        <v>0.39100000000000001</v>
      </c>
      <c r="BE80" s="13">
        <v>0.81599999999999995</v>
      </c>
      <c r="BF80" s="14">
        <f t="shared" si="3"/>
        <v>2.27</v>
      </c>
      <c r="BG80" s="14">
        <v>46.7</v>
      </c>
      <c r="BH80" s="14">
        <v>17.3</v>
      </c>
      <c r="BI80" s="14">
        <v>36</v>
      </c>
      <c r="BJ80" s="16">
        <f t="shared" si="4"/>
        <v>100</v>
      </c>
    </row>
    <row r="81" spans="2:67" x14ac:dyDescent="0.25">
      <c r="B81" s="8" t="s">
        <v>1292</v>
      </c>
      <c r="C81" s="8" t="s">
        <v>71</v>
      </c>
      <c r="F81" s="11">
        <v>46002</v>
      </c>
      <c r="G81" s="11">
        <v>46002</v>
      </c>
      <c r="H81" s="11">
        <v>46002</v>
      </c>
      <c r="J81" s="8" t="s">
        <v>1625</v>
      </c>
      <c r="K81" s="8" t="s">
        <v>697</v>
      </c>
      <c r="L81" s="8" t="s">
        <v>202</v>
      </c>
      <c r="M81" s="8" t="s">
        <v>1151</v>
      </c>
      <c r="N81" s="29" t="s">
        <v>1626</v>
      </c>
      <c r="O81" s="8" t="s">
        <v>1151</v>
      </c>
      <c r="P81" s="8" t="s">
        <v>1165</v>
      </c>
      <c r="Q81" s="16" t="s">
        <v>1700</v>
      </c>
      <c r="AC81" s="8">
        <v>1.0129999999999999</v>
      </c>
      <c r="AD81" s="8">
        <v>26</v>
      </c>
      <c r="AE81" s="14">
        <v>1.7</v>
      </c>
      <c r="AF81" s="8">
        <v>2</v>
      </c>
      <c r="AG81" s="8" t="str">
        <f>IF(AF81='Listas suspensas'!$A$16,'Listas suspensas'!$B$16,IF(AF81='Listas suspensas'!$A$17,'Listas suspensas'!$B$17,IF(AF81='Listas suspensas'!$A$18,'Listas suspensas'!$B$18,"")))</f>
        <v>Instável</v>
      </c>
      <c r="AH81" s="8" t="str">
        <f>IF(AF81='Listas suspensas'!$A$16,'Listas suspensas'!$C$16,IF(AF81='Listas suspensas'!$A$17,'Listas suspensas'!$C$17,IF(AF81='Listas suspensas'!$A$18,'Listas suspensas'!$C$18,"")))</f>
        <v>Indica solução com leve formação de precipitado</v>
      </c>
      <c r="BC81" s="13">
        <v>0.76600000000000001</v>
      </c>
      <c r="BD81" s="13">
        <v>0.33</v>
      </c>
      <c r="BE81" s="13">
        <v>0.58299999999999996</v>
      </c>
      <c r="BF81" s="14">
        <f t="shared" si="3"/>
        <v>1.68</v>
      </c>
      <c r="BG81" s="14">
        <v>45.6</v>
      </c>
      <c r="BH81" s="14">
        <v>19.7</v>
      </c>
      <c r="BI81" s="14">
        <v>34.700000000000003</v>
      </c>
      <c r="BJ81" s="16">
        <f t="shared" si="4"/>
        <v>100</v>
      </c>
    </row>
    <row r="82" spans="2:67" x14ac:dyDescent="0.25">
      <c r="B82" s="8" t="s">
        <v>1293</v>
      </c>
      <c r="C82" s="8" t="s">
        <v>71</v>
      </c>
      <c r="F82" s="11">
        <v>46002</v>
      </c>
      <c r="G82" s="11">
        <v>46002</v>
      </c>
      <c r="H82" s="11">
        <v>46002</v>
      </c>
      <c r="J82" s="8" t="s">
        <v>1059</v>
      </c>
      <c r="K82" s="8" t="s">
        <v>1060</v>
      </c>
      <c r="L82" s="8" t="s">
        <v>619</v>
      </c>
      <c r="M82" s="8" t="s">
        <v>1151</v>
      </c>
      <c r="N82" s="30" t="s">
        <v>1061</v>
      </c>
      <c r="O82" s="8" t="s">
        <v>1151</v>
      </c>
      <c r="P82" s="8" t="s">
        <v>1165</v>
      </c>
      <c r="Q82" s="16" t="s">
        <v>1632</v>
      </c>
      <c r="AC82" s="8">
        <v>1.0129999999999999</v>
      </c>
      <c r="AD82" s="8">
        <v>26</v>
      </c>
      <c r="AE82" s="14">
        <v>1.7</v>
      </c>
      <c r="AF82" s="8">
        <v>1</v>
      </c>
      <c r="AG82" s="8" t="str">
        <f>IF(AF82='Listas suspensas'!$A$16,'Listas suspensas'!$B$16,IF(AF82='Listas suspensas'!$A$17,'Listas suspensas'!$B$17,IF(AF82='Listas suspensas'!$A$18,'Listas suspensas'!$B$18,"")))</f>
        <v>Estável</v>
      </c>
      <c r="AH82" s="8" t="str">
        <f>IF(AF82='Listas suspensas'!$A$16,'Listas suspensas'!$C$16,IF(AF82='Listas suspensas'!$A$17,'Listas suspensas'!$C$17,IF(AF82='Listas suspensas'!$A$18,'Listas suspensas'!$C$18,"")))</f>
        <v>Indica solução límpida e isenta de materiais precipitados</v>
      </c>
      <c r="BC82" s="13">
        <v>0.76500000000000001</v>
      </c>
      <c r="BD82" s="13">
        <v>0.32300000000000001</v>
      </c>
      <c r="BE82" s="13">
        <v>0.61799999999999999</v>
      </c>
      <c r="BF82" s="14">
        <f t="shared" si="3"/>
        <v>1.71</v>
      </c>
      <c r="BG82" s="14">
        <v>44.9</v>
      </c>
      <c r="BH82" s="14">
        <v>18.899999999999999</v>
      </c>
      <c r="BI82" s="14">
        <v>36.200000000000003</v>
      </c>
      <c r="BJ82" s="16">
        <f t="shared" si="4"/>
        <v>100</v>
      </c>
    </row>
    <row r="83" spans="2:67" x14ac:dyDescent="0.25">
      <c r="B83" s="8" t="s">
        <v>1294</v>
      </c>
      <c r="C83" s="8" t="s">
        <v>71</v>
      </c>
      <c r="F83" s="11">
        <v>46002</v>
      </c>
      <c r="G83" s="11">
        <v>46002</v>
      </c>
      <c r="H83" s="11">
        <v>46002</v>
      </c>
      <c r="J83" s="8" t="s">
        <v>1652</v>
      </c>
      <c r="K83" s="8" t="s">
        <v>832</v>
      </c>
      <c r="L83" s="8" t="s">
        <v>92</v>
      </c>
      <c r="M83" s="8" t="s">
        <v>1151</v>
      </c>
      <c r="N83" s="30" t="s">
        <v>1653</v>
      </c>
      <c r="O83" s="8" t="s">
        <v>1151</v>
      </c>
      <c r="P83" s="8" t="s">
        <v>1165</v>
      </c>
      <c r="Q83" s="16" t="s">
        <v>1654</v>
      </c>
      <c r="AC83" s="8">
        <v>1.0115000000000001</v>
      </c>
      <c r="AD83" s="8">
        <v>26</v>
      </c>
      <c r="AE83" s="14">
        <v>1.5</v>
      </c>
      <c r="AF83" s="8">
        <v>1</v>
      </c>
      <c r="AG83" s="8" t="str">
        <f>IF(AF83='Listas suspensas'!$A$16,'Listas suspensas'!$B$16,IF(AF83='Listas suspensas'!$A$17,'Listas suspensas'!$B$17,IF(AF83='Listas suspensas'!$A$18,'Listas suspensas'!$B$18,"")))</f>
        <v>Estável</v>
      </c>
      <c r="AH83" s="8" t="str">
        <f>IF(AF83='Listas suspensas'!$A$16,'Listas suspensas'!$C$16,IF(AF83='Listas suspensas'!$A$17,'Listas suspensas'!$C$17,IF(AF83='Listas suspensas'!$A$18,'Listas suspensas'!$C$18,"")))</f>
        <v>Indica solução límpida e isenta de materiais precipitados</v>
      </c>
      <c r="BC83" s="13">
        <v>0.61499999999999999</v>
      </c>
      <c r="BD83" s="13">
        <v>0.27700000000000002</v>
      </c>
      <c r="BE83" s="13">
        <v>0.47899999999999998</v>
      </c>
      <c r="BF83" s="14">
        <f t="shared" si="3"/>
        <v>1.37</v>
      </c>
      <c r="BG83" s="14">
        <v>44.8</v>
      </c>
      <c r="BH83" s="14">
        <v>20.2</v>
      </c>
      <c r="BI83" s="14">
        <v>35</v>
      </c>
      <c r="BJ83" s="16">
        <f t="shared" si="4"/>
        <v>100</v>
      </c>
    </row>
    <row r="84" spans="2:67" x14ac:dyDescent="0.25">
      <c r="B84" s="8" t="s">
        <v>1295</v>
      </c>
      <c r="C84" s="8" t="s">
        <v>71</v>
      </c>
      <c r="F84" s="11">
        <v>46002</v>
      </c>
      <c r="G84" s="11">
        <v>46002</v>
      </c>
      <c r="H84" s="11">
        <v>46002</v>
      </c>
      <c r="J84" s="8" t="s">
        <v>1268</v>
      </c>
      <c r="K84" s="8" t="s">
        <v>91</v>
      </c>
      <c r="L84" s="8" t="s">
        <v>92</v>
      </c>
      <c r="M84" s="8" t="s">
        <v>1151</v>
      </c>
      <c r="N84" s="16"/>
      <c r="O84" s="8" t="s">
        <v>1151</v>
      </c>
      <c r="P84" s="8" t="s">
        <v>1165</v>
      </c>
      <c r="Q84" s="16" t="s">
        <v>1659</v>
      </c>
      <c r="AC84" s="8">
        <v>1.0145</v>
      </c>
      <c r="AD84" s="8">
        <v>26</v>
      </c>
      <c r="AE84" s="14">
        <v>1.9</v>
      </c>
      <c r="AF84" s="8">
        <v>2</v>
      </c>
      <c r="AG84" s="8" t="str">
        <f>IF(AF84='Listas suspensas'!$A$16,'Listas suspensas'!$B$16,IF(AF84='Listas suspensas'!$A$17,'Listas suspensas'!$B$17,IF(AF84='Listas suspensas'!$A$18,'Listas suspensas'!$B$18,"")))</f>
        <v>Instável</v>
      </c>
      <c r="AH84" s="8" t="str">
        <f>IF(AF84='Listas suspensas'!$A$16,'Listas suspensas'!$C$16,IF(AF84='Listas suspensas'!$A$17,'Listas suspensas'!$C$17,IF(AF84='Listas suspensas'!$A$18,'Listas suspensas'!$C$18,"")))</f>
        <v>Indica solução com leve formação de precipitado</v>
      </c>
      <c r="BC84" s="13">
        <v>0.88100000000000001</v>
      </c>
      <c r="BD84" s="13">
        <v>0.38300000000000001</v>
      </c>
      <c r="BE84" s="13">
        <v>0.629</v>
      </c>
      <c r="BF84" s="14">
        <f t="shared" si="3"/>
        <v>1.89</v>
      </c>
      <c r="BG84" s="14">
        <v>46.5</v>
      </c>
      <c r="BH84" s="14">
        <v>20.2</v>
      </c>
      <c r="BI84" s="14">
        <v>33.299999999999997</v>
      </c>
      <c r="BJ84" s="16">
        <f t="shared" si="4"/>
        <v>100</v>
      </c>
    </row>
    <row r="85" spans="2:67" x14ac:dyDescent="0.25">
      <c r="B85" s="8" t="s">
        <v>1296</v>
      </c>
      <c r="C85" s="8" t="s">
        <v>71</v>
      </c>
      <c r="F85" s="11">
        <v>46002</v>
      </c>
      <c r="G85" s="11">
        <v>46002</v>
      </c>
      <c r="H85" s="11">
        <v>46002</v>
      </c>
      <c r="J85" s="8" t="s">
        <v>926</v>
      </c>
      <c r="K85" s="8" t="s">
        <v>927</v>
      </c>
      <c r="L85" s="8" t="s">
        <v>144</v>
      </c>
      <c r="M85" s="8" t="s">
        <v>1151</v>
      </c>
      <c r="N85" s="30" t="s">
        <v>1660</v>
      </c>
      <c r="O85" s="8" t="s">
        <v>1151</v>
      </c>
      <c r="P85" s="8" t="s">
        <v>1165</v>
      </c>
      <c r="Q85" s="16" t="s">
        <v>1661</v>
      </c>
      <c r="AC85" s="8">
        <v>1.0125</v>
      </c>
      <c r="AD85" s="8">
        <v>26</v>
      </c>
      <c r="AE85" s="14">
        <v>1.6</v>
      </c>
      <c r="AF85" s="8">
        <v>2</v>
      </c>
      <c r="AG85" s="8" t="str">
        <f>IF(AF85='Listas suspensas'!$A$16,'Listas suspensas'!$B$16,IF(AF85='Listas suspensas'!$A$17,'Listas suspensas'!$B$17,IF(AF85='Listas suspensas'!$A$18,'Listas suspensas'!$B$18,"")))</f>
        <v>Instável</v>
      </c>
      <c r="AH85" s="8" t="str">
        <f>IF(AF85='Listas suspensas'!$A$16,'Listas suspensas'!$C$16,IF(AF85='Listas suspensas'!$A$17,'Listas suspensas'!$C$17,IF(AF85='Listas suspensas'!$A$18,'Listas suspensas'!$C$18,"")))</f>
        <v>Indica solução com leve formação de precipitado</v>
      </c>
      <c r="BC85" s="13">
        <v>0.73099999999999998</v>
      </c>
      <c r="BD85" s="13">
        <v>0.29299999999999998</v>
      </c>
      <c r="BE85" s="13">
        <v>0.58699999999999997</v>
      </c>
      <c r="BF85" s="14">
        <f t="shared" si="3"/>
        <v>1.61</v>
      </c>
      <c r="BG85" s="14">
        <v>45.4</v>
      </c>
      <c r="BH85" s="14">
        <v>18.2</v>
      </c>
      <c r="BI85" s="14">
        <v>36.4</v>
      </c>
      <c r="BJ85" s="16">
        <f t="shared" si="4"/>
        <v>100</v>
      </c>
    </row>
    <row r="86" spans="2:67" x14ac:dyDescent="0.25">
      <c r="B86" s="8" t="s">
        <v>1740</v>
      </c>
      <c r="C86" s="8" t="s">
        <v>71</v>
      </c>
      <c r="F86" s="11">
        <v>46002</v>
      </c>
      <c r="G86" s="11">
        <v>46002</v>
      </c>
      <c r="H86" s="11">
        <v>46002</v>
      </c>
      <c r="J86" s="8" t="s">
        <v>926</v>
      </c>
      <c r="K86" s="8" t="s">
        <v>927</v>
      </c>
      <c r="L86" s="8" t="s">
        <v>144</v>
      </c>
      <c r="M86" s="8" t="s">
        <v>1151</v>
      </c>
      <c r="N86" s="30" t="s">
        <v>1660</v>
      </c>
      <c r="O86" s="8" t="s">
        <v>1151</v>
      </c>
      <c r="P86" s="8" t="s">
        <v>1165</v>
      </c>
      <c r="Q86" s="16" t="s">
        <v>1666</v>
      </c>
      <c r="AC86" s="8">
        <v>1.0075000000000001</v>
      </c>
      <c r="AD86" s="8">
        <v>26</v>
      </c>
      <c r="AE86" s="14">
        <v>1.1000000000000001</v>
      </c>
      <c r="AF86" s="8">
        <v>1</v>
      </c>
      <c r="AG86" s="8" t="str">
        <f>IF(AF86='Listas suspensas'!$A$16,'Listas suspensas'!$B$16,IF(AF86='Listas suspensas'!$A$17,'Listas suspensas'!$B$17,IF(AF86='Listas suspensas'!$A$18,'Listas suspensas'!$B$18,"")))</f>
        <v>Estável</v>
      </c>
      <c r="AH86" s="8" t="str">
        <f>IF(AF86='Listas suspensas'!$A$16,'Listas suspensas'!$C$16,IF(AF86='Listas suspensas'!$A$17,'Listas suspensas'!$C$17,IF(AF86='Listas suspensas'!$A$18,'Listas suspensas'!$C$18,"")))</f>
        <v>Indica solução límpida e isenta de materiais precipitados</v>
      </c>
      <c r="BC86" s="13">
        <v>0.47399999999999998</v>
      </c>
      <c r="BD86" s="13">
        <v>0.19900000000000001</v>
      </c>
      <c r="BE86" s="13">
        <v>0.373</v>
      </c>
      <c r="BF86" s="14">
        <f t="shared" ref="BF86" si="5">ROUND(SUM(BC86:BE86),2)</f>
        <v>1.05</v>
      </c>
      <c r="BG86" s="14">
        <v>45.3</v>
      </c>
      <c r="BH86" s="14">
        <v>19</v>
      </c>
      <c r="BI86" s="14">
        <v>35.700000000000003</v>
      </c>
      <c r="BJ86" s="16">
        <f t="shared" ref="BJ86" si="6">ROUND(SUM(BG86:BI86),2)</f>
        <v>100</v>
      </c>
    </row>
    <row r="87" spans="2:67" x14ac:dyDescent="0.25">
      <c r="B87" s="8" t="s">
        <v>1297</v>
      </c>
      <c r="C87" s="8" t="s">
        <v>71</v>
      </c>
      <c r="F87" s="11">
        <v>46007</v>
      </c>
      <c r="G87" s="11">
        <v>46008</v>
      </c>
      <c r="H87" s="11">
        <v>46010</v>
      </c>
      <c r="J87" s="8" t="s">
        <v>130</v>
      </c>
      <c r="K87" s="8" t="s">
        <v>1705</v>
      </c>
      <c r="L87" s="8" t="s">
        <v>74</v>
      </c>
      <c r="M87" s="8" t="s">
        <v>1151</v>
      </c>
      <c r="O87" s="8" t="s">
        <v>1151</v>
      </c>
      <c r="P87" s="8" t="s">
        <v>1165</v>
      </c>
      <c r="Q87" s="16" t="s">
        <v>1709</v>
      </c>
      <c r="AC87" s="8" t="s">
        <v>78</v>
      </c>
      <c r="AD87" s="8" t="s">
        <v>78</v>
      </c>
      <c r="AE87" s="14" t="s">
        <v>78</v>
      </c>
      <c r="AF87" s="8">
        <v>1</v>
      </c>
      <c r="AG87" s="8" t="str">
        <f>IF(AF87='Listas suspensas'!$A$16,'Listas suspensas'!$B$16,IF(AF87='Listas suspensas'!$A$17,'Listas suspensas'!$B$17,IF(AF87='Listas suspensas'!$A$18,'Listas suspensas'!$B$18,"")))</f>
        <v>Estável</v>
      </c>
      <c r="AH87" s="8" t="str">
        <f>IF(AF87='Listas suspensas'!$A$16,'Listas suspensas'!$C$16,IF(AF87='Listas suspensas'!$A$17,'Listas suspensas'!$C$17,IF(AF87='Listas suspensas'!$A$18,'Listas suspensas'!$C$18,"")))</f>
        <v>Indica solução límpida e isenta de materiais precipitados</v>
      </c>
      <c r="BC87" s="13">
        <v>0.71899999999999997</v>
      </c>
      <c r="BD87" s="13">
        <v>0.311</v>
      </c>
      <c r="BE87" s="13">
        <v>0.55500000000000005</v>
      </c>
      <c r="BF87" s="14">
        <f t="shared" si="3"/>
        <v>1.59</v>
      </c>
      <c r="BG87" s="14">
        <v>45.4</v>
      </c>
      <c r="BH87" s="14">
        <v>19.600000000000001</v>
      </c>
      <c r="BI87" s="14">
        <v>35</v>
      </c>
      <c r="BJ87" s="16">
        <f t="shared" si="4"/>
        <v>100</v>
      </c>
      <c r="BO87" s="8" t="s">
        <v>1220</v>
      </c>
    </row>
    <row r="88" spans="2:67" x14ac:dyDescent="0.25">
      <c r="B88" s="8" t="s">
        <v>1298</v>
      </c>
      <c r="C88" s="8" t="s">
        <v>71</v>
      </c>
      <c r="F88" s="11">
        <v>46007</v>
      </c>
      <c r="G88" s="11">
        <v>46008</v>
      </c>
      <c r="H88" s="11">
        <v>46010</v>
      </c>
      <c r="J88" s="8" t="s">
        <v>1059</v>
      </c>
      <c r="K88" s="8" t="s">
        <v>1060</v>
      </c>
      <c r="L88" s="8" t="s">
        <v>619</v>
      </c>
      <c r="M88" s="8" t="s">
        <v>1151</v>
      </c>
      <c r="N88" s="29" t="s">
        <v>1061</v>
      </c>
      <c r="O88" s="8" t="s">
        <v>1151</v>
      </c>
      <c r="P88" s="8" t="s">
        <v>1165</v>
      </c>
      <c r="Q88" s="16" t="s">
        <v>1716</v>
      </c>
      <c r="AC88" s="8">
        <v>1.0155000000000001</v>
      </c>
      <c r="AD88" s="8">
        <v>23</v>
      </c>
      <c r="AE88" s="14">
        <v>1.9</v>
      </c>
      <c r="AF88" s="8">
        <v>1</v>
      </c>
      <c r="AG88" s="8" t="str">
        <f>IF(AF88='Listas suspensas'!$A$16,'Listas suspensas'!$B$16,IF(AF88='Listas suspensas'!$A$17,'Listas suspensas'!$B$17,IF(AF88='Listas suspensas'!$A$18,'Listas suspensas'!$B$18,"")))</f>
        <v>Estável</v>
      </c>
      <c r="AH88" s="8" t="str">
        <f>IF(AF88='Listas suspensas'!$A$16,'Listas suspensas'!$C$16,IF(AF88='Listas suspensas'!$A$17,'Listas suspensas'!$C$17,IF(AF88='Listas suspensas'!$A$18,'Listas suspensas'!$C$18,"")))</f>
        <v>Indica solução límpida e isenta de materiais precipitados</v>
      </c>
      <c r="BC88" s="13">
        <v>0.874</v>
      </c>
      <c r="BD88" s="13">
        <v>0.36599999999999999</v>
      </c>
      <c r="BE88" s="13">
        <v>0.66400000000000003</v>
      </c>
      <c r="BF88" s="14">
        <f t="shared" si="3"/>
        <v>1.9</v>
      </c>
      <c r="BG88" s="14">
        <v>45.9</v>
      </c>
      <c r="BH88" s="14">
        <v>19.2</v>
      </c>
      <c r="BI88" s="14">
        <v>34.9</v>
      </c>
      <c r="BJ88" s="16">
        <f t="shared" si="4"/>
        <v>100</v>
      </c>
    </row>
    <row r="89" spans="2:67" x14ac:dyDescent="0.25">
      <c r="B89" s="8" t="s">
        <v>1299</v>
      </c>
      <c r="C89" s="8" t="s">
        <v>71</v>
      </c>
      <c r="F89" s="11">
        <v>46007</v>
      </c>
      <c r="G89" s="11">
        <v>46008</v>
      </c>
      <c r="H89" s="11">
        <v>46010</v>
      </c>
      <c r="J89" s="8" t="s">
        <v>521</v>
      </c>
      <c r="K89" s="8" t="s">
        <v>522</v>
      </c>
      <c r="L89" s="8" t="s">
        <v>1726</v>
      </c>
      <c r="M89" s="8" t="s">
        <v>1151</v>
      </c>
      <c r="N89" s="30" t="s">
        <v>524</v>
      </c>
      <c r="O89" s="8" t="s">
        <v>1151</v>
      </c>
      <c r="P89" s="8" t="s">
        <v>1165</v>
      </c>
      <c r="Q89" s="16" t="s">
        <v>1732</v>
      </c>
      <c r="AC89" s="8">
        <v>1.0155000000000001</v>
      </c>
      <c r="AD89" s="8">
        <v>23</v>
      </c>
      <c r="AE89" s="14">
        <v>1.9</v>
      </c>
      <c r="AF89" s="8">
        <v>1</v>
      </c>
      <c r="AG89" s="8" t="str">
        <f>IF(AF89='Listas suspensas'!$A$16,'Listas suspensas'!$B$16,IF(AF89='Listas suspensas'!$A$17,'Listas suspensas'!$B$17,IF(AF89='Listas suspensas'!$A$18,'Listas suspensas'!$B$18,"")))</f>
        <v>Estável</v>
      </c>
      <c r="AH89" s="8" t="str">
        <f>IF(AF89='Listas suspensas'!$A$16,'Listas suspensas'!$C$16,IF(AF89='Listas suspensas'!$A$17,'Listas suspensas'!$C$17,IF(AF89='Listas suspensas'!$A$18,'Listas suspensas'!$C$18,"")))</f>
        <v>Indica solução límpida e isenta de materiais precipitados</v>
      </c>
      <c r="BC89" s="13">
        <v>0.86</v>
      </c>
      <c r="BD89" s="13">
        <v>0.377</v>
      </c>
      <c r="BE89" s="13">
        <v>0.69599999999999995</v>
      </c>
      <c r="BF89" s="14">
        <f t="shared" si="3"/>
        <v>1.93</v>
      </c>
      <c r="BG89" s="14">
        <v>44.5</v>
      </c>
      <c r="BH89" s="14">
        <v>19.5</v>
      </c>
      <c r="BI89" s="14">
        <v>36</v>
      </c>
      <c r="BJ89" s="16">
        <f t="shared" si="4"/>
        <v>100</v>
      </c>
    </row>
    <row r="90" spans="2:67" x14ac:dyDescent="0.25">
      <c r="B90" s="8" t="s">
        <v>1300</v>
      </c>
      <c r="C90" s="8" t="s">
        <v>71</v>
      </c>
      <c r="F90" s="11">
        <v>46028</v>
      </c>
      <c r="G90" s="11">
        <v>46035</v>
      </c>
      <c r="H90" s="11">
        <v>46038</v>
      </c>
      <c r="J90" s="8" t="s">
        <v>1059</v>
      </c>
      <c r="K90" s="8" t="s">
        <v>1060</v>
      </c>
      <c r="L90" s="8" t="s">
        <v>619</v>
      </c>
      <c r="M90" s="8" t="s">
        <v>1151</v>
      </c>
      <c r="N90" s="30" t="s">
        <v>1061</v>
      </c>
      <c r="O90" s="8" t="s">
        <v>1151</v>
      </c>
      <c r="P90" s="8" t="s">
        <v>1165</v>
      </c>
      <c r="Q90" s="16" t="s">
        <v>1765</v>
      </c>
      <c r="AC90" s="8">
        <v>1.0149999999999999</v>
      </c>
      <c r="AD90" s="8">
        <v>27</v>
      </c>
      <c r="AE90" s="14">
        <v>2</v>
      </c>
      <c r="AF90" s="8">
        <v>1</v>
      </c>
      <c r="AG90" s="8" t="str">
        <f>IF(AF90='Listas suspensas'!$A$16,'Listas suspensas'!$B$16,IF(AF90='Listas suspensas'!$A$17,'Listas suspensas'!$B$17,IF(AF90='Listas suspensas'!$A$18,'Listas suspensas'!$B$18,"")))</f>
        <v>Estável</v>
      </c>
      <c r="AH90" s="8" t="str">
        <f>IF(AF90='Listas suspensas'!$A$16,'Listas suspensas'!$C$16,IF(AF90='Listas suspensas'!$A$17,'Listas suspensas'!$C$17,IF(AF90='Listas suspensas'!$A$18,'Listas suspensas'!$C$18,"")))</f>
        <v>Indica solução límpida e isenta de materiais precipitados</v>
      </c>
      <c r="BC90" s="13">
        <v>0.871</v>
      </c>
      <c r="BD90" s="13">
        <v>0.36799999999999999</v>
      </c>
      <c r="BE90" s="13">
        <v>0.65200000000000002</v>
      </c>
      <c r="BF90" s="14">
        <f t="shared" si="3"/>
        <v>1.89</v>
      </c>
      <c r="BG90" s="14">
        <v>46.1</v>
      </c>
      <c r="BH90" s="14">
        <v>19.5</v>
      </c>
      <c r="BI90" s="14">
        <v>34.4</v>
      </c>
      <c r="BJ90" s="16">
        <f t="shared" si="4"/>
        <v>100</v>
      </c>
    </row>
    <row r="91" spans="2:67" x14ac:dyDescent="0.25">
      <c r="B91" s="8" t="s">
        <v>1301</v>
      </c>
      <c r="C91" s="8" t="s">
        <v>71</v>
      </c>
      <c r="F91" s="11">
        <v>46042</v>
      </c>
      <c r="G91" s="11">
        <v>46043</v>
      </c>
      <c r="H91" s="11">
        <v>46048</v>
      </c>
      <c r="J91" s="8" t="s">
        <v>1789</v>
      </c>
      <c r="K91" s="8" t="s">
        <v>522</v>
      </c>
      <c r="L91" s="8" t="s">
        <v>1726</v>
      </c>
      <c r="M91" s="8" t="s">
        <v>1151</v>
      </c>
      <c r="N91" s="30" t="s">
        <v>524</v>
      </c>
      <c r="O91" s="8" t="s">
        <v>1151</v>
      </c>
      <c r="P91" s="8" t="s">
        <v>1165</v>
      </c>
      <c r="Q91" s="16" t="s">
        <v>1801</v>
      </c>
      <c r="AC91" s="8">
        <v>1.0169999999999999</v>
      </c>
      <c r="AD91" s="8">
        <v>24</v>
      </c>
      <c r="AE91" s="14">
        <v>2.1</v>
      </c>
      <c r="AF91" s="8">
        <v>1</v>
      </c>
      <c r="AG91" s="8" t="str">
        <f>IF(AF91='Listas suspensas'!$A$16,'Listas suspensas'!$B$16,IF(AF91='Listas suspensas'!$A$17,'Listas suspensas'!$B$17,IF(AF91='Listas suspensas'!$A$18,'Listas suspensas'!$B$18,"")))</f>
        <v>Estável</v>
      </c>
      <c r="AH91" s="8" t="str">
        <f>IF(AF91='Listas suspensas'!$A$16,'Listas suspensas'!$C$16,IF(AF91='Listas suspensas'!$A$17,'Listas suspensas'!$C$17,IF(AF91='Listas suspensas'!$A$18,'Listas suspensas'!$C$18,"")))</f>
        <v>Indica solução límpida e isenta de materiais precipitados</v>
      </c>
      <c r="BC91" s="13">
        <v>0.94</v>
      </c>
      <c r="BD91" s="13">
        <v>0.40600000000000003</v>
      </c>
      <c r="BE91" s="13">
        <v>0.77200000000000002</v>
      </c>
      <c r="BF91" s="14">
        <f t="shared" si="3"/>
        <v>2.12</v>
      </c>
      <c r="BG91" s="14">
        <v>44.4</v>
      </c>
      <c r="BH91" s="14">
        <v>19.2</v>
      </c>
      <c r="BI91" s="14">
        <v>36.4</v>
      </c>
      <c r="BJ91" s="16">
        <f t="shared" si="4"/>
        <v>100</v>
      </c>
    </row>
    <row r="92" spans="2:67" x14ac:dyDescent="0.25">
      <c r="B92" s="8" t="s">
        <v>1302</v>
      </c>
      <c r="C92" s="8" t="s">
        <v>71</v>
      </c>
      <c r="F92" s="11">
        <v>46042</v>
      </c>
      <c r="G92" s="11">
        <v>46043</v>
      </c>
      <c r="H92" s="11">
        <v>46048</v>
      </c>
      <c r="J92" s="8" t="s">
        <v>1789</v>
      </c>
      <c r="K92" s="8" t="s">
        <v>522</v>
      </c>
      <c r="L92" s="8" t="s">
        <v>1726</v>
      </c>
      <c r="M92" s="8" t="s">
        <v>1151</v>
      </c>
      <c r="N92" s="30" t="s">
        <v>524</v>
      </c>
      <c r="O92" s="8" t="s">
        <v>1151</v>
      </c>
      <c r="P92" s="8" t="s">
        <v>1165</v>
      </c>
      <c r="Q92" s="16" t="s">
        <v>1802</v>
      </c>
      <c r="AC92" s="8">
        <v>1.0169999999999999</v>
      </c>
      <c r="AD92" s="8">
        <v>24</v>
      </c>
      <c r="AE92" s="14">
        <v>2.1</v>
      </c>
      <c r="AF92" s="8">
        <v>1</v>
      </c>
      <c r="AG92" s="8" t="str">
        <f>IF(AF92='Listas suspensas'!$A$16,'Listas suspensas'!$B$16,IF(AF92='Listas suspensas'!$A$17,'Listas suspensas'!$B$17,IF(AF92='Listas suspensas'!$A$18,'Listas suspensas'!$B$18,"")))</f>
        <v>Estável</v>
      </c>
      <c r="AH92" s="8" t="str">
        <f>IF(AF92='Listas suspensas'!$A$16,'Listas suspensas'!$C$16,IF(AF92='Listas suspensas'!$A$17,'Listas suspensas'!$C$17,IF(AF92='Listas suspensas'!$A$18,'Listas suspensas'!$C$18,"")))</f>
        <v>Indica solução límpida e isenta de materiais precipitados</v>
      </c>
      <c r="BC92" s="13">
        <v>0.92900000000000005</v>
      </c>
      <c r="BD92" s="13">
        <v>0.40400000000000003</v>
      </c>
      <c r="BE92" s="13">
        <v>0.76600000000000001</v>
      </c>
      <c r="BF92" s="14">
        <f t="shared" si="3"/>
        <v>2.1</v>
      </c>
      <c r="BG92" s="14">
        <v>44.2</v>
      </c>
      <c r="BH92" s="14">
        <v>19.3</v>
      </c>
      <c r="BI92" s="14">
        <v>36.5</v>
      </c>
      <c r="BJ92" s="16">
        <f t="shared" si="4"/>
        <v>100</v>
      </c>
    </row>
    <row r="93" spans="2:67" x14ac:dyDescent="0.25">
      <c r="B93" s="8" t="s">
        <v>1303</v>
      </c>
      <c r="C93" s="8" t="s">
        <v>71</v>
      </c>
      <c r="F93" s="11">
        <v>46044</v>
      </c>
      <c r="G93" s="11">
        <v>46048</v>
      </c>
      <c r="H93" s="11">
        <v>46048</v>
      </c>
      <c r="J93" s="8" t="s">
        <v>1820</v>
      </c>
      <c r="K93" s="8" t="s">
        <v>1821</v>
      </c>
      <c r="L93" s="8" t="s">
        <v>92</v>
      </c>
      <c r="M93" s="8" t="s">
        <v>1151</v>
      </c>
      <c r="N93" s="30" t="s">
        <v>1822</v>
      </c>
      <c r="O93" s="8" t="s">
        <v>1151</v>
      </c>
      <c r="P93" s="8" t="s">
        <v>1165</v>
      </c>
      <c r="Q93" s="16" t="s">
        <v>1823</v>
      </c>
      <c r="AC93" s="8">
        <v>1.0135000000000001</v>
      </c>
      <c r="AD93" s="8">
        <v>25</v>
      </c>
      <c r="AE93" s="14">
        <v>1.7</v>
      </c>
      <c r="AF93" s="8">
        <v>3</v>
      </c>
      <c r="AG93" s="8" t="str">
        <f>IF(AF93='Listas suspensas'!$A$16,'Listas suspensas'!$B$16,IF(AF93='Listas suspensas'!$A$17,'Listas suspensas'!$B$17,IF(AF93='Listas suspensas'!$A$18,'Listas suspensas'!$B$18,"")))</f>
        <v>Instável</v>
      </c>
      <c r="AH93" s="8" t="str">
        <f>IF(AF93='Listas suspensas'!$A$16,'Listas suspensas'!$C$16,IF(AF93='Listas suspensas'!$A$17,'Listas suspensas'!$C$17,IF(AF93='Listas suspensas'!$A$18,'Listas suspensas'!$C$18,"")))</f>
        <v>Indica solução com severa formação de precipitado</v>
      </c>
      <c r="BC93" s="13">
        <v>0.71399999999999997</v>
      </c>
      <c r="BD93" s="13">
        <v>0.36299999999999999</v>
      </c>
      <c r="BE93" s="13">
        <v>0.47099999999999997</v>
      </c>
      <c r="BF93" s="14">
        <f t="shared" si="3"/>
        <v>1.55</v>
      </c>
      <c r="BG93" s="14">
        <v>46.1</v>
      </c>
      <c r="BH93" s="14">
        <v>23.5</v>
      </c>
      <c r="BI93" s="14">
        <v>30.4</v>
      </c>
      <c r="BJ93" s="16">
        <f t="shared" si="4"/>
        <v>100</v>
      </c>
    </row>
    <row r="94" spans="2:67" x14ac:dyDescent="0.25">
      <c r="B94" s="8" t="s">
        <v>1304</v>
      </c>
      <c r="C94" s="8" t="s">
        <v>71</v>
      </c>
      <c r="F94" s="11">
        <v>46045</v>
      </c>
      <c r="G94" s="11">
        <v>46048</v>
      </c>
      <c r="H94" s="11">
        <v>46048</v>
      </c>
      <c r="J94" s="8" t="s">
        <v>1820</v>
      </c>
      <c r="K94" s="8" t="s">
        <v>1821</v>
      </c>
      <c r="L94" s="8" t="s">
        <v>92</v>
      </c>
      <c r="M94" s="8" t="s">
        <v>1151</v>
      </c>
      <c r="N94" s="30" t="s">
        <v>1822</v>
      </c>
      <c r="O94" s="8" t="s">
        <v>1151</v>
      </c>
      <c r="P94" s="8" t="s">
        <v>1165</v>
      </c>
      <c r="Q94" s="16" t="s">
        <v>1824</v>
      </c>
      <c r="AC94" s="8">
        <v>1.0145</v>
      </c>
      <c r="AD94" s="8">
        <v>25</v>
      </c>
      <c r="AE94" s="14">
        <v>1.8</v>
      </c>
      <c r="AF94" s="8">
        <v>2</v>
      </c>
      <c r="AG94" s="8" t="str">
        <f>IF(AF94='Listas suspensas'!$A$16,'Listas suspensas'!$B$16,IF(AF94='Listas suspensas'!$A$17,'Listas suspensas'!$B$17,IF(AF94='Listas suspensas'!$A$18,'Listas suspensas'!$B$18,"")))</f>
        <v>Instável</v>
      </c>
      <c r="AH94" s="8" t="str">
        <f>IF(AF94='Listas suspensas'!$A$16,'Listas suspensas'!$C$16,IF(AF94='Listas suspensas'!$A$17,'Listas suspensas'!$C$17,IF(AF94='Listas suspensas'!$A$18,'Listas suspensas'!$C$18,"")))</f>
        <v>Indica solução com leve formação de precipitado</v>
      </c>
      <c r="BC94" s="13">
        <v>0.85599999999999998</v>
      </c>
      <c r="BD94" s="13">
        <v>0.36899999999999999</v>
      </c>
      <c r="BE94" s="13">
        <v>0.69599999999999995</v>
      </c>
      <c r="BF94" s="14">
        <f t="shared" si="3"/>
        <v>1.92</v>
      </c>
      <c r="BG94" s="14">
        <v>44.6</v>
      </c>
      <c r="BH94" s="14">
        <v>19.2</v>
      </c>
      <c r="BI94" s="14">
        <v>36.200000000000003</v>
      </c>
      <c r="BJ94" s="16">
        <f t="shared" si="4"/>
        <v>100</v>
      </c>
    </row>
    <row r="95" spans="2:67" x14ac:dyDescent="0.25">
      <c r="B95" s="8" t="s">
        <v>1305</v>
      </c>
      <c r="C95" s="8" t="s">
        <v>71</v>
      </c>
      <c r="F95" s="11">
        <v>46051</v>
      </c>
      <c r="G95" s="11">
        <v>46052</v>
      </c>
      <c r="H95" s="11">
        <v>46055</v>
      </c>
      <c r="J95" s="8" t="s">
        <v>811</v>
      </c>
      <c r="K95" s="8" t="s">
        <v>1601</v>
      </c>
      <c r="L95" s="8" t="s">
        <v>144</v>
      </c>
      <c r="M95" s="8" t="s">
        <v>1151</v>
      </c>
      <c r="N95" s="29" t="s">
        <v>1008</v>
      </c>
      <c r="O95" s="8" t="s">
        <v>1151</v>
      </c>
      <c r="P95" s="8" t="s">
        <v>1165</v>
      </c>
      <c r="Q95" s="16" t="s">
        <v>1849</v>
      </c>
      <c r="AC95" s="8">
        <v>1.016</v>
      </c>
      <c r="AD95" s="8">
        <v>24</v>
      </c>
      <c r="AE95" s="14">
        <v>2</v>
      </c>
      <c r="AF95" s="8">
        <v>2</v>
      </c>
      <c r="AG95" s="8" t="str">
        <f>IF(AF95='Listas suspensas'!$A$16,'Listas suspensas'!$B$16,IF(AF95='Listas suspensas'!$A$17,'Listas suspensas'!$B$17,IF(AF95='Listas suspensas'!$A$18,'Listas suspensas'!$B$18,"")))</f>
        <v>Instável</v>
      </c>
      <c r="AH95" s="8" t="str">
        <f>IF(AF95='Listas suspensas'!$A$16,'Listas suspensas'!$C$16,IF(AF95='Listas suspensas'!$A$17,'Listas suspensas'!$C$17,IF(AF95='Listas suspensas'!$A$18,'Listas suspensas'!$C$18,"")))</f>
        <v>Indica solução com leve formação de precipitado</v>
      </c>
      <c r="BC95" s="13">
        <v>0.90300000000000002</v>
      </c>
      <c r="BD95" s="13">
        <v>0.38700000000000001</v>
      </c>
      <c r="BE95" s="13">
        <v>0.74099999999999999</v>
      </c>
      <c r="BF95" s="14">
        <f t="shared" si="3"/>
        <v>2.0299999999999998</v>
      </c>
      <c r="BG95" s="14">
        <v>44.4</v>
      </c>
      <c r="BH95" s="14">
        <v>19.100000000000001</v>
      </c>
      <c r="BI95" s="14">
        <v>36.5</v>
      </c>
      <c r="BJ95" s="16">
        <f t="shared" si="4"/>
        <v>100</v>
      </c>
    </row>
    <row r="96" spans="2:67" x14ac:dyDescent="0.25">
      <c r="B96" s="8" t="s">
        <v>1306</v>
      </c>
      <c r="C96" s="8" t="s">
        <v>71</v>
      </c>
      <c r="F96" s="11">
        <v>46056</v>
      </c>
      <c r="G96" s="11">
        <v>46056</v>
      </c>
      <c r="H96" s="11">
        <v>45694</v>
      </c>
      <c r="J96" s="8" t="s">
        <v>72</v>
      </c>
      <c r="K96" s="8" t="s">
        <v>73</v>
      </c>
      <c r="L96" s="8" t="s">
        <v>74</v>
      </c>
      <c r="M96" s="8" t="s">
        <v>1151</v>
      </c>
      <c r="N96" s="30" t="s">
        <v>159</v>
      </c>
      <c r="O96" s="8" t="s">
        <v>1151</v>
      </c>
      <c r="P96" s="8" t="s">
        <v>1165</v>
      </c>
      <c r="Q96" s="16" t="s">
        <v>1854</v>
      </c>
      <c r="AC96" s="8">
        <v>1.0155000000000001</v>
      </c>
      <c r="AD96" s="8">
        <v>26</v>
      </c>
      <c r="AE96" s="14">
        <v>2</v>
      </c>
      <c r="AF96" s="8">
        <v>2</v>
      </c>
      <c r="AG96" s="8" t="str">
        <f>IF(AF96='Listas suspensas'!$A$16,'Listas suspensas'!$B$16,IF(AF96='Listas suspensas'!$A$17,'Listas suspensas'!$B$17,IF(AF96='Listas suspensas'!$A$18,'Listas suspensas'!$B$18,"")))</f>
        <v>Instável</v>
      </c>
      <c r="AH96" s="8" t="str">
        <f>IF(AF96='Listas suspensas'!$A$16,'Listas suspensas'!$C$16,IF(AF96='Listas suspensas'!$A$17,'Listas suspensas'!$C$17,IF(AF96='Listas suspensas'!$A$18,'Listas suspensas'!$C$18,"")))</f>
        <v>Indica solução com leve formação de precipitado</v>
      </c>
      <c r="BC96" s="13">
        <v>0.99299999999999999</v>
      </c>
      <c r="BD96" s="13">
        <v>0.41</v>
      </c>
      <c r="BE96" s="13">
        <v>0.73799999999999999</v>
      </c>
      <c r="BF96" s="14">
        <f t="shared" si="3"/>
        <v>2.14</v>
      </c>
      <c r="BG96" s="14">
        <v>46.4</v>
      </c>
      <c r="BH96" s="14">
        <v>19.2</v>
      </c>
      <c r="BI96" s="14">
        <v>34.4</v>
      </c>
      <c r="BJ96" s="16">
        <f t="shared" si="4"/>
        <v>100</v>
      </c>
    </row>
    <row r="97" spans="2:62" x14ac:dyDescent="0.25">
      <c r="B97" s="8" t="s">
        <v>1307</v>
      </c>
      <c r="C97" s="8" t="s">
        <v>71</v>
      </c>
      <c r="F97" s="11">
        <v>46056</v>
      </c>
      <c r="G97" s="11">
        <v>46056</v>
      </c>
      <c r="H97" s="11">
        <v>45694</v>
      </c>
      <c r="J97" s="8" t="s">
        <v>72</v>
      </c>
      <c r="K97" s="8" t="s">
        <v>73</v>
      </c>
      <c r="L97" s="8" t="s">
        <v>74</v>
      </c>
      <c r="M97" s="8" t="s">
        <v>1151</v>
      </c>
      <c r="N97" s="30" t="s">
        <v>159</v>
      </c>
      <c r="O97" s="8" t="s">
        <v>1151</v>
      </c>
      <c r="P97" s="8" t="s">
        <v>1165</v>
      </c>
      <c r="Q97" s="16" t="s">
        <v>1855</v>
      </c>
      <c r="AC97" s="8">
        <v>1.0185</v>
      </c>
      <c r="AD97" s="8">
        <v>26</v>
      </c>
      <c r="AE97" s="14">
        <v>2.2999999999999998</v>
      </c>
      <c r="AF97" s="8">
        <v>2</v>
      </c>
      <c r="AG97" s="8" t="str">
        <f>IF(AF97='Listas suspensas'!$A$16,'Listas suspensas'!$B$16,IF(AF97='Listas suspensas'!$A$17,'Listas suspensas'!$B$17,IF(AF97='Listas suspensas'!$A$18,'Listas suspensas'!$B$18,"")))</f>
        <v>Instável</v>
      </c>
      <c r="AH97" s="8" t="str">
        <f>IF(AF97='Listas suspensas'!$A$16,'Listas suspensas'!$C$16,IF(AF97='Listas suspensas'!$A$17,'Listas suspensas'!$C$17,IF(AF97='Listas suspensas'!$A$18,'Listas suspensas'!$C$18,"")))</f>
        <v>Indica solução com leve formação de precipitado</v>
      </c>
      <c r="BC97" s="13">
        <v>1.0429999999999999</v>
      </c>
      <c r="BD97" s="13">
        <v>0.46</v>
      </c>
      <c r="BE97" s="13">
        <v>2.3290000000000002</v>
      </c>
      <c r="BF97" s="14">
        <f t="shared" si="3"/>
        <v>3.83</v>
      </c>
      <c r="BG97" s="14">
        <v>44.8</v>
      </c>
      <c r="BH97" s="14">
        <v>19.7</v>
      </c>
      <c r="BI97" s="14">
        <v>35.5</v>
      </c>
      <c r="BJ97" s="16">
        <f t="shared" si="4"/>
        <v>100</v>
      </c>
    </row>
    <row r="98" spans="2:62" x14ac:dyDescent="0.25">
      <c r="B98" s="8" t="s">
        <v>1308</v>
      </c>
      <c r="C98" s="8" t="s">
        <v>71</v>
      </c>
      <c r="F98" s="11">
        <v>46056</v>
      </c>
      <c r="G98" s="11">
        <v>46056</v>
      </c>
      <c r="H98" s="11">
        <v>45694</v>
      </c>
      <c r="J98" s="8" t="s">
        <v>72</v>
      </c>
      <c r="K98" s="8" t="s">
        <v>73</v>
      </c>
      <c r="L98" s="8" t="s">
        <v>74</v>
      </c>
      <c r="M98" s="8" t="s">
        <v>1151</v>
      </c>
      <c r="N98" s="30" t="s">
        <v>159</v>
      </c>
      <c r="O98" s="8" t="s">
        <v>1151</v>
      </c>
      <c r="P98" s="8" t="s">
        <v>1165</v>
      </c>
      <c r="Q98" s="16" t="s">
        <v>1856</v>
      </c>
      <c r="AC98" s="8">
        <v>1.0175000000000001</v>
      </c>
      <c r="AD98" s="8">
        <v>26</v>
      </c>
      <c r="AE98" s="14">
        <v>2.2000000000000002</v>
      </c>
      <c r="AF98" s="8">
        <v>1</v>
      </c>
      <c r="AG98" s="8" t="str">
        <f>IF(AF98='Listas suspensas'!$A$16,'Listas suspensas'!$B$16,IF(AF98='Listas suspensas'!$A$17,'Listas suspensas'!$B$17,IF(AF98='Listas suspensas'!$A$18,'Listas suspensas'!$B$18,"")))</f>
        <v>Estável</v>
      </c>
      <c r="AH98" s="8" t="str">
        <f>IF(AF98='Listas suspensas'!$A$16,'Listas suspensas'!$C$16,IF(AF98='Listas suspensas'!$A$17,'Listas suspensas'!$C$17,IF(AF98='Listas suspensas'!$A$18,'Listas suspensas'!$C$18,"")))</f>
        <v>Indica solução límpida e isenta de materiais precipitados</v>
      </c>
      <c r="BC98" s="13">
        <v>0.98499999999999999</v>
      </c>
      <c r="BD98" s="13">
        <v>0.44700000000000001</v>
      </c>
      <c r="BE98" s="13">
        <v>0.80800000000000005</v>
      </c>
      <c r="BF98" s="14">
        <f t="shared" si="3"/>
        <v>2.2400000000000002</v>
      </c>
      <c r="BG98" s="14">
        <v>44</v>
      </c>
      <c r="BH98" s="14">
        <v>20</v>
      </c>
      <c r="BI98" s="14">
        <v>36</v>
      </c>
      <c r="BJ98" s="16">
        <f t="shared" si="4"/>
        <v>100</v>
      </c>
    </row>
    <row r="99" spans="2:62" x14ac:dyDescent="0.25">
      <c r="B99" s="8" t="s">
        <v>1309</v>
      </c>
      <c r="C99" s="8" t="s">
        <v>71</v>
      </c>
      <c r="F99" s="11">
        <v>46058</v>
      </c>
      <c r="G99" s="11">
        <v>46058</v>
      </c>
      <c r="H99" s="11">
        <v>45694</v>
      </c>
      <c r="J99" s="8" t="s">
        <v>1059</v>
      </c>
      <c r="K99" s="8" t="s">
        <v>1060</v>
      </c>
      <c r="L99" s="8" t="s">
        <v>619</v>
      </c>
      <c r="M99" s="8" t="s">
        <v>1151</v>
      </c>
      <c r="N99" s="30" t="s">
        <v>1061</v>
      </c>
      <c r="O99" s="8" t="s">
        <v>1151</v>
      </c>
      <c r="P99" s="8" t="s">
        <v>1165</v>
      </c>
      <c r="Q99" s="16" t="s">
        <v>1876</v>
      </c>
      <c r="AC99" s="8">
        <v>1.0169999999999999</v>
      </c>
      <c r="AD99" s="8">
        <v>25</v>
      </c>
      <c r="AE99" s="14">
        <v>2.1</v>
      </c>
      <c r="AF99" s="8">
        <v>1</v>
      </c>
      <c r="AG99" s="8" t="str">
        <f>IF(AF99='Listas suspensas'!$A$16,'Listas suspensas'!$B$16,IF(AF99='Listas suspensas'!$A$17,'Listas suspensas'!$B$17,IF(AF99='Listas suspensas'!$A$18,'Listas suspensas'!$B$18,"")))</f>
        <v>Estável</v>
      </c>
      <c r="AH99" s="8" t="str">
        <f>IF(AF99='Listas suspensas'!$A$16,'Listas suspensas'!$C$16,IF(AF99='Listas suspensas'!$A$17,'Listas suspensas'!$C$17,IF(AF99='Listas suspensas'!$A$18,'Listas suspensas'!$C$18,"")))</f>
        <v>Indica solução límpida e isenta de materiais precipitados</v>
      </c>
      <c r="BC99" s="13">
        <v>0.91700000000000004</v>
      </c>
      <c r="BD99" s="13">
        <v>0.40100000000000002</v>
      </c>
      <c r="BE99" s="13">
        <v>0.76100000000000001</v>
      </c>
      <c r="BF99" s="14">
        <f t="shared" si="3"/>
        <v>2.08</v>
      </c>
      <c r="BG99" s="14">
        <v>44.1</v>
      </c>
      <c r="BH99" s="14">
        <v>19.3</v>
      </c>
      <c r="BI99" s="14">
        <v>36.6</v>
      </c>
      <c r="BJ99" s="16">
        <f t="shared" si="4"/>
        <v>100</v>
      </c>
    </row>
    <row r="100" spans="2:62" x14ac:dyDescent="0.25">
      <c r="B100" s="8" t="s">
        <v>1310</v>
      </c>
      <c r="C100" s="8" t="s">
        <v>71</v>
      </c>
      <c r="F100" s="11">
        <v>46058</v>
      </c>
      <c r="G100" s="11">
        <v>46058</v>
      </c>
      <c r="H100" s="11">
        <v>45694</v>
      </c>
      <c r="J100" s="8" t="s">
        <v>1877</v>
      </c>
      <c r="K100" s="8" t="s">
        <v>1878</v>
      </c>
      <c r="L100" s="8" t="s">
        <v>144</v>
      </c>
      <c r="M100" s="8" t="s">
        <v>1151</v>
      </c>
      <c r="N100" s="30" t="s">
        <v>1879</v>
      </c>
      <c r="O100" s="8" t="s">
        <v>1151</v>
      </c>
      <c r="P100" s="8" t="s">
        <v>1165</v>
      </c>
      <c r="Q100" s="16" t="s">
        <v>1882</v>
      </c>
      <c r="AC100" s="8">
        <v>1.0145</v>
      </c>
      <c r="AD100" s="8">
        <v>25</v>
      </c>
      <c r="AE100" s="14">
        <v>1.8</v>
      </c>
      <c r="AF100" s="8">
        <v>2</v>
      </c>
      <c r="AG100" s="8" t="str">
        <f>IF(AF100='Listas suspensas'!$A$16,'Listas suspensas'!$B$16,IF(AF100='Listas suspensas'!$A$17,'Listas suspensas'!$B$17,IF(AF100='Listas suspensas'!$A$18,'Listas suspensas'!$B$18,"")))</f>
        <v>Instável</v>
      </c>
      <c r="AH100" s="8" t="str">
        <f>IF(AF100='Listas suspensas'!$A$16,'Listas suspensas'!$C$16,IF(AF100='Listas suspensas'!$A$17,'Listas suspensas'!$C$17,IF(AF100='Listas suspensas'!$A$18,'Listas suspensas'!$C$18,"")))</f>
        <v>Indica solução com leve formação de precipitado</v>
      </c>
      <c r="BC100" s="13">
        <v>0.83699999999999997</v>
      </c>
      <c r="BD100" s="13">
        <v>0.34</v>
      </c>
      <c r="BE100" s="13">
        <v>0.60899999999999999</v>
      </c>
      <c r="BF100" s="14">
        <f t="shared" si="3"/>
        <v>1.79</v>
      </c>
      <c r="BG100" s="14">
        <v>46.9</v>
      </c>
      <c r="BH100" s="14">
        <v>19</v>
      </c>
      <c r="BI100" s="14">
        <v>34.1</v>
      </c>
      <c r="BJ100" s="16">
        <f t="shared" si="4"/>
        <v>100</v>
      </c>
    </row>
    <row r="101" spans="2:62" x14ac:dyDescent="0.25">
      <c r="B101" s="8" t="s">
        <v>1886</v>
      </c>
      <c r="C101" s="8" t="s">
        <v>1015</v>
      </c>
      <c r="F101" s="8" t="s">
        <v>1885</v>
      </c>
      <c r="G101" s="11">
        <v>46063</v>
      </c>
      <c r="J101" s="8" t="s">
        <v>1581</v>
      </c>
      <c r="K101" s="8" t="s">
        <v>188</v>
      </c>
      <c r="L101" s="8" t="s">
        <v>189</v>
      </c>
      <c r="M101" s="8" t="s">
        <v>1151</v>
      </c>
      <c r="N101" s="30" t="s">
        <v>190</v>
      </c>
      <c r="O101" s="8" t="s">
        <v>1151</v>
      </c>
      <c r="P101" s="8" t="s">
        <v>1165</v>
      </c>
      <c r="Q101" s="16" t="s">
        <v>1884</v>
      </c>
      <c r="AG101" s="8" t="str">
        <f>IF(AF101='Listas suspensas'!$A$16,'Listas suspensas'!$B$16,IF(AF101='Listas suspensas'!$A$17,'Listas suspensas'!$B$17,IF(AF101='Listas suspensas'!$A$18,'Listas suspensas'!$B$18,"")))</f>
        <v/>
      </c>
      <c r="AH101" s="8" t="str">
        <f>IF(AF101='Listas suspensas'!$A$16,'Listas suspensas'!$C$16,IF(AF101='Listas suspensas'!$A$17,'Listas suspensas'!$C$17,IF(AF101='Listas suspensas'!$A$18,'Listas suspensas'!$C$18,"")))</f>
        <v/>
      </c>
      <c r="BC101" s="13">
        <v>1.046</v>
      </c>
      <c r="BD101" s="13">
        <v>0.434</v>
      </c>
      <c r="BE101" s="13">
        <v>0.753</v>
      </c>
      <c r="BF101" s="14">
        <f t="shared" si="3"/>
        <v>2.23</v>
      </c>
      <c r="BG101" s="14">
        <v>46.9</v>
      </c>
      <c r="BH101" s="14">
        <v>19.399999999999999</v>
      </c>
      <c r="BI101" s="14">
        <v>33.700000000000003</v>
      </c>
      <c r="BJ101" s="16">
        <f t="shared" si="4"/>
        <v>100</v>
      </c>
    </row>
    <row r="102" spans="2:62" x14ac:dyDescent="0.25">
      <c r="B102" s="8" t="s">
        <v>1887</v>
      </c>
      <c r="C102" s="8" t="s">
        <v>71</v>
      </c>
      <c r="AG102" s="8" t="str">
        <f>IF(AF102='Listas suspensas'!$A$16,'Listas suspensas'!$B$16,IF(AF102='Listas suspensas'!$A$17,'Listas suspensas'!$B$17,IF(AF102='Listas suspensas'!$A$18,'Listas suspensas'!$B$18,"")))</f>
        <v/>
      </c>
      <c r="AH102" s="8" t="str">
        <f>IF(AF102='Listas suspensas'!$A$16,'Listas suspensas'!$C$16,IF(AF102='Listas suspensas'!$A$17,'Listas suspensas'!$C$17,IF(AF102='Listas suspensas'!$A$18,'Listas suspensas'!$C$18,"")))</f>
        <v/>
      </c>
      <c r="BF102" s="14">
        <f t="shared" si="3"/>
        <v>0</v>
      </c>
    </row>
    <row r="103" spans="2:62" x14ac:dyDescent="0.25">
      <c r="B103" s="8" t="s">
        <v>1888</v>
      </c>
      <c r="C103" s="8" t="s">
        <v>71</v>
      </c>
      <c r="AG103" s="8" t="str">
        <f>IF(AF103='Listas suspensas'!$A$16,'Listas suspensas'!$B$16,IF(AF103='Listas suspensas'!$A$17,'Listas suspensas'!$B$17,IF(AF103='Listas suspensas'!$A$18,'Listas suspensas'!$B$18,"")))</f>
        <v/>
      </c>
      <c r="AH103" s="8" t="str">
        <f>IF(AF103='Listas suspensas'!$A$16,'Listas suspensas'!$C$16,IF(AF103='Listas suspensas'!$A$17,'Listas suspensas'!$C$17,IF(AF103='Listas suspensas'!$A$18,'Listas suspensas'!$C$18,"")))</f>
        <v/>
      </c>
      <c r="BF103" s="14">
        <f t="shared" si="3"/>
        <v>0</v>
      </c>
    </row>
    <row r="104" spans="2:62" x14ac:dyDescent="0.25">
      <c r="B104" s="8" t="s">
        <v>1889</v>
      </c>
      <c r="C104" s="8" t="s">
        <v>71</v>
      </c>
      <c r="AG104" s="8" t="str">
        <f>IF(AF104='Listas suspensas'!$A$16,'Listas suspensas'!$B$16,IF(AF104='Listas suspensas'!$A$17,'Listas suspensas'!$B$17,IF(AF104='Listas suspensas'!$A$18,'Listas suspensas'!$B$18,"")))</f>
        <v/>
      </c>
      <c r="AH104" s="8" t="str">
        <f>IF(AF104='Listas suspensas'!$A$16,'Listas suspensas'!$C$16,IF(AF104='Listas suspensas'!$A$17,'Listas suspensas'!$C$17,IF(AF104='Listas suspensas'!$A$18,'Listas suspensas'!$C$18,"")))</f>
        <v/>
      </c>
      <c r="BF104" s="14">
        <f t="shared" si="3"/>
        <v>0</v>
      </c>
    </row>
    <row r="105" spans="2:62" x14ac:dyDescent="0.25">
      <c r="B105" s="8" t="s">
        <v>1890</v>
      </c>
      <c r="C105" s="8" t="s">
        <v>71</v>
      </c>
      <c r="AG105" s="8" t="str">
        <f>IF(AF105='Listas suspensas'!$A$16,'Listas suspensas'!$B$16,IF(AF105='Listas suspensas'!$A$17,'Listas suspensas'!$B$17,IF(AF105='Listas suspensas'!$A$18,'Listas suspensas'!$B$18,"")))</f>
        <v/>
      </c>
      <c r="AH105" s="8" t="str">
        <f>IF(AF105='Listas suspensas'!$A$16,'Listas suspensas'!$C$16,IF(AF105='Listas suspensas'!$A$17,'Listas suspensas'!$C$17,IF(AF105='Listas suspensas'!$A$18,'Listas suspensas'!$C$18,"")))</f>
        <v/>
      </c>
      <c r="BF105" s="14">
        <f t="shared" si="3"/>
        <v>0</v>
      </c>
    </row>
    <row r="106" spans="2:62" x14ac:dyDescent="0.25">
      <c r="B106" s="8" t="s">
        <v>1891</v>
      </c>
      <c r="C106" s="8" t="s">
        <v>71</v>
      </c>
      <c r="AG106" s="8" t="str">
        <f>IF(AF106='Listas suspensas'!$A$16,'Listas suspensas'!$B$16,IF(AF106='Listas suspensas'!$A$17,'Listas suspensas'!$B$17,IF(AF106='Listas suspensas'!$A$18,'Listas suspensas'!$B$18,"")))</f>
        <v/>
      </c>
      <c r="AH106" s="8" t="str">
        <f>IF(AF106='Listas suspensas'!$A$16,'Listas suspensas'!$C$16,IF(AF106='Listas suspensas'!$A$17,'Listas suspensas'!$C$17,IF(AF106='Listas suspensas'!$A$18,'Listas suspensas'!$C$18,"")))</f>
        <v/>
      </c>
      <c r="BF106" s="14">
        <f t="shared" si="3"/>
        <v>0</v>
      </c>
    </row>
    <row r="107" spans="2:62" x14ac:dyDescent="0.25">
      <c r="AG107" s="8" t="str">
        <f>IF(AF107='Listas suspensas'!$A$16,'Listas suspensas'!$B$16,IF(AF107='Listas suspensas'!$A$17,'Listas suspensas'!$B$17,IF(AF107='Listas suspensas'!$A$18,'Listas suspensas'!$B$18,"")))</f>
        <v/>
      </c>
      <c r="AH107" s="8" t="str">
        <f>IF(AF107='Listas suspensas'!$A$16,'Listas suspensas'!$C$16,IF(AF107='Listas suspensas'!$A$17,'Listas suspensas'!$C$17,IF(AF107='Listas suspensas'!$A$18,'Listas suspensas'!$C$18,"")))</f>
        <v/>
      </c>
      <c r="BF107" s="14">
        <f t="shared" si="3"/>
        <v>0</v>
      </c>
    </row>
    <row r="108" spans="2:62" x14ac:dyDescent="0.25">
      <c r="AG108" s="8" t="str">
        <f>IF(AF108='Listas suspensas'!$A$16,'Listas suspensas'!$B$16,IF(AF108='Listas suspensas'!$A$17,'Listas suspensas'!$B$17,IF(AF108='Listas suspensas'!$A$18,'Listas suspensas'!$B$18,"")))</f>
        <v/>
      </c>
      <c r="AH108" s="8" t="str">
        <f>IF(AF108='Listas suspensas'!$A$16,'Listas suspensas'!$C$16,IF(AF108='Listas suspensas'!$A$17,'Listas suspensas'!$C$17,IF(AF108='Listas suspensas'!$A$18,'Listas suspensas'!$C$18,"")))</f>
        <v/>
      </c>
      <c r="BF108" s="14">
        <f t="shared" si="3"/>
        <v>0</v>
      </c>
    </row>
    <row r="109" spans="2:62" x14ac:dyDescent="0.25">
      <c r="AG109" s="8" t="str">
        <f>IF(AF109='Listas suspensas'!$A$16,'Listas suspensas'!$B$16,IF(AF109='Listas suspensas'!$A$17,'Listas suspensas'!$B$17,IF(AF109='Listas suspensas'!$A$18,'Listas suspensas'!$B$18,"")))</f>
        <v/>
      </c>
      <c r="AH109" s="8" t="str">
        <f>IF(AF109='Listas suspensas'!$A$16,'Listas suspensas'!$C$16,IF(AF109='Listas suspensas'!$A$17,'Listas suspensas'!$C$17,IF(AF109='Listas suspensas'!$A$18,'Listas suspensas'!$C$18,"")))</f>
        <v/>
      </c>
      <c r="BF109" s="14">
        <f t="shared" si="3"/>
        <v>0</v>
      </c>
    </row>
    <row r="110" spans="2:62" x14ac:dyDescent="0.25">
      <c r="AG110" s="8" t="str">
        <f>IF(AF110='Listas suspensas'!$A$16,'Listas suspensas'!$B$16,IF(AF110='Listas suspensas'!$A$17,'Listas suspensas'!$B$17,IF(AF110='Listas suspensas'!$A$18,'Listas suspensas'!$B$18,"")))</f>
        <v/>
      </c>
      <c r="AH110" s="8" t="str">
        <f>IF(AF110='Listas suspensas'!$A$16,'Listas suspensas'!$C$16,IF(AF110='Listas suspensas'!$A$17,'Listas suspensas'!$C$17,IF(AF110='Listas suspensas'!$A$18,'Listas suspensas'!$C$18,"")))</f>
        <v/>
      </c>
      <c r="BF110" s="14">
        <f t="shared" si="3"/>
        <v>0</v>
      </c>
    </row>
    <row r="111" spans="2:62" x14ac:dyDescent="0.25">
      <c r="AG111" s="8" t="str">
        <f>IF(AF111='Listas suspensas'!$A$16,'Listas suspensas'!$B$16,IF(AF111='Listas suspensas'!$A$17,'Listas suspensas'!$B$17,IF(AF111='Listas suspensas'!$A$18,'Listas suspensas'!$B$18,"")))</f>
        <v/>
      </c>
      <c r="AH111" s="8" t="str">
        <f>IF(AF111='Listas suspensas'!$A$16,'Listas suspensas'!$C$16,IF(AF111='Listas suspensas'!$A$17,'Listas suspensas'!$C$17,IF(AF111='Listas suspensas'!$A$18,'Listas suspensas'!$C$18,"")))</f>
        <v/>
      </c>
      <c r="BF111" s="14">
        <f t="shared" si="3"/>
        <v>0</v>
      </c>
    </row>
    <row r="112" spans="2:62" x14ac:dyDescent="0.25">
      <c r="AG112" s="8" t="str">
        <f>IF(AF112='Listas suspensas'!$A$16,'Listas suspensas'!$B$16,IF(AF112='Listas suspensas'!$A$17,'Listas suspensas'!$B$17,IF(AF112='Listas suspensas'!$A$18,'Listas suspensas'!$B$18,"")))</f>
        <v/>
      </c>
      <c r="AH112" s="8" t="str">
        <f>IF(AF112='Listas suspensas'!$A$16,'Listas suspensas'!$C$16,IF(AF112='Listas suspensas'!$A$17,'Listas suspensas'!$C$17,IF(AF112='Listas suspensas'!$A$18,'Listas suspensas'!$C$18,"")))</f>
        <v/>
      </c>
      <c r="BF112" s="14">
        <f t="shared" si="3"/>
        <v>0</v>
      </c>
    </row>
    <row r="113" spans="33:58" x14ac:dyDescent="0.25">
      <c r="AG113" s="8" t="str">
        <f>IF(AF113='Listas suspensas'!$A$16,'Listas suspensas'!$B$16,IF(AF113='Listas suspensas'!$A$17,'Listas suspensas'!$B$17,IF(AF113='Listas suspensas'!$A$18,'Listas suspensas'!$B$18,"")))</f>
        <v/>
      </c>
      <c r="AH113" s="8" t="str">
        <f>IF(AF113='Listas suspensas'!$A$16,'Listas suspensas'!$C$16,IF(AF113='Listas suspensas'!$A$17,'Listas suspensas'!$C$17,IF(AF113='Listas suspensas'!$A$18,'Listas suspensas'!$C$18,"")))</f>
        <v/>
      </c>
      <c r="BF113" s="14">
        <f t="shared" si="3"/>
        <v>0</v>
      </c>
    </row>
    <row r="114" spans="33:58" x14ac:dyDescent="0.25">
      <c r="AH114" s="8" t="str">
        <f>IF(AF114='Listas suspensas'!$A$16,'Listas suspensas'!$C$16,IF(AF114='Listas suspensas'!$A$17,'Listas suspensas'!$C$17,IF(AF114='Listas suspensas'!$A$18,'Listas suspensas'!$C$18,"")))</f>
        <v/>
      </c>
      <c r="BF114" s="14">
        <f t="shared" si="3"/>
        <v>0</v>
      </c>
    </row>
    <row r="115" spans="33:58" x14ac:dyDescent="0.25">
      <c r="AH115" s="8" t="str">
        <f>IF(AF115='Listas suspensas'!$A$16,'Listas suspensas'!$C$16,IF(AF115='Listas suspensas'!$A$17,'Listas suspensas'!$C$17,IF(AF115='Listas suspensas'!$A$18,'Listas suspensas'!$C$18,"")))</f>
        <v/>
      </c>
    </row>
    <row r="116" spans="33:58" x14ac:dyDescent="0.25">
      <c r="AH116" s="8" t="str">
        <f>IF(AF116='Listas suspensas'!$A$16,'Listas suspensas'!$C$16,IF(AF116='Listas suspensas'!$A$17,'Listas suspensas'!$C$17,IF(AF116='Listas suspensas'!$A$18,'Listas suspensas'!$C$18,"")))</f>
        <v/>
      </c>
    </row>
  </sheetData>
  <phoneticPr fontId="3" type="noConversion"/>
  <hyperlinks>
    <hyperlink ref="N8" r:id="rId1" xr:uid="{00000000-0004-0000-0100-000000000000}"/>
    <hyperlink ref="N5" r:id="rId2" xr:uid="{00000000-0004-0000-0100-000001000000}"/>
    <hyperlink ref="N4" r:id="rId3" xr:uid="{00000000-0004-0000-0100-000002000000}"/>
    <hyperlink ref="N3" r:id="rId4" xr:uid="{00000000-0004-0000-0100-000003000000}"/>
    <hyperlink ref="N9" r:id="rId5" xr:uid="{00000000-0004-0000-0100-000004000000}"/>
    <hyperlink ref="N10" r:id="rId6" xr:uid="{00000000-0004-0000-0100-000005000000}"/>
    <hyperlink ref="N11" r:id="rId7" xr:uid="{00000000-0004-0000-0100-000006000000}"/>
    <hyperlink ref="N12" r:id="rId8" xr:uid="{00000000-0004-0000-0100-000007000000}"/>
    <hyperlink ref="N13" r:id="rId9" xr:uid="{00000000-0004-0000-0100-000008000000}"/>
    <hyperlink ref="N14" r:id="rId10" xr:uid="{00000000-0004-0000-0100-000009000000}"/>
    <hyperlink ref="N15" r:id="rId11" xr:uid="{00000000-0004-0000-0100-00000A000000}"/>
    <hyperlink ref="N16" r:id="rId12" xr:uid="{00000000-0004-0000-0100-00000B000000}"/>
    <hyperlink ref="N17" r:id="rId13" xr:uid="{00000000-0004-0000-0100-00000C000000}"/>
    <hyperlink ref="N18" r:id="rId14" xr:uid="{00000000-0004-0000-0100-00000D000000}"/>
    <hyperlink ref="N19" r:id="rId15" xr:uid="{00000000-0004-0000-0100-00000E000000}"/>
    <hyperlink ref="N20" r:id="rId16" xr:uid="{00000000-0004-0000-0100-00000F000000}"/>
    <hyperlink ref="N21" r:id="rId17" xr:uid="{00000000-0004-0000-0100-000010000000}"/>
    <hyperlink ref="N22" r:id="rId18" xr:uid="{00000000-0004-0000-0100-000011000000}"/>
    <hyperlink ref="N23" r:id="rId19" xr:uid="{00000000-0004-0000-0100-000012000000}"/>
    <hyperlink ref="N24" r:id="rId20" xr:uid="{00000000-0004-0000-0100-000013000000}"/>
    <hyperlink ref="N25" r:id="rId21" xr:uid="{00000000-0004-0000-0100-000014000000}"/>
    <hyperlink ref="N26" r:id="rId22" xr:uid="{00000000-0004-0000-0100-000015000000}"/>
    <hyperlink ref="N27" r:id="rId23" xr:uid="{00000000-0004-0000-0100-000016000000}"/>
    <hyperlink ref="N28" r:id="rId24" xr:uid="{00000000-0004-0000-0100-000017000000}"/>
    <hyperlink ref="N29" r:id="rId25" xr:uid="{00000000-0004-0000-0100-000018000000}"/>
    <hyperlink ref="N31" r:id="rId26" xr:uid="{00000000-0004-0000-0100-000019000000}"/>
    <hyperlink ref="N32" r:id="rId27" xr:uid="{00000000-0004-0000-0100-00001A000000}"/>
    <hyperlink ref="N33" r:id="rId28" xr:uid="{00000000-0004-0000-0100-00001B000000}"/>
    <hyperlink ref="N35" r:id="rId29" xr:uid="{00000000-0004-0000-0100-00001C000000}"/>
    <hyperlink ref="N38" r:id="rId30" xr:uid="{00000000-0004-0000-0100-00001D000000}"/>
    <hyperlink ref="N41" r:id="rId31" xr:uid="{00000000-0004-0000-0100-00001E000000}"/>
    <hyperlink ref="N42" r:id="rId32" xr:uid="{00000000-0004-0000-0100-00001F000000}"/>
    <hyperlink ref="N43" r:id="rId33" xr:uid="{00000000-0004-0000-0100-000020000000}"/>
    <hyperlink ref="N44" r:id="rId34" xr:uid="{00000000-0004-0000-0100-000021000000}"/>
    <hyperlink ref="N45" r:id="rId35" xr:uid="{00000000-0004-0000-0100-000022000000}"/>
    <hyperlink ref="N52" r:id="rId36" xr:uid="{00000000-0004-0000-0100-000023000000}"/>
    <hyperlink ref="N53" r:id="rId37" xr:uid="{00000000-0004-0000-0100-000024000000}"/>
    <hyperlink ref="N57" r:id="rId38" xr:uid="{00000000-0004-0000-0100-000025000000}"/>
    <hyperlink ref="N62" r:id="rId39" xr:uid="{436E0A10-2E52-4219-89C0-B1B707ED4146}"/>
    <hyperlink ref="N63" r:id="rId40" xr:uid="{0B12CAE7-DED3-4AC4-BCF3-884729E76102}"/>
    <hyperlink ref="N68" r:id="rId41" xr:uid="{DBDF508A-7541-4D9F-BA95-2394D03BF524}"/>
    <hyperlink ref="N70" r:id="rId42" xr:uid="{E1E21348-30E8-4A72-8D48-9A8884D91526}"/>
    <hyperlink ref="N77" r:id="rId43" xr:uid="{D55C3A7C-424D-4420-BE69-15EF72D12BD2}"/>
    <hyperlink ref="N78" r:id="rId44" xr:uid="{D5E98FF5-7187-4C3B-8D55-8AE6FB996781}"/>
    <hyperlink ref="N79" r:id="rId45" xr:uid="{7932D81D-A1B6-4807-B5CE-6CCFE68FB0E2}"/>
    <hyperlink ref="N80" r:id="rId46" xr:uid="{B69F43D6-C555-4D15-A73D-D46F8394068A}"/>
    <hyperlink ref="N81" r:id="rId47" xr:uid="{4539824E-2932-4FFA-B1A2-DA4B11260FCE}"/>
    <hyperlink ref="N82" r:id="rId48" xr:uid="{ABE5C8DE-48F6-4FF4-8672-7F71F6B7D10F}"/>
    <hyperlink ref="N83" r:id="rId49" xr:uid="{D43A4942-426C-4F46-ACBB-66DF24093F3D}"/>
    <hyperlink ref="N85" r:id="rId50" xr:uid="{818D8F99-43C4-4396-995C-CC3AE2DBA81D}"/>
    <hyperlink ref="N86" r:id="rId51" xr:uid="{4AC51E3F-44D4-4199-8B46-C24D2782BF96}"/>
    <hyperlink ref="N88" r:id="rId52" xr:uid="{CAEB1136-8CED-4D72-A256-5E43D3191C82}"/>
    <hyperlink ref="N89" r:id="rId53" xr:uid="{BFF7B2D0-1805-4A29-9A0D-2963FDDA848E}"/>
    <hyperlink ref="N90" r:id="rId54" xr:uid="{9B3B0BF2-46F0-4CAC-95DE-53A35959800A}"/>
    <hyperlink ref="N91" r:id="rId55" xr:uid="{0C2AC8B2-2A90-46E3-ABA5-41758F4CAAFC}"/>
    <hyperlink ref="N92" r:id="rId56" xr:uid="{721C81BC-D860-4775-A54F-9F182C430933}"/>
    <hyperlink ref="N93" r:id="rId57" xr:uid="{D53DC992-FA90-43ED-98A9-F311761237E5}"/>
    <hyperlink ref="N94" r:id="rId58" xr:uid="{C39E9DB0-83E8-4229-A9DB-771B16F8CC19}"/>
    <hyperlink ref="N95" r:id="rId59" xr:uid="{82EE5D65-8ED9-4D5E-9EC2-47E940EB017D}"/>
    <hyperlink ref="N96" r:id="rId60" xr:uid="{C3A730FF-6826-4E83-97CE-E1EA8A0A3086}"/>
    <hyperlink ref="N97" r:id="rId61" xr:uid="{101963ED-F597-4D4B-97A2-438F43DCA03C}"/>
    <hyperlink ref="N98" r:id="rId62" xr:uid="{EC1030FE-A1CA-4940-854A-A4D89EA3DD98}"/>
    <hyperlink ref="N99" r:id="rId63" xr:uid="{058F3FA5-D20C-4F98-896D-E8CD907E89DA}"/>
    <hyperlink ref="N100" r:id="rId64" xr:uid="{4D64ED2D-5805-43FC-B63D-F3D0A705E3C9}"/>
    <hyperlink ref="N101" r:id="rId65" xr:uid="{1103FD17-A152-4854-9DBD-CA74D99AC0A6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'Listas suspensas'!$B$9:$B$10</xm:f>
          </x14:formula1>
          <xm:sqref>M2:M34 O2:O57 M58 M83:M87 M89:M95 O59:O99 M99 M101</xm:sqref>
        </x14:dataValidation>
        <x14:dataValidation type="list" allowBlank="1" showInputMessage="1" showErrorMessage="1" xr:uid="{00000000-0002-0000-0100-000000000000}">
          <x14:formula1>
            <xm:f>'Listas suspensas'!$A$16:$A$18</xm:f>
          </x14:formula1>
          <xm:sqref>AF2:AF99</xm:sqref>
        </x14:dataValidation>
        <x14:dataValidation type="list" allowBlank="1" showInputMessage="1" showErrorMessage="1" xr:uid="{00000000-0002-0000-0100-000001000000}">
          <x14:formula1>
            <xm:f>'Listas suspensas'!$A$35:$A$37</xm:f>
          </x14:formula1>
          <xm:sqref>C2:C106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zoomScale="80" zoomScaleNormal="80" workbookViewId="0">
      <selection activeCell="A25" sqref="A25"/>
    </sheetView>
  </sheetViews>
  <sheetFormatPr defaultRowHeight="15" x14ac:dyDescent="0.25"/>
  <cols>
    <col min="1" max="1" width="22.85546875" style="1" bestFit="1" customWidth="1"/>
    <col min="2" max="2" width="29.42578125" style="1" bestFit="1" customWidth="1"/>
    <col min="3" max="3" width="82.85546875" style="1" bestFit="1" customWidth="1"/>
    <col min="4" max="16384" width="9.140625" style="1"/>
  </cols>
  <sheetData>
    <row r="1" spans="1:4" ht="15.75" x14ac:dyDescent="0.25">
      <c r="A1" s="6" t="s">
        <v>26</v>
      </c>
      <c r="B1" s="7" t="s">
        <v>27</v>
      </c>
      <c r="C1" s="7" t="s">
        <v>28</v>
      </c>
      <c r="D1" s="40" t="s">
        <v>15</v>
      </c>
    </row>
    <row r="2" spans="1:4" x14ac:dyDescent="0.25">
      <c r="A2" s="8">
        <v>1</v>
      </c>
      <c r="B2" s="8" t="s">
        <v>1311</v>
      </c>
      <c r="C2" s="8" t="s">
        <v>1312</v>
      </c>
      <c r="D2" s="40"/>
    </row>
    <row r="3" spans="1:4" x14ac:dyDescent="0.25">
      <c r="A3" s="8">
        <v>2</v>
      </c>
      <c r="B3" s="8" t="s">
        <v>1313</v>
      </c>
      <c r="C3" s="8" t="s">
        <v>1314</v>
      </c>
      <c r="D3" s="40"/>
    </row>
    <row r="4" spans="1:4" x14ac:dyDescent="0.25">
      <c r="A4" s="8">
        <v>3</v>
      </c>
      <c r="B4" s="8" t="s">
        <v>1315</v>
      </c>
      <c r="C4" s="8" t="s">
        <v>1316</v>
      </c>
      <c r="D4" s="40"/>
    </row>
    <row r="5" spans="1:4" x14ac:dyDescent="0.25">
      <c r="A5" s="8">
        <v>4</v>
      </c>
      <c r="B5" s="8" t="s">
        <v>1317</v>
      </c>
      <c r="C5" s="8" t="s">
        <v>1318</v>
      </c>
      <c r="D5" s="40"/>
    </row>
    <row r="6" spans="1:4" x14ac:dyDescent="0.25">
      <c r="A6" s="8">
        <v>5</v>
      </c>
      <c r="B6" s="8" t="s">
        <v>1319</v>
      </c>
      <c r="C6" s="8" t="s">
        <v>1319</v>
      </c>
      <c r="D6" s="40"/>
    </row>
    <row r="8" spans="1:4" ht="15.75" x14ac:dyDescent="0.25">
      <c r="A8" s="7" t="s">
        <v>1320</v>
      </c>
      <c r="B8" s="7" t="s">
        <v>1321</v>
      </c>
      <c r="C8" s="7" t="s">
        <v>14</v>
      </c>
    </row>
    <row r="9" spans="1:4" x14ac:dyDescent="0.25">
      <c r="A9" s="8" t="s">
        <v>80</v>
      </c>
      <c r="B9" s="23" t="s">
        <v>1151</v>
      </c>
      <c r="C9" s="8" t="s">
        <v>1322</v>
      </c>
    </row>
    <row r="10" spans="1:4" x14ac:dyDescent="0.25">
      <c r="A10" s="8"/>
      <c r="B10" s="23" t="s">
        <v>15</v>
      </c>
      <c r="C10" s="8" t="s">
        <v>94</v>
      </c>
    </row>
    <row r="11" spans="1:4" x14ac:dyDescent="0.25">
      <c r="A11" s="8"/>
      <c r="C11" s="8" t="s">
        <v>76</v>
      </c>
    </row>
    <row r="12" spans="1:4" x14ac:dyDescent="0.25">
      <c r="A12" s="8"/>
      <c r="C12" s="8" t="s">
        <v>104</v>
      </c>
    </row>
    <row r="13" spans="1:4" x14ac:dyDescent="0.25">
      <c r="A13" s="8"/>
      <c r="C13" s="8" t="s">
        <v>545</v>
      </c>
    </row>
    <row r="15" spans="1:4" ht="15.75" x14ac:dyDescent="0.25">
      <c r="A15" s="6" t="s">
        <v>33</v>
      </c>
      <c r="B15" s="7" t="s">
        <v>34</v>
      </c>
      <c r="C15" s="7" t="s">
        <v>35</v>
      </c>
      <c r="D15" s="40" t="s">
        <v>1151</v>
      </c>
    </row>
    <row r="16" spans="1:4" x14ac:dyDescent="0.25">
      <c r="A16" s="8">
        <v>1</v>
      </c>
      <c r="B16" s="8" t="s">
        <v>1323</v>
      </c>
      <c r="C16" s="8" t="s">
        <v>1324</v>
      </c>
      <c r="D16" s="40"/>
    </row>
    <row r="17" spans="1:10" x14ac:dyDescent="0.25">
      <c r="A17" s="8">
        <v>2</v>
      </c>
      <c r="B17" s="8" t="s">
        <v>1325</v>
      </c>
      <c r="C17" s="8" t="s">
        <v>1326</v>
      </c>
      <c r="D17" s="40"/>
    </row>
    <row r="18" spans="1:10" x14ac:dyDescent="0.25">
      <c r="A18" s="8">
        <v>3</v>
      </c>
      <c r="B18" s="8" t="s">
        <v>1325</v>
      </c>
      <c r="C18" s="8" t="s">
        <v>1327</v>
      </c>
      <c r="D18" s="40"/>
    </row>
    <row r="20" spans="1:10" ht="15.75" x14ac:dyDescent="0.25">
      <c r="A20" s="7" t="s">
        <v>23</v>
      </c>
      <c r="B20" s="7" t="s">
        <v>24</v>
      </c>
      <c r="C20" s="24" t="s">
        <v>1328</v>
      </c>
    </row>
    <row r="21" spans="1:10" x14ac:dyDescent="0.25">
      <c r="A21" s="8" t="s">
        <v>98</v>
      </c>
      <c r="B21" s="33">
        <v>4</v>
      </c>
      <c r="C21" s="22" t="s">
        <v>1329</v>
      </c>
      <c r="D21" s="22"/>
      <c r="E21" s="22"/>
      <c r="F21" s="22"/>
      <c r="G21" s="22"/>
      <c r="H21" s="22"/>
      <c r="I21" s="22"/>
      <c r="J21" s="22"/>
    </row>
    <row r="22" spans="1:10" x14ac:dyDescent="0.25">
      <c r="A22" s="8" t="s">
        <v>162</v>
      </c>
      <c r="B22" s="34">
        <v>6.5</v>
      </c>
      <c r="C22" s="22" t="s">
        <v>1330</v>
      </c>
      <c r="D22" s="22"/>
      <c r="E22" s="22"/>
      <c r="F22" s="22"/>
      <c r="G22" s="22"/>
      <c r="H22" s="22"/>
      <c r="I22" s="22"/>
      <c r="J22" s="22"/>
    </row>
    <row r="23" spans="1:10" x14ac:dyDescent="0.25">
      <c r="A23" s="8" t="s">
        <v>79</v>
      </c>
      <c r="B23" s="34">
        <v>9.6</v>
      </c>
    </row>
    <row r="24" spans="1:10" x14ac:dyDescent="0.25">
      <c r="A24" s="8" t="s">
        <v>180</v>
      </c>
      <c r="B24" s="34">
        <v>12.8</v>
      </c>
    </row>
    <row r="25" spans="1:10" x14ac:dyDescent="0.25">
      <c r="A25" s="8" t="s">
        <v>994</v>
      </c>
      <c r="B25" s="33"/>
    </row>
    <row r="26" spans="1:10" x14ac:dyDescent="0.25">
      <c r="A26" s="8" t="s">
        <v>1331</v>
      </c>
    </row>
    <row r="27" spans="1:10" x14ac:dyDescent="0.25">
      <c r="A27" s="8" t="s">
        <v>1332</v>
      </c>
    </row>
    <row r="28" spans="1:10" x14ac:dyDescent="0.25">
      <c r="A28" s="8" t="s">
        <v>1333</v>
      </c>
    </row>
    <row r="29" spans="1:10" x14ac:dyDescent="0.25">
      <c r="A29" s="8" t="s">
        <v>1334</v>
      </c>
    </row>
    <row r="30" spans="1:10" x14ac:dyDescent="0.25">
      <c r="A30" s="8" t="s">
        <v>699</v>
      </c>
    </row>
    <row r="31" spans="1:10" x14ac:dyDescent="0.25">
      <c r="A31" s="22" t="s">
        <v>1335</v>
      </c>
    </row>
    <row r="32" spans="1:10" x14ac:dyDescent="0.25">
      <c r="A32" s="8" t="s">
        <v>101</v>
      </c>
    </row>
    <row r="33" spans="1:1" x14ac:dyDescent="0.25">
      <c r="A33" s="8" t="s">
        <v>473</v>
      </c>
    </row>
    <row r="34" spans="1:1" ht="15.75" x14ac:dyDescent="0.25">
      <c r="A34" s="7" t="s">
        <v>2</v>
      </c>
    </row>
    <row r="35" spans="1:1" x14ac:dyDescent="0.25">
      <c r="A35" s="8" t="s">
        <v>1031</v>
      </c>
    </row>
    <row r="36" spans="1:1" x14ac:dyDescent="0.25">
      <c r="A36" s="8" t="s">
        <v>1015</v>
      </c>
    </row>
    <row r="37" spans="1:1" x14ac:dyDescent="0.25">
      <c r="A37" s="8" t="s">
        <v>71</v>
      </c>
    </row>
  </sheetData>
  <mergeCells count="2">
    <mergeCell ref="D1:D6"/>
    <mergeCell ref="D15:D18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Madeira Tratada</vt:lpstr>
      <vt:lpstr>Solução Preservativa</vt:lpstr>
      <vt:lpstr>Listas suspensas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 Roberto Pinto</dc:creator>
  <cp:keywords/>
  <dc:description/>
  <cp:lastModifiedBy>Wellington Folhaça</cp:lastModifiedBy>
  <cp:revision/>
  <dcterms:created xsi:type="dcterms:W3CDTF">2023-10-11T12:35:19Z</dcterms:created>
  <dcterms:modified xsi:type="dcterms:W3CDTF">2026-02-11T13:00:20Z</dcterms:modified>
  <cp:category/>
  <cp:contentStatus/>
</cp:coreProperties>
</file>